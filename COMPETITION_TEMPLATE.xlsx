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metadata.xml" ContentType="application/vnd.openxmlformats-officedocument.spreadsheetml.sheetMetadata+xml"/>
  <Override PartName="/xl/richData/rdrichvalue.xml" ContentType="application/vnd.ms-excel.rdrichvalue+xml"/>
  <Override PartName="/xl/richData/rdrichvaluestructure.xml" ContentType="application/vnd.ms-excel.rdrichvaluestructure+xml"/>
  <Override PartName="/xl/richData/rdRichValueTypes.xml" ContentType="application/vnd.ms-excel.rdrichvaluetypes+xml"/>
  <Override PartName="/xl/drawings/drawing1.xml" ContentType="application/vnd.openxmlformats-officedocument.drawing+xml"/>
  <Override PartName="/xl/tables/table1.xml" ContentType="application/vnd.openxmlformats-officedocument.spreadsheetml.table+xml"/>
  <Override PartName="/xl/drawings/drawing2.xml" ContentType="application/vnd.openxmlformats-officedocument.drawing+xml"/>
  <Override PartName="/xl/tables/table2.xml" ContentType="application/vnd.openxmlformats-officedocument.spreadsheetml.table+xml"/>
  <Override PartName="/xl/drawings/drawing3.xml" ContentType="application/vnd.openxmlformats-officedocument.drawing+xml"/>
  <Override PartName="/xl/tables/table3.xml" ContentType="application/vnd.openxmlformats-officedocument.spreadsheetml.table+xml"/>
  <Override PartName="/xl/tables/table4.xml" ContentType="application/vnd.openxmlformats-officedocument.spreadsheetml.table+xml"/>
  <Override PartName="/xl/tables/table5.xml" ContentType="application/vnd.openxmlformats-officedocument.spreadsheetml.table+xml"/>
  <Override PartName="/xl/tables/table6.xml" ContentType="application/vnd.openxmlformats-officedocument.spreadsheetml.table+xml"/>
  <Override PartName="/xl/tables/table7.xml" ContentType="application/vnd.openxmlformats-officedocument.spreadsheetml.table+xml"/>
  <Override PartName="/xl/drawings/drawing4.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drawings/drawing5.xml" ContentType="application/vnd.openxmlformats-officedocument.drawing+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featurePropertyBag/featurePropertyBag.xml" ContentType="application/vnd.ms-excel.featurepropertybag+xml"/>
  <Override PartName="/xl/calcChain.xml" ContentType="application/vnd.openxmlformats-officedocument.spreadsheetml.calcChai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3"/>
  <workbookPr/>
  <mc:AlternateContent xmlns:mc="http://schemas.openxmlformats.org/markup-compatibility/2006">
    <mc:Choice Requires="x15">
      <x15ac:absPath xmlns:x15ac="http://schemas.microsoft.com/office/spreadsheetml/2010/11/ac" url="D:\working\waccache\CW2PEPF0002E71E\EXCELCNV\03073094-2f5b-462e-83e1-65a77fc2d6e3\"/>
    </mc:Choice>
  </mc:AlternateContent>
  <xr:revisionPtr revIDLastSave="0" documentId="8_{239F2122-FF60-4208-A9CF-ADFB207CDDCA}" xr6:coauthVersionLast="47" xr6:coauthVersionMax="47" xr10:uidLastSave="{00000000-0000-0000-0000-000000000000}"/>
  <bookViews>
    <workbookView xWindow="-60" yWindow="-60" windowWidth="15480" windowHeight="11640" firstSheet="4" activeTab="1" xr2:uid="{00000000-000D-0000-FFFF-FFFF00000000}"/>
  </bookViews>
  <sheets>
    <sheet name="INSTRUCTIONS" sheetId="29" r:id="rId1"/>
    <sheet name="DATA_IMPORT" sheetId="37" r:id="rId2"/>
    <sheet name="REGISTRATION" sheetId="1" r:id="rId3"/>
    <sheet name="DAY 1 SCORES" sheetId="2" r:id="rId4"/>
    <sheet name="DAY 2 SCORES" sheetId="3" r:id="rId5"/>
    <sheet name="ZONE 1" sheetId="16" r:id="rId6"/>
    <sheet name="ZONE 2" sheetId="17" r:id="rId7"/>
    <sheet name="DATA" sheetId="22" state="hidden" r:id="rId8"/>
    <sheet name="INDIVIDUAL RESULT" sheetId="36" r:id="rId9"/>
    <sheet name="TEAM RESULT" sheetId="25" r:id="rId10"/>
    <sheet name="MASTER DATABASE" sheetId="30" r:id="rId11"/>
    <sheet name="CALC" sheetId="31" state="hidden" r:id="rId12"/>
    <sheet name="TEAM CALC" sheetId="35" state="hidden" r:id="rId13"/>
    <sheet name="BiGGEST FISH" sheetId="18" r:id="rId14"/>
    <sheet name="SECRET PAIRS LIVE" sheetId="33" r:id="rId15"/>
    <sheet name="DAY TOTALS" sheetId="34" r:id="rId16"/>
    <sheet name="ZONE PERFORMANCE" sheetId="23" r:id="rId17"/>
    <sheet name="DASHBOARD" sheetId="26" state="hidden" r:id="rId18"/>
  </sheets>
  <definedNames>
    <definedName name="_xlnm._FilterDatabase" localSheetId="17" hidden="1">DASHBOARD!$U$1:$Z$30</definedName>
    <definedName name="_xlnm.Print_Area" localSheetId="7">DATA!$A$2:$M$39</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E18" i="25" l="1"/>
  <c r="E19" i="25"/>
  <c r="E20" i="25"/>
  <c r="E21" i="25"/>
  <c r="E22" i="25"/>
  <c r="E23" i="25"/>
  <c r="E24" i="25"/>
  <c r="E25" i="25"/>
  <c r="E26" i="25"/>
  <c r="E27" i="25"/>
  <c r="E28" i="25"/>
  <c r="E29" i="25"/>
  <c r="E30" i="25"/>
  <c r="E31" i="25"/>
  <c r="E32" i="25"/>
  <c r="E33" i="25"/>
  <c r="E34" i="25"/>
  <c r="E35" i="25"/>
  <c r="D18" i="25"/>
  <c r="D19" i="25"/>
  <c r="D20" i="25"/>
  <c r="D21" i="25"/>
  <c r="D22" i="25"/>
  <c r="D23" i="25"/>
  <c r="D24" i="25"/>
  <c r="D25" i="25"/>
  <c r="D26" i="25"/>
  <c r="D27" i="25"/>
  <c r="D28" i="25"/>
  <c r="D29" i="25"/>
  <c r="D30" i="25"/>
  <c r="D31" i="25"/>
  <c r="D32" i="25"/>
  <c r="D33" i="25"/>
  <c r="D34" i="25"/>
  <c r="D35" i="25"/>
  <c r="C18" i="25"/>
  <c r="C19" i="25"/>
  <c r="C20" i="25"/>
  <c r="C21" i="25"/>
  <c r="C22" i="25"/>
  <c r="C23" i="25"/>
  <c r="C24" i="25"/>
  <c r="C25" i="25"/>
  <c r="C26" i="25"/>
  <c r="C27" i="25"/>
  <c r="C28" i="25"/>
  <c r="C29" i="25"/>
  <c r="C30" i="25"/>
  <c r="C31" i="25"/>
  <c r="C32" i="25"/>
  <c r="C33" i="25"/>
  <c r="C34" i="25"/>
  <c r="C35" i="25"/>
  <c r="C100" i="25"/>
  <c r="C101" i="25"/>
  <c r="C102" i="25"/>
  <c r="C103" i="25"/>
  <c r="C104" i="25"/>
  <c r="C105" i="25"/>
  <c r="C106" i="25"/>
  <c r="C107" i="25"/>
  <c r="C108" i="25"/>
  <c r="C109" i="25"/>
  <c r="C110" i="25"/>
  <c r="C111" i="25"/>
  <c r="C112" i="25"/>
  <c r="C113" i="25"/>
  <c r="C114" i="25"/>
  <c r="C115" i="25"/>
  <c r="C116" i="25"/>
  <c r="C117" i="25"/>
  <c r="C118" i="25"/>
  <c r="C119" i="25"/>
  <c r="C120" i="25"/>
  <c r="C121" i="25"/>
  <c r="C122" i="25"/>
  <c r="C123" i="25"/>
  <c r="C124" i="25"/>
  <c r="C125" i="25"/>
  <c r="C126" i="25"/>
  <c r="B2" i="1"/>
  <c r="B3" i="1"/>
  <c r="B4" i="1"/>
  <c r="B5" i="1"/>
  <c r="B6" i="1"/>
  <c r="B7" i="1"/>
  <c r="B8" i="1"/>
  <c r="B9" i="1"/>
  <c r="B10" i="1"/>
  <c r="B11" i="1"/>
  <c r="B12" i="1"/>
  <c r="B13" i="1"/>
  <c r="B14" i="1"/>
  <c r="B15" i="1"/>
  <c r="B16" i="1"/>
  <c r="B17" i="1"/>
  <c r="B18" i="1"/>
  <c r="B19" i="1"/>
  <c r="B20" i="1"/>
  <c r="B21" i="1"/>
  <c r="B22" i="1"/>
  <c r="B23" i="1"/>
  <c r="B24" i="1"/>
  <c r="B25" i="1"/>
  <c r="B26" i="1"/>
  <c r="B27" i="1"/>
  <c r="B28" i="1"/>
  <c r="B29" i="1"/>
  <c r="B30" i="1"/>
  <c r="B31" i="1"/>
  <c r="B32" i="1"/>
  <c r="B33" i="1"/>
  <c r="B34" i="1"/>
  <c r="B35" i="1"/>
  <c r="B36" i="1"/>
  <c r="B37" i="1"/>
  <c r="B38" i="1"/>
  <c r="B39" i="1"/>
  <c r="B40" i="1"/>
  <c r="B41" i="1"/>
  <c r="B42" i="1"/>
  <c r="B43" i="1"/>
  <c r="B44" i="1"/>
  <c r="B45" i="1"/>
  <c r="B46" i="1"/>
  <c r="B47" i="1"/>
  <c r="B48" i="1"/>
  <c r="B49" i="1"/>
  <c r="B50" i="1"/>
  <c r="B51" i="1"/>
  <c r="B52" i="1"/>
  <c r="B53" i="1"/>
  <c r="B54" i="1"/>
  <c r="B55" i="1"/>
  <c r="B56" i="1"/>
  <c r="B57" i="1"/>
  <c r="B58" i="1"/>
  <c r="B59" i="1"/>
  <c r="B60" i="1"/>
  <c r="B61" i="1"/>
  <c r="B62" i="1"/>
  <c r="B63" i="1"/>
  <c r="B64" i="1"/>
  <c r="B65" i="1"/>
  <c r="B66" i="1"/>
  <c r="B67" i="1"/>
  <c r="B68" i="1"/>
  <c r="B69" i="1"/>
  <c r="B70" i="1"/>
  <c r="B71" i="1"/>
  <c r="B72" i="1"/>
  <c r="B73" i="1"/>
  <c r="B74" i="1"/>
  <c r="B75" i="1"/>
  <c r="B76" i="1"/>
  <c r="B77" i="1"/>
  <c r="B78" i="1"/>
  <c r="B79" i="1"/>
  <c r="B80" i="1"/>
  <c r="B81" i="1"/>
  <c r="B82" i="1"/>
  <c r="B83" i="1"/>
  <c r="B84" i="1"/>
  <c r="B85" i="1"/>
  <c r="B86" i="1"/>
  <c r="B87" i="1"/>
  <c r="B88" i="1"/>
  <c r="B89" i="1"/>
  <c r="B90" i="1"/>
  <c r="B91" i="1"/>
  <c r="B92" i="1"/>
  <c r="B93" i="1"/>
  <c r="B94" i="1"/>
  <c r="B95" i="1"/>
  <c r="B96" i="1"/>
  <c r="B97" i="1"/>
  <c r="B98" i="1"/>
  <c r="B99" i="1"/>
  <c r="B100" i="1"/>
  <c r="B101" i="1"/>
  <c r="B102" i="1"/>
  <c r="B103" i="1"/>
  <c r="B104" i="1"/>
  <c r="B105" i="1"/>
  <c r="B106" i="1"/>
  <c r="B107" i="1"/>
  <c r="B108" i="1"/>
  <c r="B109" i="1"/>
  <c r="B110" i="1"/>
  <c r="B111" i="1"/>
  <c r="B112" i="1"/>
  <c r="B113" i="1"/>
  <c r="B114" i="1"/>
  <c r="B115" i="1"/>
  <c r="B116" i="1"/>
  <c r="B117" i="1"/>
  <c r="B118" i="1"/>
  <c r="B119" i="1"/>
  <c r="B120" i="1"/>
  <c r="B121" i="1"/>
  <c r="B122" i="1"/>
  <c r="B123" i="1"/>
  <c r="B124" i="1"/>
  <c r="B125" i="1"/>
  <c r="B126" i="1"/>
  <c r="B127" i="1"/>
  <c r="B128" i="1"/>
  <c r="B129" i="1"/>
  <c r="E73" i="16"/>
  <c r="E74" i="16"/>
  <c r="E75" i="16"/>
  <c r="E76" i="16"/>
  <c r="E77" i="16"/>
  <c r="H151" i="2"/>
  <c r="H152" i="2"/>
  <c r="H153" i="2"/>
  <c r="H154" i="2"/>
  <c r="H155" i="2"/>
  <c r="H156" i="2"/>
  <c r="H157" i="2"/>
  <c r="C5" i="3"/>
  <c r="C6" i="3"/>
  <c r="C7" i="3"/>
  <c r="C8" i="3"/>
  <c r="C9" i="3"/>
  <c r="C10" i="3"/>
  <c r="C11" i="3"/>
  <c r="C12" i="3"/>
  <c r="C13" i="3"/>
  <c r="C14" i="3"/>
  <c r="C15" i="3"/>
  <c r="C16" i="3"/>
  <c r="C17" i="3"/>
  <c r="C18" i="3"/>
  <c r="C19" i="3"/>
  <c r="C20" i="3"/>
  <c r="C21" i="3"/>
  <c r="C22" i="3"/>
  <c r="C23" i="3"/>
  <c r="C24" i="3"/>
  <c r="C25" i="3"/>
  <c r="C26" i="3"/>
  <c r="C27" i="3"/>
  <c r="C28" i="3"/>
  <c r="C29" i="3"/>
  <c r="C30" i="3"/>
  <c r="C31" i="3"/>
  <c r="C32" i="3"/>
  <c r="C33" i="3"/>
  <c r="C34" i="3"/>
  <c r="C35" i="3"/>
  <c r="C36" i="3"/>
  <c r="C37" i="3"/>
  <c r="C38" i="3"/>
  <c r="C39" i="3"/>
  <c r="C40" i="3"/>
  <c r="C41" i="3"/>
  <c r="C42" i="3"/>
  <c r="C43" i="3"/>
  <c r="C44" i="3"/>
  <c r="C45" i="3"/>
  <c r="C46" i="3"/>
  <c r="C47" i="3"/>
  <c r="C48" i="3"/>
  <c r="C49" i="3"/>
  <c r="C50" i="3"/>
  <c r="C51" i="3"/>
  <c r="C52" i="3"/>
  <c r="C53" i="3"/>
  <c r="C54" i="3"/>
  <c r="C55" i="3"/>
  <c r="C56" i="3"/>
  <c r="C57" i="3"/>
  <c r="C58" i="3"/>
  <c r="C59" i="3"/>
  <c r="C60" i="3"/>
  <c r="C61" i="3"/>
  <c r="C62" i="3"/>
  <c r="C63" i="3"/>
  <c r="C64" i="3"/>
  <c r="C65" i="3"/>
  <c r="C66" i="3"/>
  <c r="C67" i="3"/>
  <c r="C68" i="3"/>
  <c r="C69" i="3"/>
  <c r="C70" i="3"/>
  <c r="C71" i="3"/>
  <c r="C72" i="3"/>
  <c r="C73" i="3"/>
  <c r="C74" i="3"/>
  <c r="C75" i="3"/>
  <c r="C76" i="3"/>
  <c r="C77" i="3"/>
  <c r="C78" i="3"/>
  <c r="C79" i="3"/>
  <c r="C80" i="3"/>
  <c r="C81" i="3"/>
  <c r="C82" i="3"/>
  <c r="C83" i="3"/>
  <c r="C84" i="3"/>
  <c r="C85" i="3"/>
  <c r="C86" i="3"/>
  <c r="C87" i="3"/>
  <c r="C88" i="3"/>
  <c r="C89" i="3"/>
  <c r="C90" i="3"/>
  <c r="C91" i="3"/>
  <c r="C92" i="3"/>
  <c r="C93" i="3"/>
  <c r="C94" i="3"/>
  <c r="C95" i="3"/>
  <c r="C96" i="3"/>
  <c r="C97" i="3"/>
  <c r="C98" i="3"/>
  <c r="C99" i="3"/>
  <c r="C100" i="3"/>
  <c r="C101" i="3"/>
  <c r="C102" i="3"/>
  <c r="C103" i="3"/>
  <c r="C104" i="3"/>
  <c r="C105" i="3"/>
  <c r="C106" i="3"/>
  <c r="C107" i="3"/>
  <c r="C108" i="3"/>
  <c r="C109" i="3"/>
  <c r="C110" i="3"/>
  <c r="C111" i="3"/>
  <c r="C112" i="3"/>
  <c r="C113" i="3"/>
  <c r="C114" i="3"/>
  <c r="C115" i="3"/>
  <c r="C116" i="3"/>
  <c r="C117" i="3"/>
  <c r="C118" i="3"/>
  <c r="C119" i="3"/>
  <c r="C120" i="3"/>
  <c r="C121" i="3"/>
  <c r="C122" i="3"/>
  <c r="C123" i="3"/>
  <c r="C124" i="3"/>
  <c r="C125" i="3"/>
  <c r="C126" i="3"/>
  <c r="C127" i="3"/>
  <c r="C128" i="3"/>
  <c r="C129" i="3"/>
  <c r="C130" i="3"/>
  <c r="C131" i="3"/>
  <c r="C132" i="3"/>
  <c r="C133" i="3"/>
  <c r="C134" i="3"/>
  <c r="C135" i="3"/>
  <c r="C136" i="3"/>
  <c r="C137" i="3"/>
  <c r="C138" i="3"/>
  <c r="C139" i="3"/>
  <c r="C140" i="3"/>
  <c r="C141" i="3"/>
  <c r="C142" i="3"/>
  <c r="C143" i="3"/>
  <c r="C144" i="3"/>
  <c r="C145" i="3"/>
  <c r="C146" i="3"/>
  <c r="C147" i="3"/>
  <c r="C148" i="3"/>
  <c r="C149" i="3"/>
  <c r="C150" i="3"/>
  <c r="C151" i="3"/>
  <c r="C152" i="3"/>
  <c r="C153" i="3"/>
  <c r="C154" i="3"/>
  <c r="C155" i="3"/>
  <c r="C156" i="3"/>
  <c r="C4" i="3"/>
  <c r="B5" i="3"/>
  <c r="B6" i="3"/>
  <c r="B7" i="3"/>
  <c r="B8" i="3"/>
  <c r="B9" i="3"/>
  <c r="B10" i="3"/>
  <c r="B11" i="3"/>
  <c r="B12" i="3"/>
  <c r="B13" i="3"/>
  <c r="B14" i="3"/>
  <c r="B15" i="3"/>
  <c r="B16" i="3"/>
  <c r="B17" i="3"/>
  <c r="B18" i="3"/>
  <c r="B19" i="3"/>
  <c r="B20" i="3"/>
  <c r="B21" i="3"/>
  <c r="B22" i="3"/>
  <c r="B23" i="3"/>
  <c r="B24" i="3"/>
  <c r="B25" i="3"/>
  <c r="B26" i="3"/>
  <c r="B27" i="3"/>
  <c r="B28" i="3"/>
  <c r="B29" i="3"/>
  <c r="B30" i="3"/>
  <c r="B31" i="3"/>
  <c r="B32" i="3"/>
  <c r="B33" i="3"/>
  <c r="B34" i="3"/>
  <c r="B35" i="3"/>
  <c r="B36" i="3"/>
  <c r="B37" i="3"/>
  <c r="B38" i="3"/>
  <c r="B39" i="3"/>
  <c r="B40" i="3"/>
  <c r="B41" i="3"/>
  <c r="B42" i="3"/>
  <c r="B43" i="3"/>
  <c r="B44" i="3"/>
  <c r="B45" i="3"/>
  <c r="B46" i="3"/>
  <c r="B47" i="3"/>
  <c r="B48" i="3"/>
  <c r="B49" i="3"/>
  <c r="B50" i="3"/>
  <c r="B51" i="3"/>
  <c r="B52" i="3"/>
  <c r="B53" i="3"/>
  <c r="B54" i="3"/>
  <c r="B55" i="3"/>
  <c r="B56" i="3"/>
  <c r="B57" i="3"/>
  <c r="B58" i="3"/>
  <c r="B59" i="3"/>
  <c r="B60" i="3"/>
  <c r="B61" i="3"/>
  <c r="B62" i="3"/>
  <c r="B63" i="3"/>
  <c r="B64" i="3"/>
  <c r="B65" i="3"/>
  <c r="B66" i="3"/>
  <c r="B67" i="3"/>
  <c r="B68" i="3"/>
  <c r="B69" i="3"/>
  <c r="B70" i="3"/>
  <c r="B71" i="3"/>
  <c r="B72" i="3"/>
  <c r="B73" i="3"/>
  <c r="B74" i="3"/>
  <c r="B75" i="3"/>
  <c r="B76" i="3"/>
  <c r="B77" i="3"/>
  <c r="B78" i="3"/>
  <c r="B79" i="3"/>
  <c r="B80" i="3"/>
  <c r="B81" i="3"/>
  <c r="B82" i="3"/>
  <c r="B83" i="3"/>
  <c r="B84" i="3"/>
  <c r="B85" i="3"/>
  <c r="B86" i="3"/>
  <c r="B87" i="3"/>
  <c r="B88" i="3"/>
  <c r="B89" i="3"/>
  <c r="B90" i="3"/>
  <c r="B91" i="3"/>
  <c r="B92" i="3"/>
  <c r="B93" i="3"/>
  <c r="B94" i="3"/>
  <c r="B95" i="3"/>
  <c r="B96" i="3"/>
  <c r="B97" i="3"/>
  <c r="B98" i="3"/>
  <c r="B99" i="3"/>
  <c r="B100" i="3"/>
  <c r="B101" i="3"/>
  <c r="B102" i="3"/>
  <c r="B103" i="3"/>
  <c r="B104" i="3"/>
  <c r="B105" i="3"/>
  <c r="B106" i="3"/>
  <c r="B107" i="3"/>
  <c r="B108" i="3"/>
  <c r="B109" i="3"/>
  <c r="B110" i="3"/>
  <c r="B111" i="3"/>
  <c r="B112" i="3"/>
  <c r="B113" i="3"/>
  <c r="B114" i="3"/>
  <c r="B115" i="3"/>
  <c r="B116" i="3"/>
  <c r="B117" i="3"/>
  <c r="B118" i="3"/>
  <c r="B119" i="3"/>
  <c r="B120" i="3"/>
  <c r="B121" i="3"/>
  <c r="B122" i="3"/>
  <c r="B123" i="3"/>
  <c r="B124" i="3"/>
  <c r="B125" i="3"/>
  <c r="B126" i="3"/>
  <c r="B127" i="3"/>
  <c r="B128" i="3"/>
  <c r="B129" i="3"/>
  <c r="B130" i="3"/>
  <c r="B131" i="3"/>
  <c r="B132" i="3"/>
  <c r="B133" i="3"/>
  <c r="B134" i="3"/>
  <c r="B135" i="3"/>
  <c r="B136" i="3"/>
  <c r="B137" i="3"/>
  <c r="B138" i="3"/>
  <c r="B139" i="3"/>
  <c r="B140" i="3"/>
  <c r="B141" i="3"/>
  <c r="B142" i="3"/>
  <c r="B143" i="3"/>
  <c r="B144" i="3"/>
  <c r="B145" i="3"/>
  <c r="B146" i="3"/>
  <c r="B147" i="3"/>
  <c r="B148" i="3"/>
  <c r="B149" i="3"/>
  <c r="B150" i="3"/>
  <c r="B151" i="3"/>
  <c r="B152" i="3"/>
  <c r="B153" i="3"/>
  <c r="C5" i="2"/>
  <c r="C6" i="2"/>
  <c r="C7" i="2"/>
  <c r="C8" i="2"/>
  <c r="C9" i="2"/>
  <c r="C10" i="2"/>
  <c r="C11" i="2"/>
  <c r="C12" i="2"/>
  <c r="C13" i="2"/>
  <c r="C14" i="2"/>
  <c r="C15" i="2"/>
  <c r="C16" i="2"/>
  <c r="C17" i="2"/>
  <c r="C18" i="2"/>
  <c r="C19" i="2"/>
  <c r="C20" i="2"/>
  <c r="C21" i="2"/>
  <c r="C22" i="2"/>
  <c r="C23" i="2"/>
  <c r="C24" i="2"/>
  <c r="C25" i="2"/>
  <c r="C26" i="2"/>
  <c r="C27" i="2"/>
  <c r="C28" i="2"/>
  <c r="C29" i="2"/>
  <c r="C30" i="2"/>
  <c r="C31" i="2"/>
  <c r="C32" i="2"/>
  <c r="C33" i="2"/>
  <c r="C34" i="2"/>
  <c r="C35" i="2"/>
  <c r="C36" i="2"/>
  <c r="C37" i="2"/>
  <c r="C38" i="2"/>
  <c r="C39" i="2"/>
  <c r="C40" i="2"/>
  <c r="C41" i="2"/>
  <c r="C42" i="2"/>
  <c r="C43" i="2"/>
  <c r="C44" i="2"/>
  <c r="C45" i="2"/>
  <c r="C46" i="2"/>
  <c r="C47" i="2"/>
  <c r="C48" i="2"/>
  <c r="C49" i="2"/>
  <c r="C50" i="2"/>
  <c r="C51" i="2"/>
  <c r="C52" i="2"/>
  <c r="C53" i="2"/>
  <c r="C54" i="2"/>
  <c r="C55" i="2"/>
  <c r="C56" i="2"/>
  <c r="C57" i="2"/>
  <c r="C58" i="2"/>
  <c r="C59" i="2"/>
  <c r="C60" i="2"/>
  <c r="C61" i="2"/>
  <c r="C62" i="2"/>
  <c r="C63" i="2"/>
  <c r="C64" i="2"/>
  <c r="C65" i="2"/>
  <c r="C66" i="2"/>
  <c r="C67" i="2"/>
  <c r="C68" i="2"/>
  <c r="C69" i="2"/>
  <c r="C70" i="2"/>
  <c r="C71" i="2"/>
  <c r="C72" i="2"/>
  <c r="C73" i="2"/>
  <c r="C74" i="2"/>
  <c r="C75" i="2"/>
  <c r="C76" i="2"/>
  <c r="C77" i="2"/>
  <c r="C78" i="2"/>
  <c r="C79" i="2"/>
  <c r="C80" i="2"/>
  <c r="C81" i="2"/>
  <c r="C82" i="2"/>
  <c r="C83" i="2"/>
  <c r="C84" i="2"/>
  <c r="C85" i="2"/>
  <c r="C86" i="2"/>
  <c r="C87" i="2"/>
  <c r="C88" i="2"/>
  <c r="C89" i="2"/>
  <c r="C90" i="2"/>
  <c r="C91" i="2"/>
  <c r="C92" i="2"/>
  <c r="C93" i="2"/>
  <c r="C94" i="2"/>
  <c r="C95" i="2"/>
  <c r="C96" i="2"/>
  <c r="C97" i="2"/>
  <c r="C98" i="2"/>
  <c r="C99" i="2"/>
  <c r="C100" i="2"/>
  <c r="C101" i="2"/>
  <c r="C102" i="2"/>
  <c r="C103" i="2"/>
  <c r="C104" i="2"/>
  <c r="C105" i="2"/>
  <c r="C106" i="2"/>
  <c r="C107" i="2"/>
  <c r="C108" i="2"/>
  <c r="C109" i="2"/>
  <c r="C110" i="2"/>
  <c r="C111" i="2"/>
  <c r="C112" i="2"/>
  <c r="C113" i="2"/>
  <c r="C114" i="2"/>
  <c r="C115" i="2"/>
  <c r="C116" i="2"/>
  <c r="C117" i="2"/>
  <c r="C118" i="2"/>
  <c r="C119" i="2"/>
  <c r="C120" i="2"/>
  <c r="C121" i="2"/>
  <c r="C122" i="2"/>
  <c r="C123" i="2"/>
  <c r="C124" i="2"/>
  <c r="C125" i="2"/>
  <c r="C126" i="2"/>
  <c r="C127" i="2"/>
  <c r="C128" i="2"/>
  <c r="C129" i="2"/>
  <c r="C130" i="2"/>
  <c r="C131" i="2"/>
  <c r="C132" i="2"/>
  <c r="C133" i="2"/>
  <c r="C134" i="2"/>
  <c r="C135" i="2"/>
  <c r="C136" i="2"/>
  <c r="C137" i="2"/>
  <c r="C138" i="2"/>
  <c r="C139" i="2"/>
  <c r="C140" i="2"/>
  <c r="C141" i="2"/>
  <c r="C142" i="2"/>
  <c r="C143" i="2"/>
  <c r="C144" i="2"/>
  <c r="C145" i="2"/>
  <c r="C146" i="2"/>
  <c r="C147" i="2"/>
  <c r="C148" i="2"/>
  <c r="C149" i="2"/>
  <c r="C150" i="2"/>
  <c r="C151" i="2"/>
  <c r="C152" i="2"/>
  <c r="C153" i="2"/>
  <c r="C154" i="2"/>
  <c r="C155" i="2"/>
  <c r="C156" i="2"/>
  <c r="B5" i="2"/>
  <c r="B6" i="2"/>
  <c r="B7" i="2"/>
  <c r="B8" i="2"/>
  <c r="B9" i="2"/>
  <c r="B10" i="2"/>
  <c r="B11" i="2"/>
  <c r="B12" i="2"/>
  <c r="B13" i="2"/>
  <c r="B14" i="2"/>
  <c r="B15" i="2"/>
  <c r="B16" i="2"/>
  <c r="B17" i="2"/>
  <c r="B18" i="2"/>
  <c r="B19" i="2"/>
  <c r="B20" i="2"/>
  <c r="B21" i="2"/>
  <c r="B22" i="2"/>
  <c r="B23" i="2"/>
  <c r="B24" i="2"/>
  <c r="B25" i="2"/>
  <c r="B26" i="2"/>
  <c r="B27" i="2"/>
  <c r="B28" i="2"/>
  <c r="B29" i="2"/>
  <c r="B30" i="2"/>
  <c r="B31" i="2"/>
  <c r="B32" i="2"/>
  <c r="B33" i="2"/>
  <c r="B34" i="2"/>
  <c r="B35" i="2"/>
  <c r="B36" i="2"/>
  <c r="B37" i="2"/>
  <c r="B38" i="2"/>
  <c r="B39" i="2"/>
  <c r="B40" i="2"/>
  <c r="B41" i="2"/>
  <c r="B42" i="2"/>
  <c r="B43" i="2"/>
  <c r="B44" i="2"/>
  <c r="B45" i="2"/>
  <c r="B46" i="2"/>
  <c r="B47" i="2"/>
  <c r="B48" i="2"/>
  <c r="B49" i="2"/>
  <c r="B50" i="2"/>
  <c r="B51" i="2"/>
  <c r="B52" i="2"/>
  <c r="B53" i="2"/>
  <c r="B54" i="2"/>
  <c r="B55" i="2"/>
  <c r="B56" i="2"/>
  <c r="B57" i="2"/>
  <c r="B58" i="2"/>
  <c r="B59" i="2"/>
  <c r="B60" i="2"/>
  <c r="B61" i="2"/>
  <c r="B62" i="2"/>
  <c r="B63" i="2"/>
  <c r="B64" i="2"/>
  <c r="B65" i="2"/>
  <c r="B66" i="2"/>
  <c r="B67" i="2"/>
  <c r="B68" i="2"/>
  <c r="B69" i="2"/>
  <c r="B70" i="2"/>
  <c r="B71" i="2"/>
  <c r="B72" i="2"/>
  <c r="B73" i="2"/>
  <c r="B74" i="2"/>
  <c r="B75" i="2"/>
  <c r="B76" i="2"/>
  <c r="B77" i="2"/>
  <c r="B78" i="2"/>
  <c r="B79" i="2"/>
  <c r="B80" i="2"/>
  <c r="B81" i="2"/>
  <c r="B82" i="2"/>
  <c r="B83" i="2"/>
  <c r="B84" i="2"/>
  <c r="B85" i="2"/>
  <c r="B86" i="2"/>
  <c r="B87" i="2"/>
  <c r="B88" i="2"/>
  <c r="B89" i="2"/>
  <c r="B90" i="2"/>
  <c r="B91" i="2"/>
  <c r="B92" i="2"/>
  <c r="B93" i="2"/>
  <c r="B94" i="2"/>
  <c r="B95" i="2"/>
  <c r="B96" i="2"/>
  <c r="B97" i="2"/>
  <c r="B98" i="2"/>
  <c r="B99" i="2"/>
  <c r="B100" i="2"/>
  <c r="B101" i="2"/>
  <c r="B102" i="2"/>
  <c r="B103" i="2"/>
  <c r="B104" i="2"/>
  <c r="B105" i="2"/>
  <c r="B106" i="2"/>
  <c r="B107" i="2"/>
  <c r="B108" i="2"/>
  <c r="B109" i="2"/>
  <c r="B110" i="2"/>
  <c r="B111" i="2"/>
  <c r="B112" i="2"/>
  <c r="B113" i="2"/>
  <c r="B114" i="2"/>
  <c r="B115" i="2"/>
  <c r="B116" i="2"/>
  <c r="B117" i="2"/>
  <c r="B118" i="2"/>
  <c r="B119" i="2"/>
  <c r="B120" i="2"/>
  <c r="B121" i="2"/>
  <c r="B122" i="2"/>
  <c r="B123" i="2"/>
  <c r="C4" i="2"/>
  <c r="B4" i="2"/>
  <c r="B4" i="3"/>
  <c r="C129" i="1"/>
  <c r="C128" i="1"/>
  <c r="C127" i="1"/>
  <c r="C126" i="1"/>
  <c r="C125" i="1"/>
  <c r="C124" i="1"/>
  <c r="C123" i="1"/>
  <c r="C122" i="1"/>
  <c r="C121" i="1"/>
  <c r="C120" i="1"/>
  <c r="C119" i="1"/>
  <c r="C118" i="1"/>
  <c r="C117" i="1"/>
  <c r="C116" i="1"/>
  <c r="C115" i="1"/>
  <c r="C114" i="1"/>
  <c r="C113" i="1"/>
  <c r="C112" i="1"/>
  <c r="C111" i="1"/>
  <c r="C110" i="1"/>
  <c r="C109" i="1"/>
  <c r="C108" i="1"/>
  <c r="C107" i="1"/>
  <c r="C106" i="1"/>
  <c r="C105" i="1"/>
  <c r="C104" i="1"/>
  <c r="C103" i="1"/>
  <c r="C102" i="1"/>
  <c r="C101" i="1"/>
  <c r="C100" i="1"/>
  <c r="C99" i="1"/>
  <c r="C98" i="1"/>
  <c r="C97" i="1"/>
  <c r="B98" i="25" s="1" a="1"/>
  <c r="C96" i="1"/>
  <c r="B97" i="25" s="1" a="1"/>
  <c r="B97" i="25" s="1"/>
  <c r="C97" i="25" s="1"/>
  <c r="C95" i="1"/>
  <c r="B96" i="25" s="1" a="1"/>
  <c r="B96" i="25" s="1"/>
  <c r="C96" i="25" s="1"/>
  <c r="C94" i="1"/>
  <c r="B95" i="25" s="1" a="1"/>
  <c r="B95" i="25" s="1"/>
  <c r="C95" i="25" s="1"/>
  <c r="C93" i="1"/>
  <c r="B94" i="25" s="1" a="1"/>
  <c r="B94" i="25" s="1"/>
  <c r="C94" i="25" s="1"/>
  <c r="C92" i="1"/>
  <c r="B93" i="25" s="1" a="1"/>
  <c r="B93" i="25" s="1"/>
  <c r="C93" i="25" s="1"/>
  <c r="C91" i="1"/>
  <c r="B92" i="25" s="1" a="1"/>
  <c r="B92" i="25" s="1"/>
  <c r="C92" i="25" s="1"/>
  <c r="C90" i="1"/>
  <c r="B91" i="25" s="1" a="1"/>
  <c r="B91" i="25" s="1"/>
  <c r="C91" i="25" s="1"/>
  <c r="C89" i="1"/>
  <c r="B90" i="25" s="1" a="1"/>
  <c r="B90" i="25" s="1"/>
  <c r="C90" i="25" s="1"/>
  <c r="C88" i="1"/>
  <c r="B89" i="25" s="1" a="1"/>
  <c r="B89" i="25" s="1"/>
  <c r="C89" i="25" s="1"/>
  <c r="C87" i="1"/>
  <c r="B88" i="25" s="1" a="1"/>
  <c r="B88" i="25" s="1"/>
  <c r="C88" i="25" s="1"/>
  <c r="C86" i="1"/>
  <c r="B87" i="25" s="1" a="1"/>
  <c r="B87" i="25" s="1"/>
  <c r="C87" i="25" s="1"/>
  <c r="C85" i="1"/>
  <c r="B86" i="25" s="1" a="1"/>
  <c r="B86" i="25" s="1"/>
  <c r="C86" i="25" s="1"/>
  <c r="C84" i="1"/>
  <c r="B85" i="25" s="1" a="1"/>
  <c r="B85" i="25" s="1"/>
  <c r="C85" i="25" s="1"/>
  <c r="C83" i="1"/>
  <c r="B84" i="25" s="1" a="1"/>
  <c r="B84" i="25" s="1"/>
  <c r="C84" i="25" s="1"/>
  <c r="C82" i="1"/>
  <c r="B83" i="25" s="1" a="1"/>
  <c r="B83" i="25" s="1"/>
  <c r="C83" i="25" s="1"/>
  <c r="C81" i="1"/>
  <c r="B82" i="25" s="1" a="1"/>
  <c r="B82" i="25" s="1"/>
  <c r="C82" i="25" s="1"/>
  <c r="C80" i="1"/>
  <c r="B81" i="25" s="1" a="1"/>
  <c r="B81" i="25" s="1"/>
  <c r="C81" i="25" s="1"/>
  <c r="C79" i="1"/>
  <c r="B80" i="25" s="1" a="1"/>
  <c r="B80" i="25" s="1"/>
  <c r="C80" i="25" s="1"/>
  <c r="C78" i="1"/>
  <c r="B79" i="25" s="1" a="1"/>
  <c r="B79" i="25" s="1"/>
  <c r="C79" i="25" s="1"/>
  <c r="C77" i="1"/>
  <c r="B78" i="25" s="1" a="1"/>
  <c r="B78" i="25" s="1"/>
  <c r="C78" i="25" s="1"/>
  <c r="C76" i="1"/>
  <c r="B77" i="25" s="1" a="1"/>
  <c r="B77" i="25" s="1"/>
  <c r="C77" i="25" s="1"/>
  <c r="C75" i="1"/>
  <c r="B76" i="25" s="1" a="1"/>
  <c r="B76" i="25" s="1"/>
  <c r="C76" i="25" s="1"/>
  <c r="C74" i="1"/>
  <c r="B75" i="25" s="1" a="1"/>
  <c r="B75" i="25" s="1"/>
  <c r="C75" i="25" s="1"/>
  <c r="C73" i="1"/>
  <c r="B74" i="25" s="1" a="1"/>
  <c r="B74" i="25" s="1"/>
  <c r="C72" i="1"/>
  <c r="B73" i="25" s="1" a="1"/>
  <c r="B73" i="25" s="1"/>
  <c r="C71" i="1"/>
  <c r="B72" i="25" s="1" a="1"/>
  <c r="B72" i="25" s="1"/>
  <c r="C70" i="1"/>
  <c r="B71" i="25" s="1" a="1"/>
  <c r="B71" i="25" s="1"/>
  <c r="C69" i="1"/>
  <c r="B70" i="25" s="1" a="1"/>
  <c r="B70" i="25" s="1"/>
  <c r="C70" i="25" s="1"/>
  <c r="C68" i="1"/>
  <c r="B69" i="25" s="1" a="1"/>
  <c r="B69" i="25" s="1"/>
  <c r="C69" i="25" s="1"/>
  <c r="C67" i="1"/>
  <c r="B68" i="25" s="1" a="1"/>
  <c r="B68" i="25" s="1"/>
  <c r="C68" i="25" s="1"/>
  <c r="C66" i="1"/>
  <c r="B67" i="25" s="1" a="1"/>
  <c r="B67" i="25" s="1"/>
  <c r="C67" i="25" s="1"/>
  <c r="C65" i="1"/>
  <c r="B66" i="25" s="1" a="1"/>
  <c r="B66" i="25" s="1"/>
  <c r="C66" i="25" s="1"/>
  <c r="C64" i="1"/>
  <c r="B65" i="25" s="1" a="1"/>
  <c r="B65" i="25" s="1"/>
  <c r="C65" i="25" s="1"/>
  <c r="C63" i="1"/>
  <c r="B64" i="25" s="1" a="1"/>
  <c r="B64" i="25" s="1"/>
  <c r="C64" i="25" s="1"/>
  <c r="C62" i="1"/>
  <c r="B63" i="25" s="1" a="1"/>
  <c r="B63" i="25" s="1"/>
  <c r="C63" i="25" s="1"/>
  <c r="C61" i="1"/>
  <c r="B62" i="25" s="1" a="1"/>
  <c r="B62" i="25" s="1"/>
  <c r="C62" i="25" s="1"/>
  <c r="C60" i="1"/>
  <c r="B61" i="25" s="1" a="1"/>
  <c r="B61" i="25" s="1"/>
  <c r="C61" i="25" s="1"/>
  <c r="C59" i="1"/>
  <c r="B60" i="25" s="1" a="1"/>
  <c r="B60" i="25" s="1"/>
  <c r="C60" i="25" s="1"/>
  <c r="C58" i="1"/>
  <c r="B59" i="25" s="1" a="1"/>
  <c r="B59" i="25" s="1"/>
  <c r="C59" i="25" s="1"/>
  <c r="C57" i="1"/>
  <c r="B58" i="25" s="1" a="1"/>
  <c r="B58" i="25" s="1"/>
  <c r="C58" i="25" s="1"/>
  <c r="C56" i="1"/>
  <c r="B57" i="25" s="1" a="1"/>
  <c r="B57" i="25" s="1"/>
  <c r="C57" i="25" s="1"/>
  <c r="C55" i="1"/>
  <c r="B56" i="25" s="1" a="1"/>
  <c r="B56" i="25" s="1"/>
  <c r="C56" i="25" s="1"/>
  <c r="C54" i="1"/>
  <c r="B55" i="25" s="1" a="1"/>
  <c r="B55" i="25" s="1"/>
  <c r="C55" i="25" s="1"/>
  <c r="C53" i="1"/>
  <c r="B54" i="25" s="1" a="1"/>
  <c r="B54" i="25" s="1"/>
  <c r="C54" i="25" s="1"/>
  <c r="C52" i="1"/>
  <c r="B53" i="25" s="1" a="1"/>
  <c r="B53" i="25" s="1"/>
  <c r="C53" i="25" s="1"/>
  <c r="C51" i="1"/>
  <c r="B52" i="25" s="1" a="1"/>
  <c r="B52" i="25" s="1"/>
  <c r="C50" i="1"/>
  <c r="B51" i="25" s="1" a="1"/>
  <c r="B51" i="25" s="1"/>
  <c r="C49" i="1"/>
  <c r="B50" i="25" s="1" a="1"/>
  <c r="B50" i="25" s="1"/>
  <c r="C48" i="1"/>
  <c r="B49" i="25" s="1" a="1"/>
  <c r="B49" i="25" s="1"/>
  <c r="C47" i="1"/>
  <c r="B48" i="25" s="1" a="1"/>
  <c r="B48" i="25" s="1"/>
  <c r="C46" i="1"/>
  <c r="B47" i="25" s="1" a="1"/>
  <c r="B47" i="25" s="1"/>
  <c r="C45" i="1"/>
  <c r="B46" i="25" s="1" a="1"/>
  <c r="B46" i="25" s="1"/>
  <c r="E46" i="25" s="1"/>
  <c r="C44" i="1"/>
  <c r="B45" i="25" s="1" a="1"/>
  <c r="B45" i="25" s="1"/>
  <c r="E45" i="25" s="1"/>
  <c r="C43" i="1"/>
  <c r="B44" i="25" s="1" a="1"/>
  <c r="B44" i="25" s="1"/>
  <c r="E44" i="25" s="1"/>
  <c r="C42" i="1"/>
  <c r="B43" i="25" s="1" a="1"/>
  <c r="B43" i="25" s="1"/>
  <c r="E43" i="25" s="1"/>
  <c r="C41" i="1"/>
  <c r="B42" i="25" s="1" a="1"/>
  <c r="B42" i="25" s="1"/>
  <c r="E42" i="25" s="1"/>
  <c r="C40" i="1"/>
  <c r="B41" i="25" s="1" a="1"/>
  <c r="B41" i="25" s="1"/>
  <c r="E41" i="25" s="1"/>
  <c r="C39" i="1"/>
  <c r="B40" i="25" s="1" a="1"/>
  <c r="B40" i="25" s="1"/>
  <c r="E40" i="25" s="1"/>
  <c r="C38" i="1"/>
  <c r="B39" i="25" s="1" a="1"/>
  <c r="B39" i="25" s="1"/>
  <c r="E39" i="25" s="1"/>
  <c r="C37" i="1"/>
  <c r="B38" i="25" s="1" a="1"/>
  <c r="B38" i="25" s="1"/>
  <c r="E38" i="25" s="1"/>
  <c r="C36" i="1"/>
  <c r="B37" i="25" s="1" a="1"/>
  <c r="B37" i="25" s="1"/>
  <c r="E37" i="25" s="1"/>
  <c r="C35" i="1"/>
  <c r="B36" i="25" s="1" a="1"/>
  <c r="B36" i="25" s="1"/>
  <c r="E36" i="25" s="1"/>
  <c r="C34" i="1"/>
  <c r="C33" i="1"/>
  <c r="C32" i="1"/>
  <c r="C31" i="1"/>
  <c r="C30" i="1"/>
  <c r="C29" i="1"/>
  <c r="C28" i="1"/>
  <c r="C27" i="1"/>
  <c r="C26" i="1"/>
  <c r="C25" i="1"/>
  <c r="C24" i="1"/>
  <c r="C23" i="1"/>
  <c r="C22" i="1"/>
  <c r="C21" i="1"/>
  <c r="C20" i="1"/>
  <c r="C19" i="1"/>
  <c r="C18" i="1"/>
  <c r="C17" i="1"/>
  <c r="C16" i="1"/>
  <c r="C15" i="1"/>
  <c r="C14" i="1"/>
  <c r="C13" i="1"/>
  <c r="C12" i="1"/>
  <c r="C11" i="1"/>
  <c r="C10" i="1"/>
  <c r="C9" i="1"/>
  <c r="C8" i="1"/>
  <c r="C7" i="1"/>
  <c r="C6" i="1"/>
  <c r="C5" i="1"/>
  <c r="C4" i="1"/>
  <c r="C3" i="1"/>
  <c r="C2" i="1"/>
  <c r="B124" i="2"/>
  <c r="B125" i="2"/>
  <c r="B126" i="2"/>
  <c r="B127" i="2"/>
  <c r="B128" i="2"/>
  <c r="B129" i="2"/>
  <c r="B130" i="2"/>
  <c r="B131" i="2"/>
  <c r="B132" i="2"/>
  <c r="B133" i="2"/>
  <c r="B134" i="2"/>
  <c r="B135" i="2"/>
  <c r="B136" i="2"/>
  <c r="B137" i="2"/>
  <c r="B138" i="2"/>
  <c r="B139" i="2"/>
  <c r="H139" i="2" s="1"/>
  <c r="B140" i="2"/>
  <c r="H140" i="2" s="1"/>
  <c r="B141" i="2"/>
  <c r="H141" i="2" s="1"/>
  <c r="B142" i="2"/>
  <c r="H142" i="2" s="1"/>
  <c r="B143" i="2"/>
  <c r="H143" i="2" s="1"/>
  <c r="B144" i="2"/>
  <c r="H144" i="2" s="1"/>
  <c r="B145" i="2"/>
  <c r="H145" i="2" s="1"/>
  <c r="B146" i="2"/>
  <c r="H146" i="2" s="1"/>
  <c r="B147" i="2"/>
  <c r="H147" i="2" s="1"/>
  <c r="B148" i="2"/>
  <c r="H148" i="2" s="1"/>
  <c r="B149" i="2"/>
  <c r="H149" i="2" s="1"/>
  <c r="B150" i="2"/>
  <c r="H150" i="2" s="1"/>
  <c r="G19" i="25" a="1"/>
  <c r="G19" i="25"/>
  <c r="H19" i="25" a="1"/>
  <c r="H19" i="25"/>
  <c r="I19" i="25" a="1"/>
  <c r="I19" i="25" s="1"/>
  <c r="G20" i="25" a="1"/>
  <c r="G20" i="25"/>
  <c r="H20" i="25" a="1"/>
  <c r="H20" i="25"/>
  <c r="I20" i="25" a="1"/>
  <c r="I20" i="25" s="1"/>
  <c r="G21" i="25" a="1"/>
  <c r="G21" i="25"/>
  <c r="H21" i="25" a="1"/>
  <c r="H21" i="25"/>
  <c r="I21" i="25" a="1"/>
  <c r="I21" i="25" s="1"/>
  <c r="G22" i="25" a="1"/>
  <c r="G22" i="25"/>
  <c r="H22" i="25" a="1"/>
  <c r="H22" i="25"/>
  <c r="I22" i="25" a="1"/>
  <c r="I22" i="25" s="1"/>
  <c r="G23" i="25" a="1"/>
  <c r="G23" i="25"/>
  <c r="H23" i="25" a="1"/>
  <c r="H23" i="25"/>
  <c r="I23" i="25" a="1"/>
  <c r="I23" i="25" s="1"/>
  <c r="G24" i="25" a="1"/>
  <c r="G24" i="25"/>
  <c r="H24" i="25" a="1"/>
  <c r="H24" i="25"/>
  <c r="I24" i="25" a="1"/>
  <c r="I24" i="25" s="1"/>
  <c r="G25" i="25" a="1"/>
  <c r="G25" i="25"/>
  <c r="H25" i="25" a="1"/>
  <c r="H25" i="25"/>
  <c r="I25" i="25" a="1"/>
  <c r="I25" i="25" s="1"/>
  <c r="G26" i="25" a="1"/>
  <c r="G26" i="25"/>
  <c r="H26" i="25" a="1"/>
  <c r="H26" i="25"/>
  <c r="I26" i="25" a="1"/>
  <c r="I26" i="25" s="1"/>
  <c r="G27" i="25" a="1"/>
  <c r="G27" i="25"/>
  <c r="H27" i="25" a="1"/>
  <c r="H27" i="25"/>
  <c r="I27" i="25" a="1"/>
  <c r="I27" i="25" s="1"/>
  <c r="G28" i="25" a="1"/>
  <c r="G28" i="25"/>
  <c r="H28" i="25" a="1"/>
  <c r="H28" i="25"/>
  <c r="I28" i="25" a="1"/>
  <c r="I28" i="25" s="1"/>
  <c r="G29" i="25" a="1"/>
  <c r="G29" i="25"/>
  <c r="H29" i="25" a="1"/>
  <c r="H29" i="25"/>
  <c r="I29" i="25" a="1"/>
  <c r="I29" i="25" s="1"/>
  <c r="G30" i="25" a="1"/>
  <c r="G30" i="25"/>
  <c r="H30" i="25" a="1"/>
  <c r="H30" i="25"/>
  <c r="I30" i="25" a="1"/>
  <c r="I30" i="25" s="1"/>
  <c r="G31" i="25" a="1"/>
  <c r="G31" i="25"/>
  <c r="H31" i="25" a="1"/>
  <c r="H31" i="25"/>
  <c r="I31" i="25" a="1"/>
  <c r="I31" i="25" s="1"/>
  <c r="G32" i="25" a="1"/>
  <c r="G32" i="25"/>
  <c r="H32" i="25" a="1"/>
  <c r="H32" i="25"/>
  <c r="I32" i="25" a="1"/>
  <c r="I32" i="25" s="1"/>
  <c r="G33" i="25" a="1"/>
  <c r="G33" i="25"/>
  <c r="H33" i="25" a="1"/>
  <c r="H33" i="25"/>
  <c r="I33" i="25" a="1"/>
  <c r="I33" i="25" s="1"/>
  <c r="G34" i="25" a="1"/>
  <c r="G34" i="25"/>
  <c r="H34" i="25" a="1"/>
  <c r="H34" i="25"/>
  <c r="I34" i="25" a="1"/>
  <c r="I34" i="25" s="1"/>
  <c r="F19" i="25" a="1"/>
  <c r="F19" i="25" s="1"/>
  <c r="F20" i="25" a="1"/>
  <c r="F20" i="25" s="1"/>
  <c r="F21" i="25" a="1"/>
  <c r="F21" i="25"/>
  <c r="F22" i="25" a="1"/>
  <c r="F22" i="25" s="1"/>
  <c r="F23" i="25" a="1"/>
  <c r="F23" i="25" s="1"/>
  <c r="F24" i="25" a="1"/>
  <c r="F24" i="25"/>
  <c r="F25" i="25" a="1"/>
  <c r="F25" i="25" s="1"/>
  <c r="F26" i="25" a="1"/>
  <c r="F26" i="25" s="1"/>
  <c r="F27" i="25" a="1"/>
  <c r="F27" i="25"/>
  <c r="F28" i="25" a="1"/>
  <c r="F28" i="25" s="1"/>
  <c r="F29" i="25" a="1"/>
  <c r="F29" i="25" s="1"/>
  <c r="F30" i="25" a="1"/>
  <c r="F30" i="25"/>
  <c r="F31" i="25" a="1"/>
  <c r="F31" i="25" s="1"/>
  <c r="F32" i="25" a="1"/>
  <c r="F32" i="25" s="1"/>
  <c r="F33" i="25" a="1"/>
  <c r="F33" i="25"/>
  <c r="F34" i="25" a="1"/>
  <c r="F34" i="25" s="1"/>
  <c r="F35" i="25" a="1"/>
  <c r="F35" i="25" s="1"/>
  <c r="L125" i="36"/>
  <c r="L126" i="36"/>
  <c r="B28" i="36"/>
  <c r="B35" i="36"/>
  <c r="B17" i="36"/>
  <c r="B30" i="36"/>
  <c r="B22" i="36"/>
  <c r="B38" i="36"/>
  <c r="B13" i="36"/>
  <c r="B5" i="36"/>
  <c r="B61" i="36"/>
  <c r="B56" i="36"/>
  <c r="B46" i="36"/>
  <c r="B14" i="36"/>
  <c r="B7" i="36"/>
  <c r="B11" i="36"/>
  <c r="B6" i="36"/>
  <c r="B49" i="36"/>
  <c r="B48" i="36"/>
  <c r="B62" i="36"/>
  <c r="B31" i="36"/>
  <c r="B37" i="36"/>
  <c r="B21" i="36"/>
  <c r="B12" i="36"/>
  <c r="B33" i="36"/>
  <c r="B57" i="36"/>
  <c r="B45" i="36"/>
  <c r="B50" i="36"/>
  <c r="B39" i="36"/>
  <c r="B9" i="36"/>
  <c r="B58" i="36"/>
  <c r="B29" i="36"/>
  <c r="B20" i="36"/>
  <c r="B25" i="36"/>
  <c r="B34" i="36"/>
  <c r="B36" i="36"/>
  <c r="B15" i="36"/>
  <c r="B44" i="36"/>
  <c r="B16" i="36"/>
  <c r="B19" i="36"/>
  <c r="B53" i="36"/>
  <c r="B63" i="36"/>
  <c r="B52" i="36"/>
  <c r="B51" i="36"/>
  <c r="B60" i="36"/>
  <c r="B43" i="36"/>
  <c r="B40" i="36"/>
  <c r="B23" i="36"/>
  <c r="B41" i="36"/>
  <c r="B18" i="36"/>
  <c r="B8" i="36"/>
  <c r="B42" i="36"/>
  <c r="B64" i="36"/>
  <c r="B59" i="36"/>
  <c r="B55" i="36"/>
  <c r="B47" i="36"/>
  <c r="B54" i="36"/>
  <c r="B24" i="36"/>
  <c r="B27" i="36"/>
  <c r="B10" i="36"/>
  <c r="B26" i="36"/>
  <c r="B65" i="36"/>
  <c r="B66" i="36"/>
  <c r="B67" i="36"/>
  <c r="B68" i="36"/>
  <c r="B69" i="36"/>
  <c r="B70" i="36"/>
  <c r="B71" i="36"/>
  <c r="B72" i="36"/>
  <c r="B73" i="36"/>
  <c r="B74" i="36"/>
  <c r="B75" i="36"/>
  <c r="B76" i="36"/>
  <c r="B77" i="36"/>
  <c r="B78" i="36"/>
  <c r="B79" i="36"/>
  <c r="B80" i="36"/>
  <c r="B81" i="36"/>
  <c r="B82" i="36"/>
  <c r="B83" i="36"/>
  <c r="B84" i="36"/>
  <c r="B85" i="36"/>
  <c r="B86" i="36"/>
  <c r="B87" i="36"/>
  <c r="B88" i="36"/>
  <c r="B89" i="36"/>
  <c r="B90" i="36"/>
  <c r="B91" i="36"/>
  <c r="B92" i="36"/>
  <c r="B93" i="36"/>
  <c r="B94" i="36"/>
  <c r="B95" i="36"/>
  <c r="B96" i="36"/>
  <c r="B97" i="36"/>
  <c r="B98" i="36"/>
  <c r="B99" i="36"/>
  <c r="B100" i="36"/>
  <c r="B101" i="36"/>
  <c r="B102" i="36"/>
  <c r="B103" i="36"/>
  <c r="B104" i="36"/>
  <c r="B105" i="36"/>
  <c r="B106" i="36"/>
  <c r="B107" i="36"/>
  <c r="B108" i="36"/>
  <c r="B109" i="36"/>
  <c r="B110" i="36"/>
  <c r="B111" i="36"/>
  <c r="B112" i="36"/>
  <c r="B113" i="36"/>
  <c r="B114" i="36"/>
  <c r="B115" i="36"/>
  <c r="B116" i="36"/>
  <c r="B117" i="36"/>
  <c r="B118" i="36"/>
  <c r="B119" i="36"/>
  <c r="B120" i="36"/>
  <c r="B121" i="36"/>
  <c r="B122" i="36"/>
  <c r="B123" i="36"/>
  <c r="B124" i="36"/>
  <c r="B32" i="36"/>
  <c r="J1122" i="3"/>
  <c r="J1121" i="3"/>
  <c r="J1120" i="3"/>
  <c r="J1119" i="3"/>
  <c r="J1118" i="3"/>
  <c r="J1117" i="3"/>
  <c r="J1116" i="3"/>
  <c r="J1115" i="3"/>
  <c r="J1114" i="3"/>
  <c r="J1113" i="3"/>
  <c r="J1112" i="3"/>
  <c r="J1111" i="3"/>
  <c r="J1110" i="3"/>
  <c r="J1109" i="3"/>
  <c r="J1108" i="3"/>
  <c r="J1107" i="3"/>
  <c r="J1106" i="3"/>
  <c r="J1105" i="3"/>
  <c r="J1104" i="3"/>
  <c r="J1103" i="3"/>
  <c r="J1102" i="3"/>
  <c r="J1101" i="3"/>
  <c r="J1100" i="3"/>
  <c r="J1099" i="3"/>
  <c r="J1098" i="3"/>
  <c r="J1097" i="3"/>
  <c r="J1096" i="3"/>
  <c r="J1095" i="3"/>
  <c r="J1094" i="3"/>
  <c r="J1093" i="3"/>
  <c r="J1092" i="3"/>
  <c r="J1091" i="3"/>
  <c r="J1090" i="3"/>
  <c r="J1089" i="3"/>
  <c r="J1088" i="3"/>
  <c r="J1087" i="3"/>
  <c r="J1086" i="3"/>
  <c r="J1085" i="3"/>
  <c r="J1084" i="3"/>
  <c r="J1083" i="3"/>
  <c r="J1082" i="3"/>
  <c r="J1081" i="3"/>
  <c r="J1080" i="3"/>
  <c r="J1079" i="3"/>
  <c r="J1078" i="3"/>
  <c r="J1077" i="3"/>
  <c r="J1076" i="3"/>
  <c r="J1075" i="3"/>
  <c r="J1074" i="3"/>
  <c r="J1073" i="3"/>
  <c r="J1072" i="3"/>
  <c r="J1071" i="3"/>
  <c r="J1070" i="3"/>
  <c r="J1069" i="3"/>
  <c r="J1068" i="3"/>
  <c r="J1067" i="3"/>
  <c r="J1066" i="3"/>
  <c r="J1065" i="3"/>
  <c r="J1064" i="3"/>
  <c r="J1063" i="3"/>
  <c r="J1062" i="3"/>
  <c r="J1061" i="3"/>
  <c r="J1060" i="3"/>
  <c r="J1059" i="3"/>
  <c r="J1058" i="3"/>
  <c r="J1057" i="3"/>
  <c r="J1056" i="3"/>
  <c r="J1055" i="3"/>
  <c r="J1054" i="3"/>
  <c r="J1053" i="3"/>
  <c r="J1052" i="3"/>
  <c r="J1051" i="3"/>
  <c r="J1050" i="3"/>
  <c r="J1049" i="3"/>
  <c r="J1048" i="3"/>
  <c r="J1047" i="3"/>
  <c r="J1046" i="3"/>
  <c r="J1045" i="3"/>
  <c r="J1044" i="3"/>
  <c r="J1043" i="3"/>
  <c r="J1042" i="3"/>
  <c r="J1041" i="3"/>
  <c r="J1040" i="3"/>
  <c r="J1039" i="3"/>
  <c r="J1038" i="3"/>
  <c r="J1037" i="3"/>
  <c r="J1036" i="3"/>
  <c r="J1035" i="3"/>
  <c r="J1034" i="3"/>
  <c r="J1033" i="3"/>
  <c r="J1032" i="3"/>
  <c r="J1031" i="3"/>
  <c r="J1030" i="3"/>
  <c r="J1029" i="3"/>
  <c r="J1028" i="3"/>
  <c r="J1027" i="3"/>
  <c r="J1026" i="3"/>
  <c r="J1025" i="3"/>
  <c r="J1024" i="3"/>
  <c r="J1023" i="3"/>
  <c r="J1022" i="3"/>
  <c r="J1021" i="3"/>
  <c r="J1020" i="3"/>
  <c r="J1019" i="3"/>
  <c r="J1018" i="3"/>
  <c r="J1017" i="3"/>
  <c r="J1016" i="3"/>
  <c r="J1015" i="3"/>
  <c r="J1014" i="3"/>
  <c r="J1013" i="3"/>
  <c r="J1012" i="3"/>
  <c r="J1011" i="3"/>
  <c r="J1010" i="3"/>
  <c r="J1009" i="3"/>
  <c r="J1008" i="3"/>
  <c r="J1007" i="3"/>
  <c r="J1006" i="3"/>
  <c r="J1005" i="3"/>
  <c r="J1004" i="3"/>
  <c r="J1003" i="3"/>
  <c r="J1002" i="3"/>
  <c r="J1001" i="3"/>
  <c r="J1000" i="3"/>
  <c r="J999" i="3"/>
  <c r="J998" i="3"/>
  <c r="J997" i="3"/>
  <c r="J996" i="3"/>
  <c r="J995" i="3"/>
  <c r="J994" i="3"/>
  <c r="J993" i="3"/>
  <c r="J992" i="3"/>
  <c r="J991" i="3"/>
  <c r="J990" i="3"/>
  <c r="J989" i="3"/>
  <c r="J988" i="3"/>
  <c r="J987" i="3"/>
  <c r="J986" i="3"/>
  <c r="J985" i="3"/>
  <c r="J984" i="3"/>
  <c r="J983" i="3"/>
  <c r="J982" i="3"/>
  <c r="J981" i="3"/>
  <c r="J980" i="3"/>
  <c r="J979" i="3"/>
  <c r="J978" i="3"/>
  <c r="J977" i="3"/>
  <c r="J976" i="3"/>
  <c r="J975" i="3"/>
  <c r="J974" i="3"/>
  <c r="J973" i="3"/>
  <c r="J972" i="3"/>
  <c r="J971" i="3"/>
  <c r="J970" i="3"/>
  <c r="J969" i="3"/>
  <c r="J968" i="3"/>
  <c r="J967" i="3"/>
  <c r="J966" i="3"/>
  <c r="J965" i="3"/>
  <c r="J964" i="3"/>
  <c r="J963" i="3"/>
  <c r="J962" i="3"/>
  <c r="J961" i="3"/>
  <c r="J960" i="3"/>
  <c r="J959" i="3"/>
  <c r="J958" i="3"/>
  <c r="J957" i="3"/>
  <c r="J956" i="3"/>
  <c r="J955" i="3"/>
  <c r="J954" i="3"/>
  <c r="J953" i="3"/>
  <c r="J952" i="3"/>
  <c r="J951" i="3"/>
  <c r="J950" i="3"/>
  <c r="J949" i="3"/>
  <c r="J948" i="3"/>
  <c r="J947" i="3"/>
  <c r="J946" i="3"/>
  <c r="J945" i="3"/>
  <c r="J944" i="3"/>
  <c r="J943" i="3"/>
  <c r="J942" i="3"/>
  <c r="J941" i="3"/>
  <c r="J940" i="3"/>
  <c r="J939" i="3"/>
  <c r="J938" i="3"/>
  <c r="J937" i="3"/>
  <c r="J936" i="3"/>
  <c r="J935" i="3"/>
  <c r="J934" i="3"/>
  <c r="J933" i="3"/>
  <c r="J932" i="3"/>
  <c r="J931" i="3"/>
  <c r="J930" i="3"/>
  <c r="J929" i="3"/>
  <c r="J928" i="3"/>
  <c r="J927" i="3"/>
  <c r="J926" i="3"/>
  <c r="J925" i="3"/>
  <c r="J924" i="3"/>
  <c r="J923" i="3"/>
  <c r="J922" i="3"/>
  <c r="J921" i="3"/>
  <c r="J920" i="3"/>
  <c r="J919" i="3"/>
  <c r="J918" i="3"/>
  <c r="J917" i="3"/>
  <c r="J916" i="3"/>
  <c r="J915" i="3"/>
  <c r="J914" i="3"/>
  <c r="J913" i="3"/>
  <c r="J912" i="3"/>
  <c r="J911" i="3"/>
  <c r="J910" i="3"/>
  <c r="J909" i="3"/>
  <c r="J908" i="3"/>
  <c r="J907" i="3"/>
  <c r="J906" i="3"/>
  <c r="J905" i="3"/>
  <c r="J904" i="3"/>
  <c r="J903" i="3"/>
  <c r="J902" i="3"/>
  <c r="J901" i="3"/>
  <c r="J900" i="3"/>
  <c r="J899" i="3"/>
  <c r="J898" i="3"/>
  <c r="J897" i="3"/>
  <c r="J896" i="3"/>
  <c r="J895" i="3"/>
  <c r="J894" i="3"/>
  <c r="J893" i="3"/>
  <c r="J892" i="3"/>
  <c r="J891" i="3"/>
  <c r="J890" i="3"/>
  <c r="J889" i="3"/>
  <c r="J888" i="3"/>
  <c r="J887" i="3"/>
  <c r="J886" i="3"/>
  <c r="J885" i="3"/>
  <c r="J884" i="3"/>
  <c r="J883" i="3"/>
  <c r="J882" i="3"/>
  <c r="J881" i="3"/>
  <c r="J880" i="3"/>
  <c r="J879" i="3"/>
  <c r="J878" i="3"/>
  <c r="J877" i="3"/>
  <c r="J876" i="3"/>
  <c r="J875" i="3"/>
  <c r="J874" i="3"/>
  <c r="J873" i="3"/>
  <c r="J872" i="3"/>
  <c r="J871" i="3"/>
  <c r="J870" i="3"/>
  <c r="J869" i="3"/>
  <c r="J868" i="3"/>
  <c r="J867" i="3"/>
  <c r="J866" i="3"/>
  <c r="J865" i="3"/>
  <c r="J864" i="3"/>
  <c r="J863" i="3"/>
  <c r="J862" i="3"/>
  <c r="J861" i="3"/>
  <c r="J860" i="3"/>
  <c r="J859" i="3"/>
  <c r="J858" i="3"/>
  <c r="J857" i="3"/>
  <c r="J856" i="3"/>
  <c r="J855" i="3"/>
  <c r="J854" i="3"/>
  <c r="J853" i="3"/>
  <c r="J852" i="3"/>
  <c r="J851" i="3"/>
  <c r="J850" i="3"/>
  <c r="J849" i="3"/>
  <c r="J848" i="3"/>
  <c r="J847" i="3"/>
  <c r="J846" i="3"/>
  <c r="J845" i="3"/>
  <c r="J844" i="3"/>
  <c r="J843" i="3"/>
  <c r="J842" i="3"/>
  <c r="J841" i="3"/>
  <c r="J840" i="3"/>
  <c r="J839" i="3"/>
  <c r="J838" i="3"/>
  <c r="J837" i="3"/>
  <c r="J836" i="3"/>
  <c r="J835" i="3"/>
  <c r="J834" i="3"/>
  <c r="J833" i="3"/>
  <c r="J832" i="3"/>
  <c r="J831" i="3"/>
  <c r="J830" i="3"/>
  <c r="J829" i="3"/>
  <c r="J828" i="3"/>
  <c r="J827" i="3"/>
  <c r="J826" i="3"/>
  <c r="J825" i="3"/>
  <c r="J824" i="3"/>
  <c r="J823" i="3"/>
  <c r="J822" i="3"/>
  <c r="J821" i="3"/>
  <c r="J820" i="3"/>
  <c r="J819" i="3"/>
  <c r="J818" i="3"/>
  <c r="J817" i="3"/>
  <c r="J816" i="3"/>
  <c r="J815" i="3"/>
  <c r="J814" i="3"/>
  <c r="J813" i="3"/>
  <c r="J812" i="3"/>
  <c r="J811" i="3"/>
  <c r="J810" i="3"/>
  <c r="J809" i="3"/>
  <c r="J808" i="3"/>
  <c r="J807" i="3"/>
  <c r="J806" i="3"/>
  <c r="J805" i="3"/>
  <c r="J804" i="3"/>
  <c r="J803" i="3"/>
  <c r="J802" i="3"/>
  <c r="J801" i="3"/>
  <c r="J800" i="3"/>
  <c r="J799" i="3"/>
  <c r="J798" i="3"/>
  <c r="J797" i="3"/>
  <c r="J796" i="3"/>
  <c r="J795" i="3"/>
  <c r="J794" i="3"/>
  <c r="J793" i="3"/>
  <c r="J792" i="3"/>
  <c r="J791" i="3"/>
  <c r="J790" i="3"/>
  <c r="J789" i="3"/>
  <c r="J788" i="3"/>
  <c r="J787" i="3"/>
  <c r="J786" i="3"/>
  <c r="J785" i="3"/>
  <c r="J784" i="3"/>
  <c r="J783" i="3"/>
  <c r="J782" i="3"/>
  <c r="J781" i="3"/>
  <c r="J780" i="3"/>
  <c r="J779" i="3"/>
  <c r="J778" i="3"/>
  <c r="J777" i="3"/>
  <c r="J776" i="3"/>
  <c r="J775" i="3"/>
  <c r="J774" i="3"/>
  <c r="J773" i="3"/>
  <c r="J772" i="3"/>
  <c r="J771" i="3"/>
  <c r="J770" i="3"/>
  <c r="J769" i="3"/>
  <c r="J768" i="3"/>
  <c r="J767" i="3"/>
  <c r="J766" i="3"/>
  <c r="J765" i="3"/>
  <c r="J764" i="3"/>
  <c r="J763" i="3"/>
  <c r="J762" i="3"/>
  <c r="J761" i="3"/>
  <c r="J760" i="3"/>
  <c r="J759" i="3"/>
  <c r="J758" i="3"/>
  <c r="J757" i="3"/>
  <c r="J756" i="3"/>
  <c r="J755" i="3"/>
  <c r="J754" i="3"/>
  <c r="J753" i="3"/>
  <c r="J752" i="3"/>
  <c r="J751" i="3"/>
  <c r="J750" i="3"/>
  <c r="J749" i="3"/>
  <c r="J748" i="3"/>
  <c r="J747" i="3"/>
  <c r="J746" i="3"/>
  <c r="J745" i="3"/>
  <c r="J744" i="3"/>
  <c r="J743" i="3"/>
  <c r="J742" i="3"/>
  <c r="J741" i="3"/>
  <c r="J740" i="3"/>
  <c r="J739" i="3"/>
  <c r="J738" i="3"/>
  <c r="J737" i="3"/>
  <c r="J736" i="3"/>
  <c r="J735" i="3"/>
  <c r="J734" i="3"/>
  <c r="J733" i="3"/>
  <c r="J732" i="3"/>
  <c r="J731" i="3"/>
  <c r="J730" i="3"/>
  <c r="J729" i="3"/>
  <c r="J728" i="3"/>
  <c r="J727" i="3"/>
  <c r="J726" i="3"/>
  <c r="J725" i="3"/>
  <c r="J724" i="3"/>
  <c r="J723" i="3"/>
  <c r="J722" i="3"/>
  <c r="J721" i="3"/>
  <c r="J720" i="3"/>
  <c r="J719" i="3"/>
  <c r="J718" i="3"/>
  <c r="J717" i="3"/>
  <c r="J716" i="3"/>
  <c r="J715" i="3"/>
  <c r="J714" i="3"/>
  <c r="J713" i="3"/>
  <c r="J712" i="3"/>
  <c r="J711" i="3"/>
  <c r="J710" i="3"/>
  <c r="J709" i="3"/>
  <c r="J708" i="3"/>
  <c r="J707" i="3"/>
  <c r="J706" i="3"/>
  <c r="J705" i="3"/>
  <c r="J704" i="3"/>
  <c r="J703" i="3"/>
  <c r="J702" i="3"/>
  <c r="J701" i="3"/>
  <c r="J700" i="3"/>
  <c r="J699" i="3"/>
  <c r="J698" i="3"/>
  <c r="J697" i="3"/>
  <c r="J696" i="3"/>
  <c r="J695" i="3"/>
  <c r="J694" i="3"/>
  <c r="J693" i="3"/>
  <c r="J692" i="3"/>
  <c r="J691" i="3"/>
  <c r="J690" i="3"/>
  <c r="J689" i="3"/>
  <c r="J688" i="3"/>
  <c r="J687" i="3"/>
  <c r="J686" i="3"/>
  <c r="J685" i="3"/>
  <c r="J684" i="3"/>
  <c r="J683" i="3"/>
  <c r="J682" i="3"/>
  <c r="J681" i="3"/>
  <c r="J680" i="3"/>
  <c r="J679" i="3"/>
  <c r="J678" i="3"/>
  <c r="J677" i="3"/>
  <c r="J676" i="3"/>
  <c r="J675" i="3"/>
  <c r="J674" i="3"/>
  <c r="J673" i="3"/>
  <c r="J672" i="3"/>
  <c r="J671" i="3"/>
  <c r="J670" i="3"/>
  <c r="J669" i="3"/>
  <c r="J668" i="3"/>
  <c r="J667" i="3"/>
  <c r="J666" i="3"/>
  <c r="J665" i="3"/>
  <c r="J664" i="3"/>
  <c r="J663" i="3"/>
  <c r="J662" i="3"/>
  <c r="J661" i="3"/>
  <c r="J660" i="3"/>
  <c r="J659" i="3"/>
  <c r="J658" i="3"/>
  <c r="J657" i="3"/>
  <c r="J656" i="3"/>
  <c r="J655" i="3"/>
  <c r="J654" i="3"/>
  <c r="J653" i="3"/>
  <c r="J652" i="3"/>
  <c r="J651" i="3"/>
  <c r="J650" i="3"/>
  <c r="J649" i="3"/>
  <c r="J648" i="3"/>
  <c r="J647" i="3"/>
  <c r="J646" i="3"/>
  <c r="J645" i="3"/>
  <c r="J644" i="3"/>
  <c r="J643" i="3"/>
  <c r="J642" i="3"/>
  <c r="J641" i="3"/>
  <c r="J640" i="3"/>
  <c r="J639" i="3"/>
  <c r="J638" i="3"/>
  <c r="J637" i="3"/>
  <c r="J636" i="3"/>
  <c r="J635" i="3"/>
  <c r="J634" i="3"/>
  <c r="J633" i="3"/>
  <c r="J632" i="3"/>
  <c r="J631" i="3"/>
  <c r="J630" i="3"/>
  <c r="J629" i="3"/>
  <c r="J628" i="3"/>
  <c r="J627" i="3"/>
  <c r="J626" i="3"/>
  <c r="J625" i="3"/>
  <c r="J624" i="3"/>
  <c r="J623" i="3"/>
  <c r="J622" i="3"/>
  <c r="J621" i="3"/>
  <c r="J620" i="3"/>
  <c r="J619" i="3"/>
  <c r="J618" i="3"/>
  <c r="J617" i="3"/>
  <c r="J616" i="3"/>
  <c r="J615" i="3"/>
  <c r="J614" i="3"/>
  <c r="J613" i="3"/>
  <c r="J612" i="3"/>
  <c r="J611" i="3"/>
  <c r="J610" i="3"/>
  <c r="J609" i="3"/>
  <c r="J608" i="3"/>
  <c r="J607" i="3"/>
  <c r="J606" i="3"/>
  <c r="J605" i="3"/>
  <c r="J604" i="3"/>
  <c r="J603" i="3"/>
  <c r="J602" i="3"/>
  <c r="J601" i="3"/>
  <c r="J600" i="3"/>
  <c r="J599" i="3"/>
  <c r="J598" i="3"/>
  <c r="J597" i="3"/>
  <c r="J596" i="3"/>
  <c r="J595" i="3"/>
  <c r="J594" i="3"/>
  <c r="J593" i="3"/>
  <c r="J592" i="3"/>
  <c r="J591" i="3"/>
  <c r="J590" i="3"/>
  <c r="J589" i="3"/>
  <c r="J588" i="3"/>
  <c r="J587" i="3"/>
  <c r="J586" i="3"/>
  <c r="J585" i="3"/>
  <c r="J584" i="3"/>
  <c r="J583" i="3"/>
  <c r="J582" i="3"/>
  <c r="J581" i="3"/>
  <c r="J580" i="3"/>
  <c r="J579" i="3"/>
  <c r="J578" i="3"/>
  <c r="J577" i="3"/>
  <c r="J576" i="3"/>
  <c r="J575" i="3"/>
  <c r="J574" i="3"/>
  <c r="J573" i="3"/>
  <c r="J572" i="3"/>
  <c r="J571" i="3"/>
  <c r="J570" i="3"/>
  <c r="J569" i="3"/>
  <c r="J568" i="3"/>
  <c r="J567" i="3"/>
  <c r="J566" i="3"/>
  <c r="J565" i="3"/>
  <c r="J564" i="3"/>
  <c r="J563" i="3"/>
  <c r="J562" i="3"/>
  <c r="J561" i="3"/>
  <c r="J560" i="3"/>
  <c r="J559" i="3"/>
  <c r="J558" i="3"/>
  <c r="J557" i="3"/>
  <c r="J556" i="3"/>
  <c r="J555" i="3"/>
  <c r="J554" i="3"/>
  <c r="J553" i="3"/>
  <c r="J552" i="3"/>
  <c r="J551" i="3"/>
  <c r="J550" i="3"/>
  <c r="J549" i="3"/>
  <c r="J548" i="3"/>
  <c r="J547" i="3"/>
  <c r="J546" i="3"/>
  <c r="J545" i="3"/>
  <c r="J544" i="3"/>
  <c r="J543" i="3"/>
  <c r="J542" i="3"/>
  <c r="J541" i="3"/>
  <c r="J540" i="3"/>
  <c r="J539" i="3"/>
  <c r="J538" i="3"/>
  <c r="J537" i="3"/>
  <c r="J536" i="3"/>
  <c r="J535" i="3"/>
  <c r="J534" i="3"/>
  <c r="J533" i="3"/>
  <c r="J532" i="3"/>
  <c r="J531" i="3"/>
  <c r="J530" i="3"/>
  <c r="J529" i="3"/>
  <c r="J528" i="3"/>
  <c r="J527" i="3"/>
  <c r="J526" i="3"/>
  <c r="J525" i="3"/>
  <c r="J524" i="3"/>
  <c r="J523" i="3"/>
  <c r="J522" i="3"/>
  <c r="J521" i="3"/>
  <c r="J520" i="3"/>
  <c r="J519" i="3"/>
  <c r="J518" i="3"/>
  <c r="J517" i="3"/>
  <c r="J516" i="3"/>
  <c r="J515" i="3"/>
  <c r="J514" i="3"/>
  <c r="J513" i="3"/>
  <c r="J512" i="3"/>
  <c r="J511" i="3"/>
  <c r="J510" i="3"/>
  <c r="J509" i="3"/>
  <c r="J508" i="3"/>
  <c r="J507" i="3"/>
  <c r="J506" i="3"/>
  <c r="J505" i="3"/>
  <c r="J504" i="3"/>
  <c r="J503" i="3"/>
  <c r="J502" i="3"/>
  <c r="J501" i="3"/>
  <c r="J500" i="3"/>
  <c r="J499" i="3"/>
  <c r="J498" i="3"/>
  <c r="J497" i="3"/>
  <c r="J496" i="3"/>
  <c r="J495" i="3"/>
  <c r="J494" i="3"/>
  <c r="J493" i="3"/>
  <c r="J492" i="3"/>
  <c r="J491" i="3"/>
  <c r="J490" i="3"/>
  <c r="J489" i="3"/>
  <c r="J488" i="3"/>
  <c r="J487" i="3"/>
  <c r="J486" i="3"/>
  <c r="J485" i="3"/>
  <c r="J484" i="3"/>
  <c r="J483" i="3"/>
  <c r="J482" i="3"/>
  <c r="J481" i="3"/>
  <c r="J480" i="3"/>
  <c r="J479" i="3"/>
  <c r="J478" i="3"/>
  <c r="J477" i="3"/>
  <c r="J476" i="3"/>
  <c r="J475" i="3"/>
  <c r="J474" i="3"/>
  <c r="J473" i="3"/>
  <c r="J472" i="3"/>
  <c r="J471" i="3"/>
  <c r="J470" i="3"/>
  <c r="J469" i="3"/>
  <c r="J468" i="3"/>
  <c r="J467" i="3"/>
  <c r="J466" i="3"/>
  <c r="J465" i="3"/>
  <c r="J464" i="3"/>
  <c r="J463" i="3"/>
  <c r="J462" i="3"/>
  <c r="J461" i="3"/>
  <c r="J460" i="3"/>
  <c r="J459" i="3"/>
  <c r="J458" i="3"/>
  <c r="J457" i="3"/>
  <c r="J456" i="3"/>
  <c r="J455" i="3"/>
  <c r="J454" i="3"/>
  <c r="J453" i="3"/>
  <c r="J452" i="3"/>
  <c r="J451" i="3"/>
  <c r="J450" i="3"/>
  <c r="J449" i="3"/>
  <c r="J448" i="3"/>
  <c r="J447" i="3"/>
  <c r="J446" i="3"/>
  <c r="J445" i="3"/>
  <c r="J444" i="3"/>
  <c r="J443" i="3"/>
  <c r="J442" i="3"/>
  <c r="J441" i="3"/>
  <c r="J440" i="3"/>
  <c r="J439" i="3"/>
  <c r="J438" i="3"/>
  <c r="J437" i="3"/>
  <c r="J436" i="3"/>
  <c r="J435" i="3"/>
  <c r="J434" i="3"/>
  <c r="J433" i="3"/>
  <c r="J432" i="3"/>
  <c r="J431" i="3"/>
  <c r="J430" i="3"/>
  <c r="J429" i="3"/>
  <c r="J428" i="3"/>
  <c r="J427" i="3"/>
  <c r="J426" i="3"/>
  <c r="J425" i="3"/>
  <c r="J424" i="3"/>
  <c r="J423" i="3"/>
  <c r="J422" i="3"/>
  <c r="J421" i="3"/>
  <c r="J420" i="3"/>
  <c r="J419" i="3"/>
  <c r="J418" i="3"/>
  <c r="J417" i="3"/>
  <c r="J416" i="3"/>
  <c r="J415" i="3"/>
  <c r="J414" i="3"/>
  <c r="J413" i="3"/>
  <c r="J412" i="3"/>
  <c r="J411" i="3"/>
  <c r="J410" i="3"/>
  <c r="J409" i="3"/>
  <c r="J408" i="3"/>
  <c r="J407" i="3"/>
  <c r="J406" i="3"/>
  <c r="J405" i="3"/>
  <c r="J404" i="3"/>
  <c r="J403" i="3"/>
  <c r="J402" i="3"/>
  <c r="J401" i="3"/>
  <c r="J400" i="3"/>
  <c r="J399" i="3"/>
  <c r="J398" i="3"/>
  <c r="J397" i="3"/>
  <c r="J396" i="3"/>
  <c r="J395" i="3"/>
  <c r="J394" i="3"/>
  <c r="J393" i="3"/>
  <c r="J392" i="3"/>
  <c r="J391" i="3"/>
  <c r="J390" i="3"/>
  <c r="J389" i="3"/>
  <c r="J388" i="3"/>
  <c r="J387" i="3"/>
  <c r="J386" i="3"/>
  <c r="J385" i="3"/>
  <c r="J384" i="3"/>
  <c r="J383" i="3"/>
  <c r="J382" i="3"/>
  <c r="J381" i="3"/>
  <c r="J380" i="3"/>
  <c r="J379" i="3"/>
  <c r="J378" i="3"/>
  <c r="J377" i="3"/>
  <c r="J376" i="3"/>
  <c r="J375" i="3"/>
  <c r="J374" i="3"/>
  <c r="J373" i="3"/>
  <c r="J372" i="3"/>
  <c r="J371" i="3"/>
  <c r="J370" i="3"/>
  <c r="J369" i="3"/>
  <c r="J368" i="3"/>
  <c r="J367" i="3"/>
  <c r="J366" i="3"/>
  <c r="J365" i="3"/>
  <c r="J364" i="3"/>
  <c r="J363" i="3"/>
  <c r="J362" i="3"/>
  <c r="J361" i="3"/>
  <c r="J360" i="3"/>
  <c r="J359" i="3"/>
  <c r="J358" i="3"/>
  <c r="J357" i="3"/>
  <c r="J356" i="3"/>
  <c r="J355" i="3"/>
  <c r="J354" i="3"/>
  <c r="J353" i="3"/>
  <c r="J352" i="3"/>
  <c r="J351" i="3"/>
  <c r="J350" i="3"/>
  <c r="J349" i="3"/>
  <c r="J348" i="3"/>
  <c r="J347" i="3"/>
  <c r="J346" i="3"/>
  <c r="J345" i="3"/>
  <c r="J344" i="3"/>
  <c r="J343" i="3"/>
  <c r="J342" i="3"/>
  <c r="J341" i="3"/>
  <c r="J340" i="3"/>
  <c r="J339" i="3"/>
  <c r="J338" i="3"/>
  <c r="J337" i="3"/>
  <c r="J336" i="3"/>
  <c r="J335" i="3"/>
  <c r="J334" i="3"/>
  <c r="J333" i="3"/>
  <c r="J332" i="3"/>
  <c r="J331" i="3"/>
  <c r="J330" i="3"/>
  <c r="J329" i="3"/>
  <c r="J328" i="3"/>
  <c r="J327" i="3"/>
  <c r="J326" i="3"/>
  <c r="J325" i="3"/>
  <c r="J324" i="3"/>
  <c r="J323" i="3"/>
  <c r="J322" i="3"/>
  <c r="J321" i="3"/>
  <c r="J320" i="3"/>
  <c r="J319" i="3"/>
  <c r="J318" i="3"/>
  <c r="J317" i="3"/>
  <c r="J316" i="3"/>
  <c r="J315" i="3"/>
  <c r="J314" i="3"/>
  <c r="J313" i="3"/>
  <c r="J312" i="3"/>
  <c r="J311" i="3"/>
  <c r="J310" i="3"/>
  <c r="J309" i="3"/>
  <c r="J308" i="3"/>
  <c r="J307" i="3"/>
  <c r="J306" i="3"/>
  <c r="J305" i="3"/>
  <c r="J304" i="3"/>
  <c r="J303" i="3"/>
  <c r="J302" i="3"/>
  <c r="J301" i="3"/>
  <c r="J300" i="3"/>
  <c r="J299" i="3"/>
  <c r="J298" i="3"/>
  <c r="J297" i="3"/>
  <c r="J296" i="3"/>
  <c r="J295" i="3"/>
  <c r="J294" i="3"/>
  <c r="J293" i="3"/>
  <c r="J292" i="3"/>
  <c r="J291" i="3"/>
  <c r="J290" i="3"/>
  <c r="J289" i="3"/>
  <c r="J288" i="3"/>
  <c r="J287" i="3"/>
  <c r="J286" i="3"/>
  <c r="J285" i="3"/>
  <c r="J284" i="3"/>
  <c r="J283" i="3"/>
  <c r="J282" i="3"/>
  <c r="J281" i="3"/>
  <c r="J280" i="3"/>
  <c r="J279" i="3"/>
  <c r="J278" i="3"/>
  <c r="J277" i="3"/>
  <c r="J276" i="3"/>
  <c r="J275" i="3"/>
  <c r="J274" i="3"/>
  <c r="J273" i="3"/>
  <c r="J272" i="3"/>
  <c r="J271" i="3"/>
  <c r="J270" i="3"/>
  <c r="J269" i="3"/>
  <c r="J268" i="3"/>
  <c r="J267" i="3"/>
  <c r="J266" i="3"/>
  <c r="J265" i="3"/>
  <c r="J264" i="3"/>
  <c r="J263" i="3"/>
  <c r="J262" i="3"/>
  <c r="J261" i="3"/>
  <c r="J260" i="3"/>
  <c r="J259" i="3"/>
  <c r="J258" i="3"/>
  <c r="J257" i="3"/>
  <c r="J256" i="3"/>
  <c r="J255" i="3"/>
  <c r="J254" i="3"/>
  <c r="J253" i="3"/>
  <c r="J252" i="3"/>
  <c r="J251" i="3"/>
  <c r="J250" i="3"/>
  <c r="J249" i="3"/>
  <c r="J248" i="3"/>
  <c r="J247" i="3"/>
  <c r="J246" i="3"/>
  <c r="J245" i="3"/>
  <c r="J244" i="3"/>
  <c r="J243" i="3"/>
  <c r="J242" i="3"/>
  <c r="J241" i="3"/>
  <c r="J240" i="3"/>
  <c r="J239" i="3"/>
  <c r="J238" i="3"/>
  <c r="J237" i="3"/>
  <c r="J236" i="3"/>
  <c r="J235" i="3"/>
  <c r="J234" i="3"/>
  <c r="J233" i="3"/>
  <c r="J232" i="3"/>
  <c r="J231" i="3"/>
  <c r="J230" i="3"/>
  <c r="J229" i="3"/>
  <c r="J228" i="3"/>
  <c r="J227" i="3"/>
  <c r="J226" i="3"/>
  <c r="J225" i="3"/>
  <c r="J224" i="3"/>
  <c r="J223" i="3"/>
  <c r="J222" i="3"/>
  <c r="J221" i="3"/>
  <c r="J220" i="3"/>
  <c r="J219" i="3"/>
  <c r="J218" i="3"/>
  <c r="J217" i="3"/>
  <c r="J216" i="3"/>
  <c r="J215" i="3"/>
  <c r="J214" i="3"/>
  <c r="J213" i="3"/>
  <c r="J212" i="3"/>
  <c r="J211" i="3"/>
  <c r="J210" i="3"/>
  <c r="J209" i="3"/>
  <c r="J208" i="3"/>
  <c r="J207" i="3"/>
  <c r="J206" i="3"/>
  <c r="J205" i="3"/>
  <c r="J204" i="3"/>
  <c r="J203" i="3"/>
  <c r="J202" i="3"/>
  <c r="J201" i="3"/>
  <c r="J200" i="3"/>
  <c r="J199" i="3"/>
  <c r="J198" i="3"/>
  <c r="J197" i="3"/>
  <c r="J196" i="3"/>
  <c r="J195" i="3"/>
  <c r="J194" i="3"/>
  <c r="J193" i="3"/>
  <c r="J192" i="3"/>
  <c r="J191" i="3"/>
  <c r="J190" i="3"/>
  <c r="J189" i="3"/>
  <c r="J188" i="3"/>
  <c r="J187" i="3"/>
  <c r="J186" i="3"/>
  <c r="J185" i="3"/>
  <c r="J184" i="3"/>
  <c r="J183" i="3"/>
  <c r="J182" i="3"/>
  <c r="J181" i="3"/>
  <c r="J180" i="3"/>
  <c r="J179" i="3"/>
  <c r="J178" i="3"/>
  <c r="J177" i="3"/>
  <c r="J176" i="3"/>
  <c r="J175" i="3"/>
  <c r="J174" i="3"/>
  <c r="J173" i="3"/>
  <c r="J172" i="3"/>
  <c r="J171" i="3"/>
  <c r="J170" i="3"/>
  <c r="J169" i="3"/>
  <c r="J168" i="3"/>
  <c r="J167" i="3"/>
  <c r="J166" i="3"/>
  <c r="J165" i="3"/>
  <c r="J164" i="3"/>
  <c r="J163" i="3"/>
  <c r="J162" i="3"/>
  <c r="J161" i="3"/>
  <c r="J160" i="3"/>
  <c r="J159" i="3"/>
  <c r="J158" i="3"/>
  <c r="J157" i="3"/>
  <c r="J3" i="3"/>
  <c r="K5" i="3"/>
  <c r="K6" i="3"/>
  <c r="K7" i="3"/>
  <c r="K8" i="3"/>
  <c r="K9" i="3"/>
  <c r="K10" i="3"/>
  <c r="K11" i="3"/>
  <c r="K12" i="3"/>
  <c r="K13" i="3"/>
  <c r="K14" i="3"/>
  <c r="K15" i="3"/>
  <c r="K16" i="3"/>
  <c r="K17" i="3"/>
  <c r="K18" i="3"/>
  <c r="K19" i="3"/>
  <c r="K20" i="3"/>
  <c r="K21" i="3"/>
  <c r="K22" i="3"/>
  <c r="K23" i="3"/>
  <c r="K24" i="3"/>
  <c r="K25" i="3"/>
  <c r="K26" i="3"/>
  <c r="K27" i="3"/>
  <c r="K28" i="3"/>
  <c r="K29" i="3"/>
  <c r="K30" i="3"/>
  <c r="K31" i="3"/>
  <c r="K32" i="3"/>
  <c r="K33" i="3"/>
  <c r="K34" i="3"/>
  <c r="K35" i="3"/>
  <c r="K36" i="3"/>
  <c r="K37" i="3"/>
  <c r="K38" i="3"/>
  <c r="K39" i="3"/>
  <c r="K40" i="3"/>
  <c r="K41" i="3"/>
  <c r="K42" i="3"/>
  <c r="K43" i="3"/>
  <c r="K44" i="3"/>
  <c r="K45" i="3"/>
  <c r="K46" i="3"/>
  <c r="K47" i="3"/>
  <c r="K48" i="3"/>
  <c r="K49" i="3"/>
  <c r="K50" i="3"/>
  <c r="K51" i="3"/>
  <c r="K52" i="3"/>
  <c r="K53" i="3"/>
  <c r="K54" i="3"/>
  <c r="K55" i="3"/>
  <c r="K56" i="3"/>
  <c r="K57" i="3"/>
  <c r="K58" i="3"/>
  <c r="K59" i="3"/>
  <c r="K60" i="3"/>
  <c r="K61" i="3"/>
  <c r="K62" i="3"/>
  <c r="K63" i="3"/>
  <c r="K64" i="3"/>
  <c r="K65" i="3"/>
  <c r="K66" i="3"/>
  <c r="K67" i="3"/>
  <c r="K68" i="3"/>
  <c r="K69" i="3"/>
  <c r="K70" i="3"/>
  <c r="K71" i="3"/>
  <c r="K72" i="3"/>
  <c r="K73" i="3"/>
  <c r="K74" i="3"/>
  <c r="K75" i="3"/>
  <c r="K76" i="3"/>
  <c r="K77" i="3"/>
  <c r="K78" i="3"/>
  <c r="K79" i="3"/>
  <c r="K80" i="3"/>
  <c r="K81" i="3"/>
  <c r="K82" i="3"/>
  <c r="K83" i="3"/>
  <c r="K84" i="3"/>
  <c r="K85" i="3"/>
  <c r="K86" i="3"/>
  <c r="K87" i="3"/>
  <c r="K88" i="3"/>
  <c r="K89" i="3"/>
  <c r="K90" i="3"/>
  <c r="K91" i="3"/>
  <c r="K92" i="3"/>
  <c r="K93" i="3"/>
  <c r="K94" i="3"/>
  <c r="K95" i="3"/>
  <c r="K96" i="3"/>
  <c r="K97" i="3"/>
  <c r="K98" i="3"/>
  <c r="K99" i="3"/>
  <c r="K100" i="3"/>
  <c r="K101" i="3"/>
  <c r="K102" i="3"/>
  <c r="K103" i="3"/>
  <c r="K104" i="3"/>
  <c r="K105" i="3"/>
  <c r="K106" i="3"/>
  <c r="K107" i="3"/>
  <c r="K108" i="3"/>
  <c r="K109" i="3"/>
  <c r="K110" i="3"/>
  <c r="K111" i="3"/>
  <c r="K112" i="3"/>
  <c r="K113" i="3"/>
  <c r="K114" i="3"/>
  <c r="K115" i="3"/>
  <c r="K116" i="3"/>
  <c r="K117" i="3"/>
  <c r="K118" i="3"/>
  <c r="K119" i="3"/>
  <c r="K120" i="3"/>
  <c r="K121" i="3"/>
  <c r="K122" i="3"/>
  <c r="K123" i="3"/>
  <c r="K4" i="3"/>
  <c r="H93" i="3"/>
  <c r="H94" i="3"/>
  <c r="H95" i="3"/>
  <c r="H96" i="3"/>
  <c r="H97" i="3"/>
  <c r="H98" i="3"/>
  <c r="H99" i="3"/>
  <c r="H100" i="3"/>
  <c r="H101" i="3"/>
  <c r="H102" i="3"/>
  <c r="H103" i="3"/>
  <c r="H104" i="3"/>
  <c r="H105" i="3"/>
  <c r="H106" i="3"/>
  <c r="H107" i="3"/>
  <c r="H108" i="3"/>
  <c r="H109" i="3"/>
  <c r="H110" i="3"/>
  <c r="H111" i="3"/>
  <c r="H112" i="3"/>
  <c r="H113" i="3"/>
  <c r="H114" i="3"/>
  <c r="H115" i="3"/>
  <c r="H116" i="3"/>
  <c r="H117" i="3"/>
  <c r="H118" i="3"/>
  <c r="H119" i="3"/>
  <c r="H120" i="3"/>
  <c r="H121" i="3"/>
  <c r="H122" i="3"/>
  <c r="H123" i="3"/>
  <c r="I5" i="3"/>
  <c r="I6" i="3"/>
  <c r="I7" i="3"/>
  <c r="I8" i="3"/>
  <c r="I9" i="3"/>
  <c r="I10" i="3"/>
  <c r="I11" i="3"/>
  <c r="I12" i="3"/>
  <c r="I13" i="3"/>
  <c r="I14" i="3"/>
  <c r="I15" i="3"/>
  <c r="I16" i="3"/>
  <c r="I17" i="3"/>
  <c r="I18" i="3"/>
  <c r="I19" i="3"/>
  <c r="I20" i="3"/>
  <c r="I21" i="3"/>
  <c r="I22" i="3"/>
  <c r="I23" i="3"/>
  <c r="I24" i="3"/>
  <c r="I25" i="3"/>
  <c r="I26" i="3"/>
  <c r="I27" i="3"/>
  <c r="I28" i="3"/>
  <c r="I29" i="3"/>
  <c r="I30" i="3"/>
  <c r="I31" i="3"/>
  <c r="I32" i="3"/>
  <c r="I33" i="3"/>
  <c r="I34" i="3"/>
  <c r="I35" i="3"/>
  <c r="I36" i="3"/>
  <c r="I37" i="3"/>
  <c r="I38" i="3"/>
  <c r="I39" i="3"/>
  <c r="I40" i="3"/>
  <c r="I41" i="3"/>
  <c r="I42" i="3"/>
  <c r="I43" i="3"/>
  <c r="I44" i="3"/>
  <c r="I45" i="3"/>
  <c r="I46" i="3"/>
  <c r="I47" i="3"/>
  <c r="I48" i="3"/>
  <c r="I49" i="3"/>
  <c r="I50" i="3"/>
  <c r="I51" i="3"/>
  <c r="I52" i="3"/>
  <c r="I53" i="3"/>
  <c r="I54" i="3"/>
  <c r="I55" i="3"/>
  <c r="I56" i="3"/>
  <c r="I57" i="3"/>
  <c r="I58" i="3"/>
  <c r="I59" i="3"/>
  <c r="I60" i="3"/>
  <c r="I61" i="3"/>
  <c r="I62" i="3"/>
  <c r="I63" i="3"/>
  <c r="H63" i="3" s="1"/>
  <c r="I64" i="3"/>
  <c r="I65" i="3"/>
  <c r="I66" i="3"/>
  <c r="I67" i="3"/>
  <c r="I68" i="3"/>
  <c r="I69" i="3"/>
  <c r="I70" i="3"/>
  <c r="I71" i="3"/>
  <c r="I72" i="3"/>
  <c r="I73" i="3"/>
  <c r="I74" i="3"/>
  <c r="I75" i="3"/>
  <c r="I76" i="3"/>
  <c r="I77" i="3"/>
  <c r="I78" i="3"/>
  <c r="I79" i="3"/>
  <c r="I80" i="3"/>
  <c r="I81" i="3"/>
  <c r="I82" i="3"/>
  <c r="I83" i="3"/>
  <c r="I84" i="3"/>
  <c r="I85" i="3"/>
  <c r="I86" i="3"/>
  <c r="I87" i="3"/>
  <c r="I88" i="3"/>
  <c r="I89" i="3"/>
  <c r="I90" i="3"/>
  <c r="I91" i="3"/>
  <c r="I92" i="3"/>
  <c r="H92" i="3" s="1"/>
  <c r="I93" i="3"/>
  <c r="I94" i="3"/>
  <c r="I95" i="3"/>
  <c r="I96" i="3"/>
  <c r="I97" i="3"/>
  <c r="I98" i="3"/>
  <c r="I99" i="3"/>
  <c r="I100" i="3"/>
  <c r="I101" i="3"/>
  <c r="I102" i="3"/>
  <c r="I103" i="3"/>
  <c r="I104" i="3"/>
  <c r="I105" i="3"/>
  <c r="I106" i="3"/>
  <c r="I107" i="3"/>
  <c r="I108" i="3"/>
  <c r="I109" i="3"/>
  <c r="I110" i="3"/>
  <c r="I111" i="3"/>
  <c r="I112" i="3"/>
  <c r="I113" i="3"/>
  <c r="I114" i="3"/>
  <c r="I115" i="3"/>
  <c r="I116" i="3"/>
  <c r="I117" i="3"/>
  <c r="I118" i="3"/>
  <c r="I119" i="3"/>
  <c r="I120" i="3"/>
  <c r="I121" i="3"/>
  <c r="I122" i="3"/>
  <c r="I123" i="3"/>
  <c r="I4" i="3"/>
  <c r="K5" i="2"/>
  <c r="K6" i="2"/>
  <c r="K7" i="2"/>
  <c r="K8" i="2"/>
  <c r="K9" i="2"/>
  <c r="K10" i="2"/>
  <c r="K11" i="2"/>
  <c r="K12" i="2"/>
  <c r="K13" i="2"/>
  <c r="K14" i="2"/>
  <c r="K15" i="2"/>
  <c r="K16" i="2"/>
  <c r="K17" i="2"/>
  <c r="K18" i="2"/>
  <c r="K19" i="2"/>
  <c r="K20" i="2"/>
  <c r="K21" i="2"/>
  <c r="K22" i="2"/>
  <c r="K23" i="2"/>
  <c r="K24" i="2"/>
  <c r="K25" i="2"/>
  <c r="K26" i="2"/>
  <c r="K27" i="2"/>
  <c r="K28" i="2"/>
  <c r="K29" i="2"/>
  <c r="K30" i="2"/>
  <c r="K31" i="2"/>
  <c r="K32" i="2"/>
  <c r="K33" i="2"/>
  <c r="K34" i="2"/>
  <c r="K35" i="2"/>
  <c r="K36" i="2"/>
  <c r="K37" i="2"/>
  <c r="K38" i="2"/>
  <c r="K39" i="2"/>
  <c r="K40" i="2"/>
  <c r="K41" i="2"/>
  <c r="K42" i="2"/>
  <c r="K43" i="2"/>
  <c r="K44" i="2"/>
  <c r="K45" i="2"/>
  <c r="K46" i="2"/>
  <c r="K47" i="2"/>
  <c r="K48" i="2"/>
  <c r="K49" i="2"/>
  <c r="K50" i="2"/>
  <c r="K51" i="2"/>
  <c r="K52" i="2"/>
  <c r="K53" i="2"/>
  <c r="K54" i="2"/>
  <c r="K55" i="2"/>
  <c r="K56" i="2"/>
  <c r="K57" i="2"/>
  <c r="K58" i="2"/>
  <c r="K59" i="2"/>
  <c r="K60" i="2"/>
  <c r="K61" i="2"/>
  <c r="K62" i="2"/>
  <c r="K63" i="2"/>
  <c r="K64" i="2"/>
  <c r="K65" i="2"/>
  <c r="K66" i="2"/>
  <c r="K67" i="2"/>
  <c r="K68" i="2"/>
  <c r="K69" i="2"/>
  <c r="K70" i="2"/>
  <c r="K71" i="2"/>
  <c r="K72" i="2"/>
  <c r="K73" i="2"/>
  <c r="K74" i="2"/>
  <c r="K75" i="2"/>
  <c r="K76" i="2"/>
  <c r="K77" i="2"/>
  <c r="K78" i="2"/>
  <c r="K79" i="2"/>
  <c r="K80" i="2"/>
  <c r="K81" i="2"/>
  <c r="K82" i="2"/>
  <c r="K83" i="2"/>
  <c r="K84" i="2"/>
  <c r="K85" i="2"/>
  <c r="K86" i="2"/>
  <c r="K87" i="2"/>
  <c r="K88" i="2"/>
  <c r="K89" i="2"/>
  <c r="K90" i="2"/>
  <c r="K91" i="2"/>
  <c r="K92" i="2"/>
  <c r="K93" i="2"/>
  <c r="K94" i="2"/>
  <c r="K95" i="2"/>
  <c r="K96" i="2"/>
  <c r="K97" i="2"/>
  <c r="K98" i="2"/>
  <c r="K99" i="2"/>
  <c r="K100" i="2"/>
  <c r="K101" i="2"/>
  <c r="K102" i="2"/>
  <c r="K103" i="2"/>
  <c r="K104" i="2"/>
  <c r="K105" i="2"/>
  <c r="K106" i="2"/>
  <c r="K107" i="2"/>
  <c r="K108" i="2"/>
  <c r="K109" i="2"/>
  <c r="K110" i="2"/>
  <c r="K111" i="2"/>
  <c r="K112" i="2"/>
  <c r="K113" i="2"/>
  <c r="K114" i="2"/>
  <c r="K115" i="2"/>
  <c r="K116" i="2"/>
  <c r="K117" i="2"/>
  <c r="K118" i="2"/>
  <c r="K119" i="2"/>
  <c r="K120" i="2"/>
  <c r="K121" i="2"/>
  <c r="K122" i="2"/>
  <c r="K123" i="2"/>
  <c r="K4" i="2"/>
  <c r="I5" i="2"/>
  <c r="I6" i="2"/>
  <c r="I7" i="2"/>
  <c r="I8" i="2"/>
  <c r="I9" i="2"/>
  <c r="I10" i="2"/>
  <c r="I11" i="2"/>
  <c r="I12" i="2"/>
  <c r="I13" i="2"/>
  <c r="I14" i="2"/>
  <c r="I15" i="2"/>
  <c r="I16" i="2"/>
  <c r="I17" i="2"/>
  <c r="I18" i="2"/>
  <c r="I19" i="2"/>
  <c r="I20" i="2"/>
  <c r="I21" i="2"/>
  <c r="I22" i="2"/>
  <c r="I23" i="2"/>
  <c r="I24" i="2"/>
  <c r="I25" i="2"/>
  <c r="I26" i="2"/>
  <c r="I27" i="2"/>
  <c r="I28" i="2"/>
  <c r="I29" i="2"/>
  <c r="I30" i="2"/>
  <c r="I31" i="2"/>
  <c r="I32" i="2"/>
  <c r="I33" i="2"/>
  <c r="I34" i="2"/>
  <c r="I35" i="2"/>
  <c r="I36" i="2"/>
  <c r="I37" i="2"/>
  <c r="I38" i="2"/>
  <c r="I39" i="2"/>
  <c r="I40" i="2"/>
  <c r="I41" i="2"/>
  <c r="I42" i="2"/>
  <c r="I43" i="2"/>
  <c r="I44" i="2"/>
  <c r="I45" i="2"/>
  <c r="I46" i="2"/>
  <c r="I47" i="2"/>
  <c r="I48" i="2"/>
  <c r="I49" i="2"/>
  <c r="I50" i="2"/>
  <c r="I51" i="2"/>
  <c r="I52" i="2"/>
  <c r="I53" i="2"/>
  <c r="I54" i="2"/>
  <c r="I55" i="2"/>
  <c r="I56" i="2"/>
  <c r="I57" i="2"/>
  <c r="I58" i="2"/>
  <c r="I59" i="2"/>
  <c r="I60" i="2"/>
  <c r="I61" i="2"/>
  <c r="H61" i="2" s="1"/>
  <c r="I62" i="2"/>
  <c r="H62" i="2" s="1"/>
  <c r="I63" i="2"/>
  <c r="H63" i="2" s="1"/>
  <c r="I64" i="2"/>
  <c r="I65" i="2"/>
  <c r="I66" i="2"/>
  <c r="I67" i="2"/>
  <c r="I68" i="2"/>
  <c r="I69" i="2"/>
  <c r="I70" i="2"/>
  <c r="I71" i="2"/>
  <c r="I72" i="2"/>
  <c r="I73" i="2"/>
  <c r="I74" i="2"/>
  <c r="I75" i="2"/>
  <c r="I76" i="2"/>
  <c r="I77" i="2"/>
  <c r="I78" i="2"/>
  <c r="I79" i="2"/>
  <c r="I80" i="2"/>
  <c r="I81" i="2"/>
  <c r="I82" i="2"/>
  <c r="I83" i="2"/>
  <c r="I84" i="2"/>
  <c r="I85" i="2"/>
  <c r="I86" i="2"/>
  <c r="I87" i="2"/>
  <c r="I88" i="2"/>
  <c r="I89" i="2"/>
  <c r="I90" i="2"/>
  <c r="I91" i="2"/>
  <c r="I92" i="2"/>
  <c r="I93" i="2"/>
  <c r="I94" i="2"/>
  <c r="I95" i="2"/>
  <c r="I96" i="2"/>
  <c r="I97" i="2"/>
  <c r="I98" i="2"/>
  <c r="I99" i="2"/>
  <c r="I100" i="2"/>
  <c r="I101" i="2"/>
  <c r="I102" i="2"/>
  <c r="I103" i="2"/>
  <c r="I104" i="2"/>
  <c r="I105" i="2"/>
  <c r="I106" i="2"/>
  <c r="I107" i="2"/>
  <c r="I108" i="2"/>
  <c r="I109" i="2"/>
  <c r="I110" i="2"/>
  <c r="I111" i="2"/>
  <c r="I112" i="2"/>
  <c r="I113" i="2"/>
  <c r="I114" i="2"/>
  <c r="I115" i="2"/>
  <c r="I116" i="2"/>
  <c r="I117" i="2"/>
  <c r="I118" i="2"/>
  <c r="I119" i="2"/>
  <c r="I120" i="2"/>
  <c r="I121" i="2"/>
  <c r="I122" i="2"/>
  <c r="I123" i="2"/>
  <c r="I4" i="2"/>
  <c r="H4" i="2" s="1"/>
  <c r="B3" i="35"/>
  <c r="B4" i="35"/>
  <c r="B5" i="35"/>
  <c r="B6" i="35"/>
  <c r="B7" i="35"/>
  <c r="B8" i="35"/>
  <c r="B9" i="35"/>
  <c r="B10" i="35"/>
  <c r="B11" i="35"/>
  <c r="B12" i="35"/>
  <c r="B13" i="35"/>
  <c r="B14" i="35"/>
  <c r="B15" i="35"/>
  <c r="B16" i="35"/>
  <c r="B17" i="35"/>
  <c r="B18" i="35"/>
  <c r="B19" i="35"/>
  <c r="B20" i="35"/>
  <c r="B21" i="35"/>
  <c r="B22" i="35"/>
  <c r="B23" i="35"/>
  <c r="B24" i="35"/>
  <c r="B25" i="35"/>
  <c r="B26" i="35"/>
  <c r="B27" i="35"/>
  <c r="B28" i="35"/>
  <c r="B29" i="35"/>
  <c r="B30" i="35"/>
  <c r="B31" i="35"/>
  <c r="B32" i="35"/>
  <c r="B33" i="35"/>
  <c r="B34" i="35"/>
  <c r="B35" i="35"/>
  <c r="B36" i="35"/>
  <c r="B37" i="35"/>
  <c r="B38" i="35"/>
  <c r="B39" i="35"/>
  <c r="B40" i="35"/>
  <c r="B41" i="35"/>
  <c r="B42" i="35"/>
  <c r="B43" i="35"/>
  <c r="B44" i="35"/>
  <c r="B45" i="35"/>
  <c r="B46" i="35"/>
  <c r="B47" i="35"/>
  <c r="B48" i="35"/>
  <c r="B49" i="35"/>
  <c r="B50" i="35"/>
  <c r="B51" i="35"/>
  <c r="B52" i="35"/>
  <c r="B53" i="35"/>
  <c r="B54" i="35"/>
  <c r="B55" i="35"/>
  <c r="B56" i="35"/>
  <c r="B57" i="35"/>
  <c r="B58" i="35"/>
  <c r="B59" i="35"/>
  <c r="B60" i="35"/>
  <c r="B61" i="35"/>
  <c r="B62" i="35"/>
  <c r="B63" i="35"/>
  <c r="B64" i="35"/>
  <c r="B65" i="35"/>
  <c r="B66" i="35"/>
  <c r="B67" i="35"/>
  <c r="B68" i="35"/>
  <c r="B69" i="35"/>
  <c r="B70" i="35"/>
  <c r="B71" i="35"/>
  <c r="B72" i="35"/>
  <c r="B73" i="35"/>
  <c r="B74" i="35"/>
  <c r="B75" i="35"/>
  <c r="B76" i="35"/>
  <c r="B77" i="35"/>
  <c r="B78" i="35"/>
  <c r="B79" i="35"/>
  <c r="B80" i="35"/>
  <c r="B81" i="35"/>
  <c r="B82" i="35"/>
  <c r="B83" i="35"/>
  <c r="B84" i="35"/>
  <c r="B85" i="35"/>
  <c r="B86" i="35"/>
  <c r="B87" i="35"/>
  <c r="B88" i="35"/>
  <c r="B89" i="35"/>
  <c r="B90" i="35"/>
  <c r="B91" i="35"/>
  <c r="B92" i="35"/>
  <c r="B93" i="35"/>
  <c r="B94" i="35"/>
  <c r="B95" i="35"/>
  <c r="B96" i="35"/>
  <c r="B97" i="35"/>
  <c r="B98" i="35"/>
  <c r="B99" i="35"/>
  <c r="B100" i="35"/>
  <c r="B101" i="35"/>
  <c r="B102" i="35"/>
  <c r="B103" i="35"/>
  <c r="B104" i="35"/>
  <c r="B105" i="35"/>
  <c r="B106" i="35"/>
  <c r="B107" i="35"/>
  <c r="B108" i="35"/>
  <c r="B109" i="35"/>
  <c r="B110" i="35"/>
  <c r="B111" i="35"/>
  <c r="B112" i="35"/>
  <c r="B113" i="35"/>
  <c r="B114" i="35"/>
  <c r="B115" i="35"/>
  <c r="B116" i="35"/>
  <c r="B117" i="35"/>
  <c r="B118" i="35"/>
  <c r="B119" i="35"/>
  <c r="B120" i="35"/>
  <c r="B121" i="35"/>
  <c r="B122" i="35"/>
  <c r="B123" i="35"/>
  <c r="B124" i="35"/>
  <c r="B125" i="35"/>
  <c r="B126" i="35"/>
  <c r="B127" i="35"/>
  <c r="B128" i="35"/>
  <c r="B129" i="35"/>
  <c r="B130" i="35"/>
  <c r="B131" i="35"/>
  <c r="B132" i="35"/>
  <c r="B133" i="35"/>
  <c r="B134" i="35"/>
  <c r="B135" i="35"/>
  <c r="B136" i="35"/>
  <c r="B137" i="35"/>
  <c r="B138" i="35"/>
  <c r="B139" i="35"/>
  <c r="B140" i="35"/>
  <c r="B141" i="35"/>
  <c r="B142" i="35"/>
  <c r="B143" i="35"/>
  <c r="B144" i="35"/>
  <c r="B145" i="35"/>
  <c r="B146" i="35"/>
  <c r="B147" i="35"/>
  <c r="B148" i="35"/>
  <c r="B149" i="35"/>
  <c r="B150" i="35"/>
  <c r="B2" i="35"/>
  <c r="A3" i="35"/>
  <c r="A4" i="35"/>
  <c r="A5" i="35"/>
  <c r="A6" i="35"/>
  <c r="A7" i="35"/>
  <c r="A8" i="35"/>
  <c r="A9" i="35"/>
  <c r="A10" i="35"/>
  <c r="A11" i="35"/>
  <c r="A12" i="35"/>
  <c r="A13" i="35"/>
  <c r="A14" i="35"/>
  <c r="A15" i="35"/>
  <c r="A16" i="35"/>
  <c r="A17" i="35"/>
  <c r="A18" i="35"/>
  <c r="A19" i="35"/>
  <c r="A20" i="35"/>
  <c r="A21" i="35"/>
  <c r="A22" i="35"/>
  <c r="A23" i="35"/>
  <c r="A24" i="35"/>
  <c r="A25" i="35"/>
  <c r="A26" i="35"/>
  <c r="A27" i="35"/>
  <c r="A28" i="35"/>
  <c r="A29" i="35"/>
  <c r="A30" i="35"/>
  <c r="A31" i="35"/>
  <c r="A32" i="35"/>
  <c r="A33" i="35"/>
  <c r="A34" i="35"/>
  <c r="A35" i="35"/>
  <c r="A36" i="35"/>
  <c r="A37" i="35"/>
  <c r="A38" i="35"/>
  <c r="A39" i="35"/>
  <c r="A40" i="35"/>
  <c r="A41" i="35"/>
  <c r="A42" i="35"/>
  <c r="A43" i="35"/>
  <c r="A44" i="35"/>
  <c r="A45" i="35"/>
  <c r="A46" i="35"/>
  <c r="A47" i="35"/>
  <c r="A48" i="35"/>
  <c r="A49" i="35"/>
  <c r="A50" i="35"/>
  <c r="A51" i="35"/>
  <c r="A52" i="35"/>
  <c r="A53" i="35"/>
  <c r="A54" i="35"/>
  <c r="A55" i="35"/>
  <c r="A56" i="35"/>
  <c r="A57" i="35"/>
  <c r="A58" i="35"/>
  <c r="A59" i="35"/>
  <c r="A60" i="35"/>
  <c r="A61" i="35"/>
  <c r="A62" i="35"/>
  <c r="A63" i="35"/>
  <c r="A64" i="35"/>
  <c r="A65" i="35"/>
  <c r="A66" i="35"/>
  <c r="A67" i="35"/>
  <c r="A68" i="35"/>
  <c r="A69" i="35"/>
  <c r="A70" i="35"/>
  <c r="A71" i="35"/>
  <c r="A72" i="35"/>
  <c r="A73" i="35"/>
  <c r="A74" i="35"/>
  <c r="A75" i="35"/>
  <c r="A76" i="35"/>
  <c r="A77" i="35"/>
  <c r="A78" i="35"/>
  <c r="A79" i="35"/>
  <c r="A80" i="35"/>
  <c r="A81" i="35"/>
  <c r="A82" i="35"/>
  <c r="A83" i="35"/>
  <c r="A84" i="35"/>
  <c r="A85" i="35"/>
  <c r="A86" i="35"/>
  <c r="A87" i="35"/>
  <c r="A88" i="35"/>
  <c r="A89" i="35"/>
  <c r="A90" i="35"/>
  <c r="A91" i="35"/>
  <c r="A92" i="35"/>
  <c r="A93" i="35"/>
  <c r="A94" i="35"/>
  <c r="A95" i="35"/>
  <c r="A96" i="35"/>
  <c r="A97" i="35"/>
  <c r="A98" i="35"/>
  <c r="A99" i="35"/>
  <c r="A100" i="35"/>
  <c r="A101" i="35"/>
  <c r="A102" i="35"/>
  <c r="A103" i="35"/>
  <c r="A104" i="35"/>
  <c r="A105" i="35"/>
  <c r="A106" i="35"/>
  <c r="A107" i="35"/>
  <c r="A108" i="35"/>
  <c r="A109" i="35"/>
  <c r="A110" i="35"/>
  <c r="A111" i="35"/>
  <c r="A112" i="35"/>
  <c r="A113" i="35"/>
  <c r="A114" i="35"/>
  <c r="A115" i="35"/>
  <c r="A116" i="35"/>
  <c r="A117" i="35"/>
  <c r="A118" i="35"/>
  <c r="A119" i="35"/>
  <c r="A120" i="35"/>
  <c r="A121" i="35"/>
  <c r="A122" i="35"/>
  <c r="A123" i="35"/>
  <c r="A124" i="35"/>
  <c r="A125" i="35"/>
  <c r="A126" i="35"/>
  <c r="A127" i="35"/>
  <c r="A128" i="35"/>
  <c r="A129" i="35"/>
  <c r="A130" i="35"/>
  <c r="A131" i="35"/>
  <c r="A132" i="35"/>
  <c r="A133" i="35"/>
  <c r="A134" i="35"/>
  <c r="A135" i="35"/>
  <c r="A136" i="35"/>
  <c r="A137" i="35"/>
  <c r="A138" i="35"/>
  <c r="A139" i="35"/>
  <c r="A140" i="35"/>
  <c r="A141" i="35"/>
  <c r="A142" i="35"/>
  <c r="A143" i="35"/>
  <c r="A144" i="35"/>
  <c r="A145" i="35"/>
  <c r="A146" i="35"/>
  <c r="A147" i="35"/>
  <c r="A148" i="35"/>
  <c r="A149" i="35"/>
  <c r="A150" i="35"/>
  <c r="A2" i="35"/>
  <c r="N3" i="1"/>
  <c r="N4" i="1"/>
  <c r="N5" i="1"/>
  <c r="N6" i="1"/>
  <c r="N7" i="1"/>
  <c r="N8" i="1"/>
  <c r="N9" i="1"/>
  <c r="N10" i="1"/>
  <c r="N11" i="1"/>
  <c r="N12" i="1"/>
  <c r="N13" i="1"/>
  <c r="N14" i="1"/>
  <c r="N15" i="1"/>
  <c r="N16" i="1"/>
  <c r="N17" i="1"/>
  <c r="N18" i="1"/>
  <c r="N19" i="1"/>
  <c r="N20" i="1"/>
  <c r="N21" i="1"/>
  <c r="N22" i="1"/>
  <c r="N23" i="1"/>
  <c r="N24" i="1"/>
  <c r="N25" i="1"/>
  <c r="N26" i="1"/>
  <c r="N27" i="1"/>
  <c r="N28" i="1"/>
  <c r="N29" i="1"/>
  <c r="N30" i="1"/>
  <c r="N31" i="1"/>
  <c r="N32" i="1"/>
  <c r="N33" i="1"/>
  <c r="N34" i="1"/>
  <c r="N35" i="1"/>
  <c r="N36" i="1"/>
  <c r="N37" i="1"/>
  <c r="N38" i="1"/>
  <c r="N39" i="1"/>
  <c r="N40" i="1"/>
  <c r="N41" i="1"/>
  <c r="N42" i="1"/>
  <c r="N43" i="1"/>
  <c r="N44" i="1"/>
  <c r="N45" i="1"/>
  <c r="N46" i="1"/>
  <c r="N47" i="1"/>
  <c r="N48" i="1"/>
  <c r="N49" i="1"/>
  <c r="N50" i="1"/>
  <c r="N51" i="1"/>
  <c r="N52" i="1"/>
  <c r="N53" i="1"/>
  <c r="N54" i="1"/>
  <c r="N55" i="1"/>
  <c r="N56" i="1"/>
  <c r="N57" i="1"/>
  <c r="N58" i="1"/>
  <c r="N59" i="1"/>
  <c r="N60" i="1"/>
  <c r="N61" i="1"/>
  <c r="N62" i="1"/>
  <c r="N63" i="1"/>
  <c r="N64" i="1"/>
  <c r="N65" i="1"/>
  <c r="N66" i="1"/>
  <c r="N67" i="1"/>
  <c r="N68" i="1"/>
  <c r="N69" i="1"/>
  <c r="N70" i="1"/>
  <c r="N71" i="1"/>
  <c r="N72" i="1"/>
  <c r="N73" i="1"/>
  <c r="N74" i="1"/>
  <c r="N75" i="1"/>
  <c r="N76" i="1"/>
  <c r="N77" i="1"/>
  <c r="N78" i="1"/>
  <c r="N79" i="1"/>
  <c r="N80" i="1"/>
  <c r="N81" i="1"/>
  <c r="N82" i="1"/>
  <c r="N83" i="1"/>
  <c r="N84" i="1"/>
  <c r="N85" i="1"/>
  <c r="N86" i="1"/>
  <c r="N87" i="1"/>
  <c r="N88" i="1"/>
  <c r="N89" i="1"/>
  <c r="N90" i="1"/>
  <c r="N91" i="1"/>
  <c r="N92" i="1"/>
  <c r="N93" i="1"/>
  <c r="N94" i="1"/>
  <c r="N95" i="1"/>
  <c r="N96" i="1"/>
  <c r="N97" i="1"/>
  <c r="N98" i="1"/>
  <c r="N99" i="1"/>
  <c r="N100" i="1"/>
  <c r="N101" i="1"/>
  <c r="N102" i="1"/>
  <c r="N103" i="1"/>
  <c r="N104" i="1"/>
  <c r="N105" i="1"/>
  <c r="N106" i="1"/>
  <c r="N107" i="1"/>
  <c r="N108" i="1"/>
  <c r="N109" i="1"/>
  <c r="N110" i="1"/>
  <c r="N111" i="1"/>
  <c r="N112" i="1"/>
  <c r="N113" i="1"/>
  <c r="N114" i="1"/>
  <c r="N115" i="1"/>
  <c r="N116" i="1"/>
  <c r="N117" i="1"/>
  <c r="N118" i="1"/>
  <c r="N119" i="1"/>
  <c r="N120" i="1"/>
  <c r="N121" i="1"/>
  <c r="N122" i="1"/>
  <c r="N123" i="1"/>
  <c r="N124" i="1"/>
  <c r="N125" i="1"/>
  <c r="N126" i="1"/>
  <c r="N127" i="1"/>
  <c r="N128" i="1"/>
  <c r="N129" i="1"/>
  <c r="N2" i="1"/>
  <c r="H124" i="3"/>
  <c r="H125" i="3"/>
  <c r="H126" i="3"/>
  <c r="H127" i="3"/>
  <c r="H128" i="3"/>
  <c r="H129" i="3"/>
  <c r="H130" i="3"/>
  <c r="H131" i="3"/>
  <c r="H132" i="3"/>
  <c r="H133" i="3"/>
  <c r="H134" i="3"/>
  <c r="H135" i="3"/>
  <c r="H136" i="3"/>
  <c r="H137" i="3"/>
  <c r="H138" i="3"/>
  <c r="H139" i="3"/>
  <c r="H140" i="3"/>
  <c r="H141" i="3"/>
  <c r="H142" i="3"/>
  <c r="H143" i="3"/>
  <c r="H144" i="3"/>
  <c r="H145" i="3"/>
  <c r="H146" i="3"/>
  <c r="H147" i="3"/>
  <c r="H148" i="3"/>
  <c r="H149" i="3"/>
  <c r="H150" i="3"/>
  <c r="H151" i="3"/>
  <c r="H152" i="3"/>
  <c r="H153" i="3"/>
  <c r="H154" i="3"/>
  <c r="H155" i="3"/>
  <c r="H156" i="3"/>
  <c r="H157" i="3"/>
  <c r="H158" i="3"/>
  <c r="H159" i="3"/>
  <c r="H160" i="3"/>
  <c r="H161" i="3"/>
  <c r="H162" i="3"/>
  <c r="H163" i="3"/>
  <c r="H164" i="3"/>
  <c r="H165" i="3"/>
  <c r="H166" i="3"/>
  <c r="H167" i="3"/>
  <c r="H168" i="3"/>
  <c r="H169" i="3"/>
  <c r="H170" i="3"/>
  <c r="H171" i="3"/>
  <c r="H172" i="3"/>
  <c r="H173" i="3"/>
  <c r="H174" i="3"/>
  <c r="H175" i="3"/>
  <c r="H176" i="3"/>
  <c r="H177" i="3"/>
  <c r="H178" i="3"/>
  <c r="H179" i="3"/>
  <c r="H180" i="3"/>
  <c r="H181" i="3"/>
  <c r="H182" i="3"/>
  <c r="H183" i="3"/>
  <c r="H184" i="3"/>
  <c r="H185" i="3"/>
  <c r="H186" i="3"/>
  <c r="H187" i="3"/>
  <c r="H188" i="3"/>
  <c r="H189" i="3"/>
  <c r="H190" i="3"/>
  <c r="H191" i="3"/>
  <c r="H192" i="3"/>
  <c r="H193" i="3"/>
  <c r="H194" i="3"/>
  <c r="H195" i="3"/>
  <c r="H196" i="3"/>
  <c r="H197" i="3"/>
  <c r="H198" i="3"/>
  <c r="H199" i="3"/>
  <c r="H200" i="3"/>
  <c r="H201" i="3"/>
  <c r="H202" i="3"/>
  <c r="H203" i="3"/>
  <c r="H204" i="3"/>
  <c r="H205" i="3"/>
  <c r="H206" i="3"/>
  <c r="H207" i="3"/>
  <c r="H208" i="3"/>
  <c r="H209" i="3"/>
  <c r="H210" i="3"/>
  <c r="H211" i="3"/>
  <c r="H212" i="3"/>
  <c r="H213" i="3"/>
  <c r="H214" i="3"/>
  <c r="H215" i="3"/>
  <c r="H216" i="3"/>
  <c r="H217" i="3"/>
  <c r="H218" i="3"/>
  <c r="H219" i="3"/>
  <c r="H220" i="3"/>
  <c r="H221" i="3"/>
  <c r="H222" i="3"/>
  <c r="H223" i="3"/>
  <c r="H224" i="3"/>
  <c r="H225" i="3"/>
  <c r="H226" i="3"/>
  <c r="H227" i="3"/>
  <c r="H228" i="3"/>
  <c r="H229" i="3"/>
  <c r="H230" i="3"/>
  <c r="H231" i="3"/>
  <c r="H232" i="3"/>
  <c r="H233" i="3"/>
  <c r="H234" i="3"/>
  <c r="H235" i="3"/>
  <c r="H236" i="3"/>
  <c r="H237" i="3"/>
  <c r="H238" i="3"/>
  <c r="H239" i="3"/>
  <c r="H240" i="3"/>
  <c r="H241" i="3"/>
  <c r="H242" i="3"/>
  <c r="H243" i="3"/>
  <c r="H244" i="3"/>
  <c r="H245" i="3"/>
  <c r="H246" i="3"/>
  <c r="H247" i="3"/>
  <c r="H248" i="3"/>
  <c r="H249" i="3"/>
  <c r="H250" i="3"/>
  <c r="H251" i="3"/>
  <c r="H252" i="3"/>
  <c r="H253" i="3"/>
  <c r="H254" i="3"/>
  <c r="H255" i="3"/>
  <c r="H256" i="3"/>
  <c r="H257" i="3"/>
  <c r="H258" i="3"/>
  <c r="H259" i="3"/>
  <c r="H260" i="3"/>
  <c r="H261" i="3"/>
  <c r="H262" i="3"/>
  <c r="H263" i="3"/>
  <c r="H264" i="3"/>
  <c r="H265" i="3"/>
  <c r="H266" i="3"/>
  <c r="H267" i="3"/>
  <c r="H268" i="3"/>
  <c r="H269" i="3"/>
  <c r="H270" i="3"/>
  <c r="H271" i="3"/>
  <c r="H272" i="3"/>
  <c r="H273" i="3"/>
  <c r="H274" i="3"/>
  <c r="H275" i="3"/>
  <c r="H276" i="3"/>
  <c r="H277" i="3"/>
  <c r="H278" i="3"/>
  <c r="H279" i="3"/>
  <c r="H280" i="3"/>
  <c r="H281" i="3"/>
  <c r="H282" i="3"/>
  <c r="H283" i="3"/>
  <c r="H284" i="3"/>
  <c r="H285" i="3"/>
  <c r="H286" i="3"/>
  <c r="H287" i="3"/>
  <c r="H288" i="3"/>
  <c r="H289" i="3"/>
  <c r="H290" i="3"/>
  <c r="H291" i="3"/>
  <c r="H292" i="3"/>
  <c r="H293" i="3"/>
  <c r="H294" i="3"/>
  <c r="H295" i="3"/>
  <c r="H296" i="3"/>
  <c r="H297" i="3"/>
  <c r="H298" i="3"/>
  <c r="H299" i="3"/>
  <c r="H300" i="3"/>
  <c r="H301" i="3"/>
  <c r="H302" i="3"/>
  <c r="H303" i="3"/>
  <c r="H304" i="3"/>
  <c r="H305" i="3"/>
  <c r="H306" i="3"/>
  <c r="H307" i="3"/>
  <c r="H308" i="3"/>
  <c r="H309" i="3"/>
  <c r="H310" i="3"/>
  <c r="H311" i="3"/>
  <c r="H312" i="3"/>
  <c r="H313" i="3"/>
  <c r="H314" i="3"/>
  <c r="H315" i="3"/>
  <c r="H316" i="3"/>
  <c r="H317" i="3"/>
  <c r="H318" i="3"/>
  <c r="H319" i="3"/>
  <c r="H320" i="3"/>
  <c r="H321" i="3"/>
  <c r="H322" i="3"/>
  <c r="H323" i="3"/>
  <c r="H324" i="3"/>
  <c r="H325" i="3"/>
  <c r="H326" i="3"/>
  <c r="H327" i="3"/>
  <c r="H328" i="3"/>
  <c r="H329" i="3"/>
  <c r="H330" i="3"/>
  <c r="H331" i="3"/>
  <c r="H332" i="3"/>
  <c r="H333" i="3"/>
  <c r="H334" i="3"/>
  <c r="H335" i="3"/>
  <c r="H336" i="3"/>
  <c r="H337" i="3"/>
  <c r="H338" i="3"/>
  <c r="H339" i="3"/>
  <c r="H340" i="3"/>
  <c r="H341" i="3"/>
  <c r="H342" i="3"/>
  <c r="H343" i="3"/>
  <c r="H344" i="3"/>
  <c r="H345" i="3"/>
  <c r="H346" i="3"/>
  <c r="H347" i="3"/>
  <c r="H348" i="3"/>
  <c r="H349" i="3"/>
  <c r="H350" i="3"/>
  <c r="H351" i="3"/>
  <c r="H352" i="3"/>
  <c r="H353" i="3"/>
  <c r="H354" i="3"/>
  <c r="H355" i="3"/>
  <c r="H356" i="3"/>
  <c r="H357" i="3"/>
  <c r="H358" i="3"/>
  <c r="H359" i="3"/>
  <c r="H360" i="3"/>
  <c r="H361" i="3"/>
  <c r="H362" i="3"/>
  <c r="H363" i="3"/>
  <c r="H364" i="3"/>
  <c r="H365" i="3"/>
  <c r="H366" i="3"/>
  <c r="H367" i="3"/>
  <c r="H368" i="3"/>
  <c r="H369" i="3"/>
  <c r="H370" i="3"/>
  <c r="H371" i="3"/>
  <c r="H372" i="3"/>
  <c r="H373" i="3"/>
  <c r="H374" i="3"/>
  <c r="H375" i="3"/>
  <c r="H376" i="3"/>
  <c r="H377" i="3"/>
  <c r="H378" i="3"/>
  <c r="H379" i="3"/>
  <c r="H380" i="3"/>
  <c r="H381" i="3"/>
  <c r="H382" i="3"/>
  <c r="H383" i="3"/>
  <c r="H384" i="3"/>
  <c r="H385" i="3"/>
  <c r="H386" i="3"/>
  <c r="H387" i="3"/>
  <c r="H388" i="3"/>
  <c r="H389" i="3"/>
  <c r="H390" i="3"/>
  <c r="H391" i="3"/>
  <c r="H392" i="3"/>
  <c r="H393" i="3"/>
  <c r="H394" i="3"/>
  <c r="H395" i="3"/>
  <c r="H396" i="3"/>
  <c r="H397" i="3"/>
  <c r="H398" i="3"/>
  <c r="H399" i="3"/>
  <c r="H400" i="3"/>
  <c r="H401" i="3"/>
  <c r="H402" i="3"/>
  <c r="H403" i="3"/>
  <c r="H404" i="3"/>
  <c r="H405" i="3"/>
  <c r="H406" i="3"/>
  <c r="H407" i="3"/>
  <c r="H408" i="3"/>
  <c r="H409" i="3"/>
  <c r="H410" i="3"/>
  <c r="H411" i="3"/>
  <c r="H412" i="3"/>
  <c r="H413" i="3"/>
  <c r="H414" i="3"/>
  <c r="H415" i="3"/>
  <c r="H416" i="3"/>
  <c r="H417" i="3"/>
  <c r="H418" i="3"/>
  <c r="H419" i="3"/>
  <c r="H420" i="3"/>
  <c r="H421" i="3"/>
  <c r="H422" i="3"/>
  <c r="H423" i="3"/>
  <c r="H424" i="3"/>
  <c r="H425" i="3"/>
  <c r="H426" i="3"/>
  <c r="H427" i="3"/>
  <c r="H428" i="3"/>
  <c r="H429" i="3"/>
  <c r="H430" i="3"/>
  <c r="H431" i="3"/>
  <c r="H432" i="3"/>
  <c r="H433" i="3"/>
  <c r="H434" i="3"/>
  <c r="H435" i="3"/>
  <c r="H436" i="3"/>
  <c r="H437" i="3"/>
  <c r="H438" i="3"/>
  <c r="H439" i="3"/>
  <c r="H440" i="3"/>
  <c r="H441" i="3"/>
  <c r="H442" i="3"/>
  <c r="H443" i="3"/>
  <c r="H444" i="3"/>
  <c r="H445" i="3"/>
  <c r="H446" i="3"/>
  <c r="H447" i="3"/>
  <c r="H448" i="3"/>
  <c r="H449" i="3"/>
  <c r="H450" i="3"/>
  <c r="H451" i="3"/>
  <c r="H452" i="3"/>
  <c r="H453" i="3"/>
  <c r="H454" i="3"/>
  <c r="H455" i="3"/>
  <c r="H456" i="3"/>
  <c r="H457" i="3"/>
  <c r="H458" i="3"/>
  <c r="H459" i="3"/>
  <c r="H460" i="3"/>
  <c r="H461" i="3"/>
  <c r="H462" i="3"/>
  <c r="H463" i="3"/>
  <c r="H464" i="3"/>
  <c r="H465" i="3"/>
  <c r="H466" i="3"/>
  <c r="H467" i="3"/>
  <c r="H468" i="3"/>
  <c r="H469" i="3"/>
  <c r="H470" i="3"/>
  <c r="H471" i="3"/>
  <c r="H472" i="3"/>
  <c r="H473" i="3"/>
  <c r="H474" i="3"/>
  <c r="H475" i="3"/>
  <c r="H476" i="3"/>
  <c r="H477" i="3"/>
  <c r="H478" i="3"/>
  <c r="H479" i="3"/>
  <c r="H480" i="3"/>
  <c r="H481" i="3"/>
  <c r="H482" i="3"/>
  <c r="H483" i="3"/>
  <c r="H484" i="3"/>
  <c r="H485" i="3"/>
  <c r="H486" i="3"/>
  <c r="H487" i="3"/>
  <c r="H488" i="3"/>
  <c r="H489" i="3"/>
  <c r="H490" i="3"/>
  <c r="H491" i="3"/>
  <c r="H492" i="3"/>
  <c r="H493" i="3"/>
  <c r="H494" i="3"/>
  <c r="H495" i="3"/>
  <c r="H496" i="3"/>
  <c r="H497" i="3"/>
  <c r="H498" i="3"/>
  <c r="H499" i="3"/>
  <c r="H500" i="3"/>
  <c r="H501" i="3"/>
  <c r="H502" i="3"/>
  <c r="H503" i="3"/>
  <c r="H504" i="3"/>
  <c r="H505" i="3"/>
  <c r="H506" i="3"/>
  <c r="H507" i="3"/>
  <c r="H508" i="3"/>
  <c r="H509" i="3"/>
  <c r="H510" i="3"/>
  <c r="H511" i="3"/>
  <c r="H512" i="3"/>
  <c r="H513" i="3"/>
  <c r="H514" i="3"/>
  <c r="H515" i="3"/>
  <c r="H516" i="3"/>
  <c r="H517" i="3"/>
  <c r="H518" i="3"/>
  <c r="H519" i="3"/>
  <c r="H520" i="3"/>
  <c r="H521" i="3"/>
  <c r="H522" i="3"/>
  <c r="H523" i="3"/>
  <c r="H524" i="3"/>
  <c r="H525" i="3"/>
  <c r="H526" i="3"/>
  <c r="H527" i="3"/>
  <c r="H528" i="3"/>
  <c r="H529" i="3"/>
  <c r="H530" i="3"/>
  <c r="H531" i="3"/>
  <c r="H532" i="3"/>
  <c r="H533" i="3"/>
  <c r="H534" i="3"/>
  <c r="H535" i="3"/>
  <c r="H536" i="3"/>
  <c r="H537" i="3"/>
  <c r="H538" i="3"/>
  <c r="H539" i="3"/>
  <c r="H540" i="3"/>
  <c r="H541" i="3"/>
  <c r="H542" i="3"/>
  <c r="H543" i="3"/>
  <c r="H544" i="3"/>
  <c r="H545" i="3"/>
  <c r="H546" i="3"/>
  <c r="H547" i="3"/>
  <c r="H548" i="3"/>
  <c r="H549" i="3"/>
  <c r="H550" i="3"/>
  <c r="H551" i="3"/>
  <c r="H552" i="3"/>
  <c r="H553" i="3"/>
  <c r="H554" i="3"/>
  <c r="H555" i="3"/>
  <c r="H556" i="3"/>
  <c r="H557" i="3"/>
  <c r="H558" i="3"/>
  <c r="H559" i="3"/>
  <c r="H560" i="3"/>
  <c r="H561" i="3"/>
  <c r="H562" i="3"/>
  <c r="H563" i="3"/>
  <c r="H564" i="3"/>
  <c r="H565" i="3"/>
  <c r="H566" i="3"/>
  <c r="H567" i="3"/>
  <c r="H568" i="3"/>
  <c r="H569" i="3"/>
  <c r="H570" i="3"/>
  <c r="H571" i="3"/>
  <c r="H572" i="3"/>
  <c r="H573" i="3"/>
  <c r="H574" i="3"/>
  <c r="H575" i="3"/>
  <c r="H576" i="3"/>
  <c r="H577" i="3"/>
  <c r="H578" i="3"/>
  <c r="H579" i="3"/>
  <c r="H580" i="3"/>
  <c r="H581" i="3"/>
  <c r="H582" i="3"/>
  <c r="H583" i="3"/>
  <c r="H584" i="3"/>
  <c r="H585" i="3"/>
  <c r="H586" i="3"/>
  <c r="H587" i="3"/>
  <c r="H588" i="3"/>
  <c r="H589" i="3"/>
  <c r="H590" i="3"/>
  <c r="H591" i="3"/>
  <c r="H592" i="3"/>
  <c r="H593" i="3"/>
  <c r="H594" i="3"/>
  <c r="H595" i="3"/>
  <c r="H596" i="3"/>
  <c r="H597" i="3"/>
  <c r="H598" i="3"/>
  <c r="H599" i="3"/>
  <c r="H600" i="3"/>
  <c r="H601" i="3"/>
  <c r="H602" i="3"/>
  <c r="H603" i="3"/>
  <c r="H604" i="3"/>
  <c r="H605" i="3"/>
  <c r="H606" i="3"/>
  <c r="H607" i="3"/>
  <c r="H608" i="3"/>
  <c r="H609" i="3"/>
  <c r="H610" i="3"/>
  <c r="H611" i="3"/>
  <c r="H612" i="3"/>
  <c r="H613" i="3"/>
  <c r="H614" i="3"/>
  <c r="H615" i="3"/>
  <c r="H616" i="3"/>
  <c r="H617" i="3"/>
  <c r="H618" i="3"/>
  <c r="H619" i="3"/>
  <c r="H620" i="3"/>
  <c r="H621" i="3"/>
  <c r="H622" i="3"/>
  <c r="H623" i="3"/>
  <c r="H624" i="3"/>
  <c r="H625" i="3"/>
  <c r="H626" i="3"/>
  <c r="H627" i="3"/>
  <c r="H628" i="3"/>
  <c r="H629" i="3"/>
  <c r="H630" i="3"/>
  <c r="H631" i="3"/>
  <c r="H632" i="3"/>
  <c r="H633" i="3"/>
  <c r="H634" i="3"/>
  <c r="H635" i="3"/>
  <c r="H636" i="3"/>
  <c r="H637" i="3"/>
  <c r="H638" i="3"/>
  <c r="H639" i="3"/>
  <c r="H640" i="3"/>
  <c r="H641" i="3"/>
  <c r="H642" i="3"/>
  <c r="H643" i="3"/>
  <c r="H644" i="3"/>
  <c r="H645" i="3"/>
  <c r="H646" i="3"/>
  <c r="H647" i="3"/>
  <c r="H648" i="3"/>
  <c r="H649" i="3"/>
  <c r="H650" i="3"/>
  <c r="H651" i="3"/>
  <c r="H652" i="3"/>
  <c r="H653" i="3"/>
  <c r="H654" i="3"/>
  <c r="H655" i="3"/>
  <c r="H656" i="3"/>
  <c r="H657" i="3"/>
  <c r="H658" i="3"/>
  <c r="H659" i="3"/>
  <c r="H660" i="3"/>
  <c r="H661" i="3"/>
  <c r="H662" i="3"/>
  <c r="H663" i="3"/>
  <c r="H664" i="3"/>
  <c r="H665" i="3"/>
  <c r="H666" i="3"/>
  <c r="H667" i="3"/>
  <c r="H668" i="3"/>
  <c r="H669" i="3"/>
  <c r="H670" i="3"/>
  <c r="H671" i="3"/>
  <c r="H672" i="3"/>
  <c r="H673" i="3"/>
  <c r="H674" i="3"/>
  <c r="H675" i="3"/>
  <c r="H676" i="3"/>
  <c r="H677" i="3"/>
  <c r="H678" i="3"/>
  <c r="H679" i="3"/>
  <c r="H680" i="3"/>
  <c r="H681" i="3"/>
  <c r="H682" i="3"/>
  <c r="H683" i="3"/>
  <c r="H684" i="3"/>
  <c r="H685" i="3"/>
  <c r="H686" i="3"/>
  <c r="H687" i="3"/>
  <c r="H688" i="3"/>
  <c r="H689" i="3"/>
  <c r="H690" i="3"/>
  <c r="H691" i="3"/>
  <c r="H692" i="3"/>
  <c r="H693" i="3"/>
  <c r="H694" i="3"/>
  <c r="H695" i="3"/>
  <c r="H696" i="3"/>
  <c r="H697" i="3"/>
  <c r="H698" i="3"/>
  <c r="H699" i="3"/>
  <c r="H700" i="3"/>
  <c r="H701" i="3"/>
  <c r="H702" i="3"/>
  <c r="H703" i="3"/>
  <c r="H704" i="3"/>
  <c r="H705" i="3"/>
  <c r="H706" i="3"/>
  <c r="H707" i="3"/>
  <c r="H708" i="3"/>
  <c r="H709" i="3"/>
  <c r="H710" i="3"/>
  <c r="H711" i="3"/>
  <c r="H712" i="3"/>
  <c r="H713" i="3"/>
  <c r="H714" i="3"/>
  <c r="H715" i="3"/>
  <c r="H716" i="3"/>
  <c r="H717" i="3"/>
  <c r="H718" i="3"/>
  <c r="H719" i="3"/>
  <c r="H720" i="3"/>
  <c r="H721" i="3"/>
  <c r="H722" i="3"/>
  <c r="H723" i="3"/>
  <c r="H724" i="3"/>
  <c r="H725" i="3"/>
  <c r="H726" i="3"/>
  <c r="H727" i="3"/>
  <c r="H728" i="3"/>
  <c r="H729" i="3"/>
  <c r="H730" i="3"/>
  <c r="H731" i="3"/>
  <c r="H732" i="3"/>
  <c r="H733" i="3"/>
  <c r="H734" i="3"/>
  <c r="H735" i="3"/>
  <c r="H736" i="3"/>
  <c r="H737" i="3"/>
  <c r="H738" i="3"/>
  <c r="H739" i="3"/>
  <c r="H740" i="3"/>
  <c r="H741" i="3"/>
  <c r="H742" i="3"/>
  <c r="H743" i="3"/>
  <c r="H744" i="3"/>
  <c r="H745" i="3"/>
  <c r="H746" i="3"/>
  <c r="H747" i="3"/>
  <c r="H748" i="3"/>
  <c r="H749" i="3"/>
  <c r="H750" i="3"/>
  <c r="H751" i="3"/>
  <c r="H752" i="3"/>
  <c r="H753" i="3"/>
  <c r="H754" i="3"/>
  <c r="H755" i="3"/>
  <c r="H756" i="3"/>
  <c r="H757" i="3"/>
  <c r="H758" i="3"/>
  <c r="H759" i="3"/>
  <c r="H760" i="3"/>
  <c r="H761" i="3"/>
  <c r="H762" i="3"/>
  <c r="H763" i="3"/>
  <c r="H764" i="3"/>
  <c r="H765" i="3"/>
  <c r="H766" i="3"/>
  <c r="H767" i="3"/>
  <c r="H768" i="3"/>
  <c r="H769" i="3"/>
  <c r="H770" i="3"/>
  <c r="H771" i="3"/>
  <c r="H772" i="3"/>
  <c r="H773" i="3"/>
  <c r="H774" i="3"/>
  <c r="H775" i="3"/>
  <c r="H776" i="3"/>
  <c r="H777" i="3"/>
  <c r="H778" i="3"/>
  <c r="H779" i="3"/>
  <c r="H780" i="3"/>
  <c r="H781" i="3"/>
  <c r="H782" i="3"/>
  <c r="H783" i="3"/>
  <c r="H784" i="3"/>
  <c r="H785" i="3"/>
  <c r="H786" i="3"/>
  <c r="H787" i="3"/>
  <c r="H788" i="3"/>
  <c r="H789" i="3"/>
  <c r="H790" i="3"/>
  <c r="H791" i="3"/>
  <c r="H792" i="3"/>
  <c r="H793" i="3"/>
  <c r="H794" i="3"/>
  <c r="H795" i="3"/>
  <c r="H796" i="3"/>
  <c r="H797" i="3"/>
  <c r="H798" i="3"/>
  <c r="H799" i="3"/>
  <c r="H800" i="3"/>
  <c r="H801" i="3"/>
  <c r="H802" i="3"/>
  <c r="H803" i="3"/>
  <c r="H804" i="3"/>
  <c r="H805" i="3"/>
  <c r="H806" i="3"/>
  <c r="H807" i="3"/>
  <c r="H808" i="3"/>
  <c r="H809" i="3"/>
  <c r="H810" i="3"/>
  <c r="H811" i="3"/>
  <c r="H812" i="3"/>
  <c r="H813" i="3"/>
  <c r="H814" i="3"/>
  <c r="H815" i="3"/>
  <c r="H816" i="3"/>
  <c r="H817" i="3"/>
  <c r="H818" i="3"/>
  <c r="H819" i="3"/>
  <c r="H820" i="3"/>
  <c r="H821" i="3"/>
  <c r="H822" i="3"/>
  <c r="H823" i="3"/>
  <c r="H824" i="3"/>
  <c r="H825" i="3"/>
  <c r="H826" i="3"/>
  <c r="H827" i="3"/>
  <c r="H828" i="3"/>
  <c r="H829" i="3"/>
  <c r="H830" i="3"/>
  <c r="H831" i="3"/>
  <c r="H832" i="3"/>
  <c r="H833" i="3"/>
  <c r="H834" i="3"/>
  <c r="H835" i="3"/>
  <c r="H836" i="3"/>
  <c r="H837" i="3"/>
  <c r="H838" i="3"/>
  <c r="H839" i="3"/>
  <c r="H840" i="3"/>
  <c r="H841" i="3"/>
  <c r="H842" i="3"/>
  <c r="H843" i="3"/>
  <c r="H844" i="3"/>
  <c r="H845" i="3"/>
  <c r="H846" i="3"/>
  <c r="H847" i="3"/>
  <c r="H848" i="3"/>
  <c r="H849" i="3"/>
  <c r="H850" i="3"/>
  <c r="H851" i="3"/>
  <c r="H852" i="3"/>
  <c r="H853" i="3"/>
  <c r="H854" i="3"/>
  <c r="H855" i="3"/>
  <c r="H856" i="3"/>
  <c r="H857" i="3"/>
  <c r="H858" i="3"/>
  <c r="H859" i="3"/>
  <c r="H860" i="3"/>
  <c r="H861" i="3"/>
  <c r="H862" i="3"/>
  <c r="H863" i="3"/>
  <c r="H864" i="3"/>
  <c r="H865" i="3"/>
  <c r="H866" i="3"/>
  <c r="H867" i="3"/>
  <c r="H868" i="3"/>
  <c r="H869" i="3"/>
  <c r="H870" i="3"/>
  <c r="H871" i="3"/>
  <c r="H872" i="3"/>
  <c r="H873" i="3"/>
  <c r="H874" i="3"/>
  <c r="H875" i="3"/>
  <c r="H876" i="3"/>
  <c r="H877" i="3"/>
  <c r="H878" i="3"/>
  <c r="H879" i="3"/>
  <c r="H880" i="3"/>
  <c r="H881" i="3"/>
  <c r="H882" i="3"/>
  <c r="H883" i="3"/>
  <c r="H884" i="3"/>
  <c r="H885" i="3"/>
  <c r="H886" i="3"/>
  <c r="H887" i="3"/>
  <c r="H888" i="3"/>
  <c r="H889" i="3"/>
  <c r="H890" i="3"/>
  <c r="H891" i="3"/>
  <c r="H892" i="3"/>
  <c r="H893" i="3"/>
  <c r="H894" i="3"/>
  <c r="H895" i="3"/>
  <c r="H896" i="3"/>
  <c r="H897" i="3"/>
  <c r="H898" i="3"/>
  <c r="H899" i="3"/>
  <c r="H900" i="3"/>
  <c r="H901" i="3"/>
  <c r="H902" i="3"/>
  <c r="H903" i="3"/>
  <c r="H904" i="3"/>
  <c r="H905" i="3"/>
  <c r="H906" i="3"/>
  <c r="H907" i="3"/>
  <c r="H908" i="3"/>
  <c r="H909" i="3"/>
  <c r="H910" i="3"/>
  <c r="H911" i="3"/>
  <c r="H912" i="3"/>
  <c r="H913" i="3"/>
  <c r="H914" i="3"/>
  <c r="H915" i="3"/>
  <c r="H916" i="3"/>
  <c r="H917" i="3"/>
  <c r="H918" i="3"/>
  <c r="H919" i="3"/>
  <c r="H920" i="3"/>
  <c r="H921" i="3"/>
  <c r="H922" i="3"/>
  <c r="H923" i="3"/>
  <c r="H924" i="3"/>
  <c r="H925" i="3"/>
  <c r="H926" i="3"/>
  <c r="H927" i="3"/>
  <c r="H928" i="3"/>
  <c r="H929" i="3"/>
  <c r="H930" i="3"/>
  <c r="H931" i="3"/>
  <c r="H932" i="3"/>
  <c r="H933" i="3"/>
  <c r="H934" i="3"/>
  <c r="H935" i="3"/>
  <c r="H936" i="3"/>
  <c r="H937" i="3"/>
  <c r="H938" i="3"/>
  <c r="H939" i="3"/>
  <c r="H940" i="3"/>
  <c r="H941" i="3"/>
  <c r="H942" i="3"/>
  <c r="H943" i="3"/>
  <c r="H944" i="3"/>
  <c r="H945" i="3"/>
  <c r="H946" i="3"/>
  <c r="H947" i="3"/>
  <c r="H948" i="3"/>
  <c r="H949" i="3"/>
  <c r="H950" i="3"/>
  <c r="H951" i="3"/>
  <c r="H952" i="3"/>
  <c r="H953" i="3"/>
  <c r="H954" i="3"/>
  <c r="H955" i="3"/>
  <c r="H956" i="3"/>
  <c r="H957" i="3"/>
  <c r="H958" i="3"/>
  <c r="H959" i="3"/>
  <c r="H960" i="3"/>
  <c r="H961" i="3"/>
  <c r="H962" i="3"/>
  <c r="H963" i="3"/>
  <c r="H964" i="3"/>
  <c r="H965" i="3"/>
  <c r="H966" i="3"/>
  <c r="H967" i="3"/>
  <c r="H968" i="3"/>
  <c r="H969" i="3"/>
  <c r="H970" i="3"/>
  <c r="H971" i="3"/>
  <c r="H972" i="3"/>
  <c r="H973" i="3"/>
  <c r="H974" i="3"/>
  <c r="H975" i="3"/>
  <c r="H976" i="3"/>
  <c r="H977" i="3"/>
  <c r="H978" i="3"/>
  <c r="H979" i="3"/>
  <c r="H980" i="3"/>
  <c r="H981" i="3"/>
  <c r="H982" i="3"/>
  <c r="H983" i="3"/>
  <c r="H984" i="3"/>
  <c r="H985" i="3"/>
  <c r="H986" i="3"/>
  <c r="H987" i="3"/>
  <c r="H988" i="3"/>
  <c r="H989" i="3"/>
  <c r="H990" i="3"/>
  <c r="H991" i="3"/>
  <c r="H992" i="3"/>
  <c r="H993" i="3"/>
  <c r="H994" i="3"/>
  <c r="H995" i="3"/>
  <c r="H996" i="3"/>
  <c r="H997" i="3"/>
  <c r="H998" i="3"/>
  <c r="H999" i="3"/>
  <c r="H1000" i="3"/>
  <c r="H1001" i="3"/>
  <c r="H1002" i="3"/>
  <c r="H1003" i="3"/>
  <c r="H1004" i="3"/>
  <c r="H1005" i="3"/>
  <c r="H1006" i="3"/>
  <c r="H1007" i="3"/>
  <c r="H1008" i="3"/>
  <c r="H1009" i="3"/>
  <c r="H1010" i="3"/>
  <c r="H1011" i="3"/>
  <c r="H1012" i="3"/>
  <c r="H1013" i="3"/>
  <c r="H1014" i="3"/>
  <c r="H1015" i="3"/>
  <c r="H1016" i="3"/>
  <c r="H1017" i="3"/>
  <c r="H1018" i="3"/>
  <c r="H1019" i="3"/>
  <c r="H1020" i="3"/>
  <c r="H1021" i="3"/>
  <c r="H1022" i="3"/>
  <c r="H1023" i="3"/>
  <c r="H1024" i="3"/>
  <c r="H1025" i="3"/>
  <c r="H1026" i="3"/>
  <c r="H1027" i="3"/>
  <c r="H1028" i="3"/>
  <c r="H1029" i="3"/>
  <c r="H1030" i="3"/>
  <c r="H1031" i="3"/>
  <c r="H1032" i="3"/>
  <c r="H1033" i="3"/>
  <c r="H1034" i="3"/>
  <c r="H1035" i="3"/>
  <c r="H1036" i="3"/>
  <c r="H1037" i="3"/>
  <c r="H1038" i="3"/>
  <c r="H1039" i="3"/>
  <c r="H1040" i="3"/>
  <c r="H1041" i="3"/>
  <c r="H1042" i="3"/>
  <c r="H1043" i="3"/>
  <c r="H1044" i="3"/>
  <c r="H1045" i="3"/>
  <c r="H1046" i="3"/>
  <c r="H1047" i="3"/>
  <c r="H1048" i="3"/>
  <c r="H1049" i="3"/>
  <c r="H1050" i="3"/>
  <c r="H1051" i="3"/>
  <c r="H1052" i="3"/>
  <c r="H1053" i="3"/>
  <c r="H1054" i="3"/>
  <c r="H1055" i="3"/>
  <c r="H1056" i="3"/>
  <c r="H1057" i="3"/>
  <c r="H1058" i="3"/>
  <c r="H1059" i="3"/>
  <c r="H1060" i="3"/>
  <c r="H1061" i="3"/>
  <c r="H1062" i="3"/>
  <c r="H1063" i="3"/>
  <c r="H1064" i="3"/>
  <c r="H1065" i="3"/>
  <c r="H1066" i="3"/>
  <c r="H1067" i="3"/>
  <c r="H1068" i="3"/>
  <c r="H1069" i="3"/>
  <c r="H1070" i="3"/>
  <c r="H1071" i="3"/>
  <c r="H1072" i="3"/>
  <c r="H1073" i="3"/>
  <c r="H1074" i="3"/>
  <c r="H1075" i="3"/>
  <c r="H1076" i="3"/>
  <c r="H1077" i="3"/>
  <c r="H1078" i="3"/>
  <c r="H1079" i="3"/>
  <c r="H1080" i="3"/>
  <c r="H1081" i="3"/>
  <c r="H1082" i="3"/>
  <c r="H1083" i="3"/>
  <c r="H1084" i="3"/>
  <c r="H1085" i="3"/>
  <c r="H1086" i="3"/>
  <c r="H1087" i="3"/>
  <c r="H1088" i="3"/>
  <c r="H1089" i="3"/>
  <c r="H1090" i="3"/>
  <c r="H1091" i="3"/>
  <c r="H1092" i="3"/>
  <c r="H1093" i="3"/>
  <c r="H1094" i="3"/>
  <c r="H1095" i="3"/>
  <c r="H1096" i="3"/>
  <c r="H1097" i="3"/>
  <c r="H1098" i="3"/>
  <c r="H1099" i="3"/>
  <c r="H1100" i="3"/>
  <c r="H1101" i="3"/>
  <c r="H1102" i="3"/>
  <c r="H1103" i="3"/>
  <c r="H1104" i="3"/>
  <c r="H1105" i="3"/>
  <c r="H1106" i="3"/>
  <c r="H1107" i="3"/>
  <c r="H1108" i="3"/>
  <c r="H1109" i="3"/>
  <c r="H1110" i="3"/>
  <c r="H1111" i="3"/>
  <c r="H1112" i="3"/>
  <c r="H1113" i="3"/>
  <c r="H1114" i="3"/>
  <c r="H1115" i="3"/>
  <c r="H1116" i="3"/>
  <c r="H1117" i="3"/>
  <c r="H1118" i="3"/>
  <c r="H1119" i="3"/>
  <c r="H1120" i="3"/>
  <c r="H1121" i="3"/>
  <c r="H1122" i="3"/>
  <c r="B9" i="22"/>
  <c r="B7" i="22"/>
  <c r="B10" i="22"/>
  <c r="B5" i="22"/>
  <c r="B4" i="22"/>
  <c r="B8" i="22"/>
  <c r="B3" i="22"/>
  <c r="B6" i="22"/>
  <c r="B11" i="22"/>
  <c r="B12" i="22"/>
  <c r="B13" i="22"/>
  <c r="B14" i="22"/>
  <c r="B15" i="22"/>
  <c r="B16" i="22"/>
  <c r="B17" i="22"/>
  <c r="B18" i="22"/>
  <c r="B19" i="22"/>
  <c r="B20" i="22"/>
  <c r="B21" i="22"/>
  <c r="B22" i="22"/>
  <c r="B23" i="22"/>
  <c r="B24" i="22"/>
  <c r="B25" i="22"/>
  <c r="B26" i="22"/>
  <c r="B27" i="22"/>
  <c r="B28" i="22"/>
  <c r="B29" i="22"/>
  <c r="B30" i="22"/>
  <c r="B31" i="22"/>
  <c r="B32" i="22"/>
  <c r="B33" i="22"/>
  <c r="B34" i="22"/>
  <c r="B35" i="22"/>
  <c r="B36" i="22"/>
  <c r="B37" i="22"/>
  <c r="B38" i="22"/>
  <c r="B39" i="22"/>
  <c r="B40" i="22"/>
  <c r="B41" i="22"/>
  <c r="B42" i="22"/>
  <c r="B43" i="22"/>
  <c r="B44" i="22"/>
  <c r="B45" i="22"/>
  <c r="B46" i="22"/>
  <c r="B47" i="22"/>
  <c r="B48" i="22"/>
  <c r="B49" i="22"/>
  <c r="B50" i="22"/>
  <c r="B51" i="22"/>
  <c r="B52" i="22"/>
  <c r="B53" i="22"/>
  <c r="B54" i="22"/>
  <c r="B55" i="22"/>
  <c r="B56" i="22"/>
  <c r="B57" i="22"/>
  <c r="B58" i="22"/>
  <c r="B59" i="22"/>
  <c r="B60" i="22"/>
  <c r="B61" i="22"/>
  <c r="B62" i="22"/>
  <c r="B63" i="22"/>
  <c r="B64" i="22"/>
  <c r="B65" i="22"/>
  <c r="B66" i="22"/>
  <c r="B67" i="22"/>
  <c r="B68" i="22"/>
  <c r="B69" i="22"/>
  <c r="B70" i="22"/>
  <c r="B71" i="22"/>
  <c r="B72" i="22"/>
  <c r="B73" i="22"/>
  <c r="B74" i="22"/>
  <c r="B75" i="22"/>
  <c r="B76" i="22"/>
  <c r="B77" i="22"/>
  <c r="B78" i="22"/>
  <c r="B79" i="22"/>
  <c r="B80" i="22"/>
  <c r="B81" i="22"/>
  <c r="B82" i="22"/>
  <c r="B83" i="22"/>
  <c r="B84" i="22"/>
  <c r="B85" i="22"/>
  <c r="B86" i="22"/>
  <c r="B87" i="22"/>
  <c r="B88" i="22"/>
  <c r="B89" i="22"/>
  <c r="B90" i="22"/>
  <c r="B91" i="22"/>
  <c r="B92" i="22"/>
  <c r="B93" i="22"/>
  <c r="B94" i="22"/>
  <c r="B95" i="22"/>
  <c r="B96" i="22"/>
  <c r="B97" i="22"/>
  <c r="B98" i="22"/>
  <c r="B99" i="22"/>
  <c r="B100" i="22"/>
  <c r="B101" i="22"/>
  <c r="B102" i="22"/>
  <c r="B103" i="22"/>
  <c r="B104" i="22"/>
  <c r="B105" i="22"/>
  <c r="B106" i="22"/>
  <c r="B107" i="22"/>
  <c r="B108" i="22"/>
  <c r="B109" i="22"/>
  <c r="B110" i="22"/>
  <c r="B111" i="22"/>
  <c r="B112" i="22"/>
  <c r="B113" i="22"/>
  <c r="B114" i="22"/>
  <c r="B115" i="22"/>
  <c r="B116" i="22"/>
  <c r="B117" i="22"/>
  <c r="B118" i="22"/>
  <c r="B119" i="22"/>
  <c r="B120" i="22"/>
  <c r="B121" i="22"/>
  <c r="C9" i="22"/>
  <c r="C7" i="22"/>
  <c r="C10" i="22"/>
  <c r="C4" i="22"/>
  <c r="C13" i="22"/>
  <c r="C12" i="22"/>
  <c r="C3" i="22"/>
  <c r="C15" i="22"/>
  <c r="C8" i="22"/>
  <c r="C11" i="22"/>
  <c r="C14" i="22"/>
  <c r="C6" i="22"/>
  <c r="C16" i="22"/>
  <c r="C17" i="22"/>
  <c r="C18" i="22"/>
  <c r="C19" i="22"/>
  <c r="C20" i="22"/>
  <c r="C21" i="22"/>
  <c r="C22" i="22"/>
  <c r="C23" i="22"/>
  <c r="C24" i="22"/>
  <c r="C25" i="22"/>
  <c r="C26" i="22"/>
  <c r="C27" i="22"/>
  <c r="C28" i="22"/>
  <c r="C29" i="22"/>
  <c r="C30" i="22"/>
  <c r="C31" i="22"/>
  <c r="C32" i="22"/>
  <c r="C33" i="22"/>
  <c r="C34" i="22"/>
  <c r="C35" i="22"/>
  <c r="C36" i="22"/>
  <c r="C37" i="22"/>
  <c r="C38" i="22"/>
  <c r="C39" i="22"/>
  <c r="C40" i="22"/>
  <c r="C41" i="22"/>
  <c r="C42" i="22"/>
  <c r="C43" i="22"/>
  <c r="C44" i="22"/>
  <c r="C45" i="22"/>
  <c r="C46" i="22"/>
  <c r="C47" i="22"/>
  <c r="C48" i="22"/>
  <c r="C49" i="22"/>
  <c r="C50" i="22"/>
  <c r="C51" i="22"/>
  <c r="C52" i="22"/>
  <c r="C53" i="22"/>
  <c r="C54" i="22"/>
  <c r="C55" i="22"/>
  <c r="C56" i="22"/>
  <c r="C57" i="22"/>
  <c r="C58" i="22"/>
  <c r="C59" i="22"/>
  <c r="C60" i="22"/>
  <c r="C61" i="22"/>
  <c r="C62" i="22"/>
  <c r="C63" i="22"/>
  <c r="C64" i="22"/>
  <c r="C65" i="22"/>
  <c r="C66" i="22"/>
  <c r="C67" i="22"/>
  <c r="C68" i="22"/>
  <c r="C69" i="22"/>
  <c r="C70" i="22"/>
  <c r="C71" i="22"/>
  <c r="C72" i="22"/>
  <c r="C73" i="22"/>
  <c r="C74" i="22"/>
  <c r="C75" i="22"/>
  <c r="C76" i="22"/>
  <c r="C77" i="22"/>
  <c r="C78" i="22"/>
  <c r="C79" i="22"/>
  <c r="C80" i="22"/>
  <c r="C81" i="22"/>
  <c r="C82" i="22"/>
  <c r="C83" i="22"/>
  <c r="C84" i="22"/>
  <c r="C85" i="22"/>
  <c r="C86" i="22"/>
  <c r="C87" i="22"/>
  <c r="C88" i="22"/>
  <c r="C89" i="22"/>
  <c r="C90" i="22"/>
  <c r="C91" i="22"/>
  <c r="C92" i="22"/>
  <c r="C93" i="22"/>
  <c r="C94" i="22"/>
  <c r="C95" i="22"/>
  <c r="C96" i="22"/>
  <c r="C97" i="22"/>
  <c r="C98" i="22"/>
  <c r="C99" i="22"/>
  <c r="C100" i="22"/>
  <c r="C101" i="22"/>
  <c r="C102" i="22"/>
  <c r="C103" i="22"/>
  <c r="C104" i="22"/>
  <c r="C105" i="22"/>
  <c r="C106" i="22"/>
  <c r="C107" i="22"/>
  <c r="C108" i="22"/>
  <c r="C109" i="22"/>
  <c r="C110" i="22"/>
  <c r="C111" i="22"/>
  <c r="C112" i="22"/>
  <c r="C113" i="22"/>
  <c r="C114" i="22"/>
  <c r="C115" i="22"/>
  <c r="C116" i="22"/>
  <c r="C117" i="22"/>
  <c r="C118" i="22"/>
  <c r="C119" i="22"/>
  <c r="C120" i="22"/>
  <c r="C121" i="22"/>
  <c r="C5" i="22"/>
  <c r="M3" i="25" a="1"/>
  <c r="D11" i="26"/>
  <c r="K6" i="26"/>
  <c r="J6" i="26"/>
  <c r="I6" i="26"/>
  <c r="H6" i="26"/>
  <c r="K5" i="26"/>
  <c r="J5" i="26"/>
  <c r="I5" i="26"/>
  <c r="H5" i="26"/>
  <c r="K4" i="26"/>
  <c r="J4" i="26"/>
  <c r="I4" i="26"/>
  <c r="H4" i="26"/>
  <c r="K3" i="26"/>
  <c r="J3" i="26"/>
  <c r="I3" i="26"/>
  <c r="H3" i="26"/>
  <c r="C4" i="26"/>
  <c r="B4" i="26"/>
  <c r="D4" i="26" s="1"/>
  <c r="C3" i="26"/>
  <c r="B3" i="26"/>
  <c r="D3" i="26" s="1"/>
  <c r="AA32" i="3"/>
  <c r="T7" i="2"/>
  <c r="T9" i="2"/>
  <c r="A37" i="22"/>
  <c r="AH4" i="22"/>
  <c r="AH5" i="22"/>
  <c r="AH6" i="22"/>
  <c r="AH7" i="22"/>
  <c r="AH8" i="22"/>
  <c r="AH9" i="22"/>
  <c r="AH10" i="22"/>
  <c r="AH11" i="22"/>
  <c r="AH12" i="22"/>
  <c r="AH13" i="22"/>
  <c r="AH14" i="22"/>
  <c r="AH15" i="22"/>
  <c r="AH16" i="22"/>
  <c r="AH17" i="22"/>
  <c r="AH18" i="22"/>
  <c r="AH19" i="22"/>
  <c r="AH20" i="22"/>
  <c r="AH21" i="22"/>
  <c r="AH22" i="22"/>
  <c r="AH23" i="22"/>
  <c r="AH24" i="22"/>
  <c r="AH25" i="22"/>
  <c r="AH26" i="22"/>
  <c r="AH27" i="22"/>
  <c r="AH28" i="22"/>
  <c r="AH29" i="22"/>
  <c r="AH30" i="22"/>
  <c r="AH31" i="22"/>
  <c r="AH32" i="22"/>
  <c r="AH33" i="22"/>
  <c r="AH34" i="22"/>
  <c r="AH35" i="22"/>
  <c r="AH36" i="22"/>
  <c r="AH37" i="22"/>
  <c r="AH38" i="22"/>
  <c r="AH39" i="22"/>
  <c r="AH40" i="22"/>
  <c r="AH41" i="22"/>
  <c r="AH42" i="22"/>
  <c r="AH43" i="22"/>
  <c r="AH44" i="22"/>
  <c r="AH45" i="22"/>
  <c r="AH46" i="22"/>
  <c r="AH47" i="22"/>
  <c r="AH48" i="22"/>
  <c r="AH49" i="22"/>
  <c r="AH50" i="22"/>
  <c r="AH51" i="22"/>
  <c r="AH52" i="22"/>
  <c r="AH53" i="22"/>
  <c r="AH54" i="22"/>
  <c r="AH55" i="22"/>
  <c r="AH56" i="22"/>
  <c r="AH57" i="22"/>
  <c r="AH58" i="22"/>
  <c r="AH59" i="22"/>
  <c r="AH60" i="22"/>
  <c r="AH61" i="22"/>
  <c r="AH62" i="22"/>
  <c r="AH63" i="22"/>
  <c r="AH64" i="22"/>
  <c r="AH65" i="22"/>
  <c r="AH66" i="22"/>
  <c r="AH67" i="22"/>
  <c r="AH68" i="22"/>
  <c r="AH69" i="22"/>
  <c r="AH70" i="22"/>
  <c r="AH71" i="22"/>
  <c r="AH72" i="22"/>
  <c r="AH73" i="22"/>
  <c r="AH74" i="22"/>
  <c r="AH75" i="22"/>
  <c r="AH76" i="22"/>
  <c r="AH77" i="22"/>
  <c r="AH78" i="22"/>
  <c r="AH79" i="22"/>
  <c r="AH80" i="22"/>
  <c r="AH81" i="22"/>
  <c r="AH82" i="22"/>
  <c r="AH83" i="22"/>
  <c r="AH84" i="22"/>
  <c r="AH85" i="22"/>
  <c r="AH86" i="22"/>
  <c r="AH87" i="22"/>
  <c r="AH88" i="22"/>
  <c r="AH89" i="22"/>
  <c r="AH90" i="22"/>
  <c r="AH91" i="22"/>
  <c r="AH92" i="22"/>
  <c r="AH93" i="22"/>
  <c r="AH94" i="22"/>
  <c r="AH95" i="22"/>
  <c r="AH96" i="22"/>
  <c r="AH97" i="22"/>
  <c r="AH98" i="22"/>
  <c r="AH99" i="22"/>
  <c r="AH100" i="22"/>
  <c r="AH101" i="22"/>
  <c r="AH102" i="22"/>
  <c r="AH103" i="22"/>
  <c r="AH104" i="22"/>
  <c r="AH105" i="22"/>
  <c r="AH106" i="22"/>
  <c r="AH107" i="22"/>
  <c r="AH108" i="22"/>
  <c r="AH109" i="22"/>
  <c r="AH110" i="22"/>
  <c r="AH111" i="22"/>
  <c r="AH112" i="22"/>
  <c r="AH113" i="22"/>
  <c r="AH114" i="22"/>
  <c r="AH115" i="22"/>
  <c r="AH116" i="22"/>
  <c r="AH117" i="22"/>
  <c r="AH118" i="22"/>
  <c r="AH119" i="22"/>
  <c r="AH120" i="22"/>
  <c r="AH121" i="22"/>
  <c r="AG4" i="22"/>
  <c r="AI4" i="22" s="1"/>
  <c r="AG5" i="22"/>
  <c r="AI5" i="22" s="1"/>
  <c r="AG6" i="22"/>
  <c r="AI6" i="22" s="1"/>
  <c r="AG7" i="22"/>
  <c r="AI7" i="22" s="1"/>
  <c r="AG8" i="22"/>
  <c r="AI8" i="22" s="1"/>
  <c r="AG9" i="22"/>
  <c r="AI9" i="22" s="1"/>
  <c r="AG10" i="22"/>
  <c r="AI10" i="22" s="1"/>
  <c r="AG11" i="22"/>
  <c r="AI11" i="22" s="1"/>
  <c r="AG12" i="22"/>
  <c r="AI12" i="22" s="1"/>
  <c r="AG13" i="22"/>
  <c r="AI13" i="22" s="1"/>
  <c r="AG14" i="22"/>
  <c r="AI14" i="22" s="1"/>
  <c r="AG15" i="22"/>
  <c r="AI15" i="22" s="1"/>
  <c r="AG16" i="22"/>
  <c r="AI16" i="22" s="1"/>
  <c r="AG17" i="22"/>
  <c r="AI17" i="22" s="1"/>
  <c r="AG18" i="22"/>
  <c r="AI18" i="22" s="1"/>
  <c r="AG19" i="22"/>
  <c r="AI19" i="22" s="1"/>
  <c r="AG20" i="22"/>
  <c r="AI20" i="22" s="1"/>
  <c r="AG21" i="22"/>
  <c r="AI21" i="22" s="1"/>
  <c r="AG22" i="22"/>
  <c r="AI22" i="22" s="1"/>
  <c r="AG23" i="22"/>
  <c r="AI23" i="22" s="1"/>
  <c r="AG24" i="22"/>
  <c r="AI24" i="22" s="1"/>
  <c r="AG25" i="22"/>
  <c r="AI25" i="22" s="1"/>
  <c r="AG26" i="22"/>
  <c r="AI26" i="22" s="1"/>
  <c r="AG27" i="22"/>
  <c r="AI27" i="22" s="1"/>
  <c r="AG28" i="22"/>
  <c r="AI28" i="22" s="1"/>
  <c r="AG29" i="22"/>
  <c r="AI29" i="22" s="1"/>
  <c r="AG30" i="22"/>
  <c r="AI30" i="22" s="1"/>
  <c r="AG31" i="22"/>
  <c r="AI31" i="22" s="1"/>
  <c r="AG32" i="22"/>
  <c r="AI32" i="22" s="1"/>
  <c r="AG33" i="22"/>
  <c r="AI33" i="22" s="1"/>
  <c r="AG34" i="22"/>
  <c r="AI34" i="22" s="1"/>
  <c r="AG35" i="22"/>
  <c r="AI35" i="22" s="1"/>
  <c r="AG36" i="22"/>
  <c r="AI36" i="22" s="1"/>
  <c r="AG37" i="22"/>
  <c r="AI37" i="22" s="1"/>
  <c r="AG38" i="22"/>
  <c r="AI38" i="22" s="1"/>
  <c r="AG39" i="22"/>
  <c r="AI39" i="22" s="1"/>
  <c r="AG40" i="22"/>
  <c r="AI40" i="22" s="1"/>
  <c r="AG41" i="22"/>
  <c r="AI41" i="22" s="1"/>
  <c r="AG42" i="22"/>
  <c r="AI42" i="22" s="1"/>
  <c r="AG43" i="22"/>
  <c r="AI43" i="22" s="1"/>
  <c r="AG44" i="22"/>
  <c r="AI44" i="22" s="1"/>
  <c r="AG45" i="22"/>
  <c r="AI45" i="22" s="1"/>
  <c r="AG46" i="22"/>
  <c r="AI46" i="22" s="1"/>
  <c r="AG47" i="22"/>
  <c r="AI47" i="22" s="1"/>
  <c r="AG48" i="22"/>
  <c r="AI48" i="22" s="1"/>
  <c r="AG49" i="22"/>
  <c r="AI49" i="22" s="1"/>
  <c r="AG50" i="22"/>
  <c r="AI50" i="22" s="1"/>
  <c r="AG51" i="22"/>
  <c r="AI51" i="22" s="1"/>
  <c r="AG52" i="22"/>
  <c r="AI52" i="22" s="1"/>
  <c r="AG53" i="22"/>
  <c r="AI53" i="22" s="1"/>
  <c r="AG54" i="22"/>
  <c r="AI54" i="22" s="1"/>
  <c r="AG55" i="22"/>
  <c r="AI55" i="22" s="1"/>
  <c r="AG56" i="22"/>
  <c r="AI56" i="22" s="1"/>
  <c r="AG57" i="22"/>
  <c r="AI57" i="22" s="1"/>
  <c r="AG58" i="22"/>
  <c r="AI58" i="22" s="1"/>
  <c r="AG59" i="22"/>
  <c r="AI59" i="22" s="1"/>
  <c r="AG60" i="22"/>
  <c r="AI60" i="22" s="1"/>
  <c r="AG61" i="22"/>
  <c r="AI61" i="22" s="1"/>
  <c r="AG62" i="22"/>
  <c r="AI62" i="22" s="1"/>
  <c r="AG63" i="22"/>
  <c r="AI63" i="22" s="1"/>
  <c r="AG64" i="22"/>
  <c r="AI64" i="22" s="1"/>
  <c r="AG65" i="22"/>
  <c r="AI65" i="22" s="1"/>
  <c r="AG66" i="22"/>
  <c r="AI66" i="22" s="1"/>
  <c r="AG67" i="22"/>
  <c r="AI67" i="22" s="1"/>
  <c r="AG68" i="22"/>
  <c r="AI68" i="22" s="1"/>
  <c r="AG69" i="22"/>
  <c r="AI69" i="22" s="1"/>
  <c r="AG70" i="22"/>
  <c r="AI70" i="22" s="1"/>
  <c r="AG71" i="22"/>
  <c r="AI71" i="22" s="1"/>
  <c r="AG72" i="22"/>
  <c r="AI72" i="22" s="1"/>
  <c r="AG73" i="22"/>
  <c r="AI73" i="22" s="1"/>
  <c r="AG74" i="22"/>
  <c r="AI74" i="22" s="1"/>
  <c r="AG75" i="22"/>
  <c r="AI75" i="22" s="1"/>
  <c r="AG76" i="22"/>
  <c r="AI76" i="22" s="1"/>
  <c r="AG77" i="22"/>
  <c r="AI77" i="22" s="1"/>
  <c r="AG78" i="22"/>
  <c r="AI78" i="22" s="1"/>
  <c r="AG79" i="22"/>
  <c r="AI79" i="22" s="1"/>
  <c r="AG80" i="22"/>
  <c r="AI80" i="22" s="1"/>
  <c r="AG81" i="22"/>
  <c r="AI81" i="22" s="1"/>
  <c r="AG82" i="22"/>
  <c r="AI82" i="22" s="1"/>
  <c r="AG83" i="22"/>
  <c r="AI83" i="22" s="1"/>
  <c r="AG84" i="22"/>
  <c r="AI84" i="22" s="1"/>
  <c r="AG85" i="22"/>
  <c r="AI85" i="22" s="1"/>
  <c r="AG86" i="22"/>
  <c r="AI86" i="22" s="1"/>
  <c r="AG87" i="22"/>
  <c r="AI87" i="22" s="1"/>
  <c r="AG88" i="22"/>
  <c r="AI88" i="22" s="1"/>
  <c r="AG89" i="22"/>
  <c r="AI89" i="22" s="1"/>
  <c r="AG90" i="22"/>
  <c r="AI90" i="22" s="1"/>
  <c r="AG91" i="22"/>
  <c r="AI91" i="22" s="1"/>
  <c r="AG92" i="22"/>
  <c r="AI92" i="22" s="1"/>
  <c r="AG93" i="22"/>
  <c r="AI93" i="22" s="1"/>
  <c r="AG94" i="22"/>
  <c r="AI94" i="22" s="1"/>
  <c r="AG95" i="22"/>
  <c r="AI95" i="22" s="1"/>
  <c r="AG96" i="22"/>
  <c r="AI96" i="22" s="1"/>
  <c r="AG97" i="22"/>
  <c r="AI97" i="22" s="1"/>
  <c r="AG98" i="22"/>
  <c r="AI98" i="22" s="1"/>
  <c r="AG99" i="22"/>
  <c r="AI99" i="22" s="1"/>
  <c r="AG100" i="22"/>
  <c r="AI100" i="22" s="1"/>
  <c r="AG101" i="22"/>
  <c r="AI101" i="22" s="1"/>
  <c r="AG102" i="22"/>
  <c r="AI102" i="22" s="1"/>
  <c r="AG103" i="22"/>
  <c r="AI103" i="22" s="1"/>
  <c r="AG104" i="22"/>
  <c r="AI104" i="22" s="1"/>
  <c r="AG105" i="22"/>
  <c r="AI105" i="22" s="1"/>
  <c r="AG106" i="22"/>
  <c r="AI106" i="22" s="1"/>
  <c r="AG107" i="22"/>
  <c r="AI107" i="22" s="1"/>
  <c r="AG108" i="22"/>
  <c r="AI108" i="22" s="1"/>
  <c r="AG109" i="22"/>
  <c r="AI109" i="22" s="1"/>
  <c r="AG110" i="22"/>
  <c r="AI110" i="22" s="1"/>
  <c r="AG111" i="22"/>
  <c r="AI111" i="22" s="1"/>
  <c r="AG112" i="22"/>
  <c r="AI112" i="22" s="1"/>
  <c r="AG113" i="22"/>
  <c r="AI113" i="22" s="1"/>
  <c r="AG114" i="22"/>
  <c r="AI114" i="22" s="1"/>
  <c r="AG115" i="22"/>
  <c r="AI115" i="22" s="1"/>
  <c r="AG116" i="22"/>
  <c r="AI116" i="22" s="1"/>
  <c r="AG117" i="22"/>
  <c r="AI117" i="22" s="1"/>
  <c r="AG118" i="22"/>
  <c r="AI118" i="22" s="1"/>
  <c r="AG119" i="22"/>
  <c r="AI119" i="22" s="1"/>
  <c r="AG120" i="22"/>
  <c r="AI120" i="22" s="1"/>
  <c r="AG121" i="22"/>
  <c r="AI121" i="22" s="1"/>
  <c r="AF4" i="22"/>
  <c r="AF5" i="22"/>
  <c r="AF6" i="22"/>
  <c r="AF7" i="22"/>
  <c r="AF8" i="22"/>
  <c r="AF9" i="22"/>
  <c r="AF10" i="22"/>
  <c r="AF11" i="22"/>
  <c r="AF12" i="22"/>
  <c r="AF13" i="22"/>
  <c r="AF14" i="22"/>
  <c r="AF15" i="22"/>
  <c r="AF16" i="22"/>
  <c r="AF17" i="22"/>
  <c r="AF18" i="22"/>
  <c r="AF19" i="22"/>
  <c r="AF20" i="22"/>
  <c r="AF21" i="22"/>
  <c r="AF22" i="22"/>
  <c r="AF23" i="22"/>
  <c r="AF24" i="22"/>
  <c r="AF25" i="22"/>
  <c r="AF26" i="22"/>
  <c r="AF27" i="22"/>
  <c r="AF28" i="22"/>
  <c r="AF29" i="22"/>
  <c r="AF30" i="22"/>
  <c r="AF31" i="22"/>
  <c r="AF32" i="22"/>
  <c r="AF33" i="22"/>
  <c r="AF34" i="22"/>
  <c r="AF35" i="22"/>
  <c r="AF36" i="22"/>
  <c r="AF37" i="22"/>
  <c r="AF38" i="22"/>
  <c r="AF39" i="22"/>
  <c r="AF40" i="22"/>
  <c r="AF41" i="22"/>
  <c r="AF42" i="22"/>
  <c r="AF43" i="22"/>
  <c r="AF44" i="22"/>
  <c r="AF45" i="22"/>
  <c r="AF46" i="22"/>
  <c r="AF47" i="22"/>
  <c r="AF48" i="22"/>
  <c r="AF49" i="22"/>
  <c r="AF50" i="22"/>
  <c r="AF51" i="22"/>
  <c r="AF52" i="22"/>
  <c r="AF53" i="22"/>
  <c r="AF54" i="22"/>
  <c r="AF55" i="22"/>
  <c r="AF56" i="22"/>
  <c r="AF57" i="22"/>
  <c r="AF58" i="22"/>
  <c r="AF59" i="22"/>
  <c r="AF60" i="22"/>
  <c r="AF61" i="22"/>
  <c r="AF62" i="22"/>
  <c r="AF63" i="22"/>
  <c r="AF64" i="22"/>
  <c r="AF65" i="22"/>
  <c r="AF66" i="22"/>
  <c r="AF67" i="22"/>
  <c r="AF68" i="22"/>
  <c r="AF69" i="22"/>
  <c r="AF70" i="22"/>
  <c r="AF71" i="22"/>
  <c r="AF72" i="22"/>
  <c r="AF73" i="22"/>
  <c r="AF74" i="22"/>
  <c r="AF75" i="22"/>
  <c r="AF76" i="22"/>
  <c r="AF77" i="22"/>
  <c r="AF78" i="22"/>
  <c r="AF79" i="22"/>
  <c r="AF80" i="22"/>
  <c r="AF81" i="22"/>
  <c r="AF82" i="22"/>
  <c r="AF83" i="22"/>
  <c r="AF84" i="22"/>
  <c r="AF85" i="22"/>
  <c r="AF86" i="22"/>
  <c r="AF87" i="22"/>
  <c r="AF88" i="22"/>
  <c r="AF89" i="22"/>
  <c r="AF90" i="22"/>
  <c r="AF91" i="22"/>
  <c r="AF92" i="22"/>
  <c r="AF93" i="22"/>
  <c r="AF94" i="22"/>
  <c r="AF95" i="22"/>
  <c r="AF96" i="22"/>
  <c r="AF97" i="22"/>
  <c r="AF98" i="22"/>
  <c r="AF99" i="22"/>
  <c r="AF100" i="22"/>
  <c r="AF101" i="22"/>
  <c r="AF102" i="22"/>
  <c r="AF103" i="22"/>
  <c r="AF104" i="22"/>
  <c r="AF105" i="22"/>
  <c r="AF106" i="22"/>
  <c r="AF107" i="22"/>
  <c r="AF108" i="22"/>
  <c r="AF109" i="22"/>
  <c r="AF110" i="22"/>
  <c r="AF111" i="22"/>
  <c r="AF112" i="22"/>
  <c r="AF113" i="22"/>
  <c r="AF114" i="22"/>
  <c r="AF115" i="22"/>
  <c r="AF116" i="22"/>
  <c r="AF117" i="22"/>
  <c r="AF118" i="22"/>
  <c r="AF119" i="22"/>
  <c r="AF120" i="22"/>
  <c r="AF121" i="22"/>
  <c r="AE4" i="22"/>
  <c r="AE5" i="22"/>
  <c r="AE6" i="22"/>
  <c r="AE7" i="22"/>
  <c r="AE8" i="22"/>
  <c r="AE9" i="22"/>
  <c r="AE10" i="22"/>
  <c r="AE11" i="22"/>
  <c r="AE12" i="22"/>
  <c r="AE13" i="22"/>
  <c r="AE14" i="22"/>
  <c r="AE15" i="22"/>
  <c r="AE16" i="22"/>
  <c r="AE17" i="22"/>
  <c r="AE18" i="22"/>
  <c r="AE19" i="22"/>
  <c r="AE20" i="22"/>
  <c r="AE21" i="22"/>
  <c r="AE22" i="22"/>
  <c r="AE23" i="22"/>
  <c r="AE24" i="22"/>
  <c r="AE25" i="22"/>
  <c r="AE26" i="22"/>
  <c r="AE27" i="22"/>
  <c r="AE28" i="22"/>
  <c r="AE29" i="22"/>
  <c r="AE30" i="22"/>
  <c r="AE31" i="22"/>
  <c r="AE32" i="22"/>
  <c r="AE33" i="22"/>
  <c r="AE34" i="22"/>
  <c r="AE35" i="22"/>
  <c r="AE36" i="22"/>
  <c r="AE37" i="22"/>
  <c r="AE38" i="22"/>
  <c r="AE39" i="22"/>
  <c r="AE40" i="22"/>
  <c r="AE41" i="22"/>
  <c r="AE42" i="22"/>
  <c r="AE43" i="22"/>
  <c r="AE44" i="22"/>
  <c r="AE45" i="22"/>
  <c r="AE46" i="22"/>
  <c r="AE47" i="22"/>
  <c r="AE48" i="22"/>
  <c r="AE49" i="22"/>
  <c r="AE50" i="22"/>
  <c r="AE51" i="22"/>
  <c r="AE52" i="22"/>
  <c r="AE53" i="22"/>
  <c r="AE54" i="22"/>
  <c r="AE55" i="22"/>
  <c r="AE56" i="22"/>
  <c r="AE57" i="22"/>
  <c r="AE58" i="22"/>
  <c r="AE59" i="22"/>
  <c r="AE60" i="22"/>
  <c r="AE61" i="22"/>
  <c r="AE62" i="22"/>
  <c r="AE63" i="22"/>
  <c r="AE64" i="22"/>
  <c r="AE65" i="22"/>
  <c r="AE66" i="22"/>
  <c r="AE67" i="22"/>
  <c r="AE68" i="22"/>
  <c r="AE69" i="22"/>
  <c r="AE70" i="22"/>
  <c r="AE71" i="22"/>
  <c r="AE72" i="22"/>
  <c r="AE73" i="22"/>
  <c r="AE74" i="22"/>
  <c r="AE75" i="22"/>
  <c r="AE76" i="22"/>
  <c r="AE77" i="22"/>
  <c r="AE78" i="22"/>
  <c r="AE79" i="22"/>
  <c r="AE80" i="22"/>
  <c r="AE81" i="22"/>
  <c r="AE82" i="22"/>
  <c r="AE83" i="22"/>
  <c r="AE84" i="22"/>
  <c r="AE85" i="22"/>
  <c r="AE86" i="22"/>
  <c r="AE87" i="22"/>
  <c r="AE88" i="22"/>
  <c r="AE89" i="22"/>
  <c r="AE90" i="22"/>
  <c r="AE91" i="22"/>
  <c r="AE92" i="22"/>
  <c r="AE93" i="22"/>
  <c r="AE94" i="22"/>
  <c r="AE95" i="22"/>
  <c r="AE96" i="22"/>
  <c r="AE97" i="22"/>
  <c r="AE98" i="22"/>
  <c r="AE99" i="22"/>
  <c r="AE100" i="22"/>
  <c r="AE101" i="22"/>
  <c r="AE102" i="22"/>
  <c r="AE103" i="22"/>
  <c r="AE104" i="22"/>
  <c r="AE105" i="22"/>
  <c r="AE106" i="22"/>
  <c r="AE107" i="22"/>
  <c r="AE108" i="22"/>
  <c r="AE109" i="22"/>
  <c r="AE110" i="22"/>
  <c r="AE111" i="22"/>
  <c r="AE112" i="22"/>
  <c r="AE113" i="22"/>
  <c r="AE114" i="22"/>
  <c r="AE115" i="22"/>
  <c r="AE116" i="22"/>
  <c r="AE117" i="22"/>
  <c r="AE118" i="22"/>
  <c r="AE119" i="22"/>
  <c r="AE120" i="22"/>
  <c r="AE121" i="22"/>
  <c r="AD4" i="22"/>
  <c r="AD5" i="22"/>
  <c r="AD6" i="22"/>
  <c r="AD7" i="22"/>
  <c r="AD8" i="22"/>
  <c r="AD9" i="22"/>
  <c r="AD10" i="22"/>
  <c r="AD11" i="22"/>
  <c r="AD12" i="22"/>
  <c r="AD13" i="22"/>
  <c r="AD14" i="22"/>
  <c r="AD15" i="22"/>
  <c r="AD16" i="22"/>
  <c r="AD17" i="22"/>
  <c r="AD18" i="22"/>
  <c r="AD19" i="22"/>
  <c r="AD20" i="22"/>
  <c r="AD21" i="22"/>
  <c r="AD22" i="22"/>
  <c r="AD23" i="22"/>
  <c r="AD24" i="22"/>
  <c r="AD25" i="22"/>
  <c r="AD26" i="22"/>
  <c r="AD27" i="22"/>
  <c r="AD28" i="22"/>
  <c r="AD29" i="22"/>
  <c r="AD30" i="22"/>
  <c r="AD31" i="22"/>
  <c r="AD32" i="22"/>
  <c r="AD33" i="22"/>
  <c r="AD34" i="22"/>
  <c r="AD35" i="22"/>
  <c r="AD36" i="22"/>
  <c r="AD37" i="22"/>
  <c r="AD38" i="22"/>
  <c r="AD39" i="22"/>
  <c r="AD40" i="22"/>
  <c r="AD41" i="22"/>
  <c r="AD42" i="22"/>
  <c r="AD43" i="22"/>
  <c r="AD44" i="22"/>
  <c r="AD45" i="22"/>
  <c r="AD46" i="22"/>
  <c r="AD47" i="22"/>
  <c r="AD48" i="22"/>
  <c r="AD49" i="22"/>
  <c r="AD50" i="22"/>
  <c r="AD51" i="22"/>
  <c r="AD52" i="22"/>
  <c r="AD53" i="22"/>
  <c r="AD54" i="22"/>
  <c r="AD55" i="22"/>
  <c r="AD56" i="22"/>
  <c r="AD57" i="22"/>
  <c r="AD58" i="22"/>
  <c r="AD59" i="22"/>
  <c r="AD60" i="22"/>
  <c r="AD61" i="22"/>
  <c r="AD62" i="22"/>
  <c r="AD63" i="22"/>
  <c r="AD64" i="22"/>
  <c r="AD65" i="22"/>
  <c r="AD66" i="22"/>
  <c r="AD67" i="22"/>
  <c r="AD68" i="22"/>
  <c r="AD69" i="22"/>
  <c r="AD70" i="22"/>
  <c r="AD71" i="22"/>
  <c r="AD72" i="22"/>
  <c r="AD73" i="22"/>
  <c r="AD74" i="22"/>
  <c r="AD75" i="22"/>
  <c r="AD76" i="22"/>
  <c r="AD77" i="22"/>
  <c r="AD78" i="22"/>
  <c r="AD79" i="22"/>
  <c r="AD80" i="22"/>
  <c r="AD81" i="22"/>
  <c r="AD82" i="22"/>
  <c r="AD83" i="22"/>
  <c r="AD84" i="22"/>
  <c r="AD85" i="22"/>
  <c r="AD86" i="22"/>
  <c r="AD87" i="22"/>
  <c r="AD88" i="22"/>
  <c r="AD89" i="22"/>
  <c r="AD90" i="22"/>
  <c r="AD91" i="22"/>
  <c r="AD92" i="22"/>
  <c r="AD93" i="22"/>
  <c r="AD94" i="22"/>
  <c r="AD95" i="22"/>
  <c r="AD96" i="22"/>
  <c r="AD97" i="22"/>
  <c r="AD98" i="22"/>
  <c r="AD99" i="22"/>
  <c r="AD100" i="22"/>
  <c r="AD101" i="22"/>
  <c r="AD102" i="22"/>
  <c r="AD103" i="22"/>
  <c r="AD104" i="22"/>
  <c r="AD105" i="22"/>
  <c r="AD106" i="22"/>
  <c r="AD107" i="22"/>
  <c r="AD108" i="22"/>
  <c r="AD109" i="22"/>
  <c r="AD110" i="22"/>
  <c r="AD111" i="22"/>
  <c r="AD112" i="22"/>
  <c r="AD113" i="22"/>
  <c r="AD114" i="22"/>
  <c r="AD115" i="22"/>
  <c r="AD116" i="22"/>
  <c r="AD117" i="22"/>
  <c r="AD118" i="22"/>
  <c r="AD119" i="22"/>
  <c r="AD120" i="22"/>
  <c r="AD121" i="22"/>
  <c r="AB4" i="22"/>
  <c r="AB5" i="22"/>
  <c r="AB6" i="22"/>
  <c r="AB7" i="22"/>
  <c r="AB8" i="22"/>
  <c r="AB9" i="22"/>
  <c r="AB10" i="22"/>
  <c r="AB11" i="22"/>
  <c r="AB12" i="22"/>
  <c r="AB13" i="22"/>
  <c r="AB14" i="22"/>
  <c r="AB15" i="22"/>
  <c r="AB16" i="22"/>
  <c r="AB17" i="22"/>
  <c r="AB18" i="22"/>
  <c r="AB19" i="22"/>
  <c r="AB20" i="22"/>
  <c r="AB21" i="22"/>
  <c r="AB22" i="22"/>
  <c r="AB23" i="22"/>
  <c r="AB24" i="22"/>
  <c r="AB25" i="22"/>
  <c r="AB26" i="22"/>
  <c r="AB27" i="22"/>
  <c r="AB28" i="22"/>
  <c r="AB29" i="22"/>
  <c r="AB30" i="22"/>
  <c r="AB31" i="22"/>
  <c r="AB32" i="22"/>
  <c r="AB33" i="22"/>
  <c r="AB34" i="22"/>
  <c r="AB35" i="22"/>
  <c r="AB36" i="22"/>
  <c r="AB37" i="22"/>
  <c r="AB38" i="22"/>
  <c r="AB39" i="22"/>
  <c r="AB40" i="22"/>
  <c r="AB41" i="22"/>
  <c r="AB42" i="22"/>
  <c r="AB43" i="22"/>
  <c r="AB44" i="22"/>
  <c r="AB45" i="22"/>
  <c r="AB46" i="22"/>
  <c r="AB47" i="22"/>
  <c r="AB48" i="22"/>
  <c r="AB49" i="22"/>
  <c r="AB50" i="22"/>
  <c r="AB51" i="22"/>
  <c r="AB52" i="22"/>
  <c r="AB53" i="22"/>
  <c r="AB54" i="22"/>
  <c r="AB55" i="22"/>
  <c r="AB56" i="22"/>
  <c r="AB57" i="22"/>
  <c r="AB58" i="22"/>
  <c r="AB59" i="22"/>
  <c r="AB60" i="22"/>
  <c r="AB61" i="22"/>
  <c r="AB62" i="22"/>
  <c r="AB63" i="22"/>
  <c r="AB64" i="22"/>
  <c r="AB65" i="22"/>
  <c r="AB66" i="22"/>
  <c r="AB67" i="22"/>
  <c r="AB68" i="22"/>
  <c r="AB69" i="22"/>
  <c r="AB70" i="22"/>
  <c r="AB71" i="22"/>
  <c r="AB72" i="22"/>
  <c r="AB73" i="22"/>
  <c r="AB74" i="22"/>
  <c r="AB75" i="22"/>
  <c r="AB76" i="22"/>
  <c r="AB77" i="22"/>
  <c r="AB78" i="22"/>
  <c r="AB79" i="22"/>
  <c r="AB80" i="22"/>
  <c r="AB81" i="22"/>
  <c r="AB82" i="22"/>
  <c r="AB83" i="22"/>
  <c r="AB84" i="22"/>
  <c r="AB85" i="22"/>
  <c r="AB86" i="22"/>
  <c r="AB87" i="22"/>
  <c r="AB88" i="22"/>
  <c r="AB89" i="22"/>
  <c r="AB90" i="22"/>
  <c r="AB91" i="22"/>
  <c r="AB92" i="22"/>
  <c r="AB93" i="22"/>
  <c r="AB94" i="22"/>
  <c r="AB95" i="22"/>
  <c r="AB96" i="22"/>
  <c r="AB97" i="22"/>
  <c r="AB98" i="22"/>
  <c r="AB99" i="22"/>
  <c r="AB100" i="22"/>
  <c r="AB101" i="22"/>
  <c r="AB102" i="22"/>
  <c r="AB103" i="22"/>
  <c r="AB104" i="22"/>
  <c r="AB105" i="22"/>
  <c r="AB106" i="22"/>
  <c r="AB107" i="22"/>
  <c r="AB108" i="22"/>
  <c r="AB109" i="22"/>
  <c r="AB110" i="22"/>
  <c r="AB111" i="22"/>
  <c r="AB112" i="22"/>
  <c r="AB113" i="22"/>
  <c r="AB114" i="22"/>
  <c r="AB115" i="22"/>
  <c r="AB116" i="22"/>
  <c r="AB117" i="22"/>
  <c r="AB118" i="22"/>
  <c r="AB119" i="22"/>
  <c r="AB120" i="22"/>
  <c r="AB121" i="22"/>
  <c r="AA4" i="22"/>
  <c r="AA5" i="22"/>
  <c r="AA6" i="22"/>
  <c r="AA7" i="22"/>
  <c r="AA8" i="22"/>
  <c r="AA9" i="22"/>
  <c r="AA10" i="22"/>
  <c r="AA11" i="22"/>
  <c r="AA12" i="22"/>
  <c r="AA13" i="22"/>
  <c r="AA14" i="22"/>
  <c r="AA15" i="22"/>
  <c r="AA16" i="22"/>
  <c r="AA17" i="22"/>
  <c r="AA18" i="22"/>
  <c r="AA19" i="22"/>
  <c r="AA20" i="22"/>
  <c r="AA21" i="22"/>
  <c r="AA22" i="22"/>
  <c r="AA23" i="22"/>
  <c r="AA24" i="22"/>
  <c r="AA25" i="22"/>
  <c r="AA26" i="22"/>
  <c r="AA27" i="22"/>
  <c r="AA28" i="22"/>
  <c r="AA29" i="22"/>
  <c r="AA30" i="22"/>
  <c r="AA31" i="22"/>
  <c r="AA32" i="22"/>
  <c r="AA33" i="22"/>
  <c r="AA34" i="22"/>
  <c r="AC4" i="22"/>
  <c r="AC5" i="22"/>
  <c r="AC6" i="22"/>
  <c r="AC7" i="22"/>
  <c r="AC8" i="22"/>
  <c r="AC9" i="22"/>
  <c r="AC10" i="22"/>
  <c r="AC11" i="22"/>
  <c r="AC12" i="22"/>
  <c r="AC13" i="22"/>
  <c r="AC14" i="22"/>
  <c r="AC15" i="22"/>
  <c r="AC16" i="22"/>
  <c r="AC17" i="22"/>
  <c r="AC18" i="22"/>
  <c r="AC19" i="22"/>
  <c r="AC20" i="22"/>
  <c r="AC21" i="22"/>
  <c r="AC22" i="22"/>
  <c r="AC23" i="22"/>
  <c r="AC24" i="22"/>
  <c r="AC25" i="22"/>
  <c r="AC26" i="22"/>
  <c r="AC27" i="22"/>
  <c r="AC28" i="22"/>
  <c r="AC29" i="22"/>
  <c r="AC30" i="22"/>
  <c r="AC31" i="22"/>
  <c r="AC32" i="22"/>
  <c r="AC33" i="22"/>
  <c r="AC34" i="22"/>
  <c r="AC35" i="22"/>
  <c r="AC36" i="22"/>
  <c r="AC37" i="22"/>
  <c r="AC38" i="22"/>
  <c r="AC39" i="22"/>
  <c r="AC40" i="22"/>
  <c r="AC41" i="22"/>
  <c r="AC42" i="22"/>
  <c r="AC43" i="22"/>
  <c r="AC44" i="22"/>
  <c r="AC45" i="22"/>
  <c r="AC46" i="22"/>
  <c r="AC47" i="22"/>
  <c r="AC48" i="22"/>
  <c r="AC49" i="22"/>
  <c r="AC50" i="22"/>
  <c r="AC51" i="22"/>
  <c r="AC52" i="22"/>
  <c r="AC53" i="22"/>
  <c r="AC54" i="22"/>
  <c r="AC55" i="22"/>
  <c r="AC56" i="22"/>
  <c r="AC57" i="22"/>
  <c r="AC58" i="22"/>
  <c r="AC59" i="22"/>
  <c r="AC60" i="22"/>
  <c r="AC61" i="22"/>
  <c r="AC62" i="22"/>
  <c r="AC63" i="22"/>
  <c r="AC64" i="22"/>
  <c r="AC65" i="22"/>
  <c r="AC66" i="22"/>
  <c r="AC67" i="22"/>
  <c r="AC68" i="22"/>
  <c r="AC69" i="22"/>
  <c r="AC70" i="22"/>
  <c r="AC71" i="22"/>
  <c r="AC72" i="22"/>
  <c r="AC73" i="22"/>
  <c r="AC74" i="22"/>
  <c r="AC75" i="22"/>
  <c r="AC76" i="22"/>
  <c r="AC77" i="22"/>
  <c r="AC78" i="22"/>
  <c r="AC79" i="22"/>
  <c r="AC80" i="22"/>
  <c r="AC81" i="22"/>
  <c r="AC82" i="22"/>
  <c r="AC83" i="22"/>
  <c r="AC84" i="22"/>
  <c r="AC85" i="22"/>
  <c r="AC86" i="22"/>
  <c r="AC87" i="22"/>
  <c r="AC88" i="22"/>
  <c r="AC89" i="22"/>
  <c r="AC90" i="22"/>
  <c r="AC91" i="22"/>
  <c r="AC92" i="22"/>
  <c r="AC93" i="22"/>
  <c r="AC94" i="22"/>
  <c r="AC95" i="22"/>
  <c r="AC96" i="22"/>
  <c r="AC97" i="22"/>
  <c r="AC98" i="22"/>
  <c r="AC99" i="22"/>
  <c r="AC100" i="22"/>
  <c r="AC101" i="22"/>
  <c r="AC102" i="22"/>
  <c r="AC103" i="22"/>
  <c r="AC104" i="22"/>
  <c r="AC105" i="22"/>
  <c r="AC106" i="22"/>
  <c r="AC107" i="22"/>
  <c r="AC108" i="22"/>
  <c r="AC109" i="22"/>
  <c r="AC110" i="22"/>
  <c r="AC111" i="22"/>
  <c r="AC112" i="22"/>
  <c r="AC113" i="22"/>
  <c r="AC114" i="22"/>
  <c r="AC115" i="22"/>
  <c r="AC116" i="22"/>
  <c r="AC117" i="22"/>
  <c r="AC118" i="22"/>
  <c r="AC119" i="22"/>
  <c r="AC120" i="22"/>
  <c r="AC121" i="22"/>
  <c r="AB3" i="22"/>
  <c r="AC3" i="22"/>
  <c r="AA3" i="22"/>
  <c r="AE3" i="22" s="1"/>
  <c r="U17" i="2"/>
  <c r="A3" i="18" a="1"/>
  <c r="A3" i="18" s="1"/>
  <c r="B3" i="18" a="1"/>
  <c r="B3" i="18"/>
  <c r="AK62" i="22"/>
  <c r="AK91" i="22"/>
  <c r="AK92" i="22"/>
  <c r="AK93" i="22"/>
  <c r="AK94" i="22"/>
  <c r="AK95" i="22"/>
  <c r="AK96" i="22"/>
  <c r="AK97" i="22"/>
  <c r="AK98" i="22"/>
  <c r="AK99" i="22"/>
  <c r="AK100" i="22"/>
  <c r="AK101" i="22"/>
  <c r="AK102" i="22"/>
  <c r="AK103" i="22"/>
  <c r="AK104" i="22"/>
  <c r="AK105" i="22"/>
  <c r="AK106" i="22"/>
  <c r="AK107" i="22"/>
  <c r="AK108" i="22"/>
  <c r="AK109" i="22"/>
  <c r="AK110" i="22"/>
  <c r="AK111" i="22"/>
  <c r="AK112" i="22"/>
  <c r="AK113" i="22"/>
  <c r="AK114" i="22"/>
  <c r="AK115" i="22"/>
  <c r="AK116" i="22"/>
  <c r="AK117" i="22"/>
  <c r="AK118" i="22"/>
  <c r="AK119" i="22"/>
  <c r="AK120" i="22"/>
  <c r="AK121" i="22"/>
  <c r="AA5" i="3"/>
  <c r="AA6" i="3"/>
  <c r="AA7" i="3"/>
  <c r="AA8" i="3"/>
  <c r="AA9" i="3"/>
  <c r="AA10" i="3"/>
  <c r="AA11" i="3"/>
  <c r="AA16" i="3"/>
  <c r="AA17" i="3"/>
  <c r="AA18" i="3"/>
  <c r="AA19" i="3"/>
  <c r="AA20" i="3"/>
  <c r="AA21" i="3"/>
  <c r="AA22" i="3"/>
  <c r="AA23" i="3"/>
  <c r="AA24" i="3"/>
  <c r="AA25" i="3"/>
  <c r="AA26" i="3"/>
  <c r="AA27" i="3"/>
  <c r="AA28" i="3"/>
  <c r="AA29" i="3"/>
  <c r="AA30" i="3"/>
  <c r="AA31" i="3"/>
  <c r="AA33" i="3"/>
  <c r="AA34" i="3"/>
  <c r="AA35" i="3"/>
  <c r="AA36" i="3"/>
  <c r="AA37" i="3"/>
  <c r="AA38" i="3"/>
  <c r="AA39" i="3"/>
  <c r="AA40" i="3"/>
  <c r="AA41" i="3"/>
  <c r="AA42" i="3"/>
  <c r="AA43" i="3"/>
  <c r="AA44" i="3"/>
  <c r="AA45" i="3"/>
  <c r="AA46" i="3"/>
  <c r="AA47" i="3"/>
  <c r="AA48" i="3"/>
  <c r="AA49" i="3"/>
  <c r="AA50" i="3"/>
  <c r="T5" i="2"/>
  <c r="T6" i="2"/>
  <c r="T8" i="2"/>
  <c r="T10" i="2"/>
  <c r="T11" i="2"/>
  <c r="T16" i="2"/>
  <c r="T17" i="2"/>
  <c r="T18" i="2"/>
  <c r="T19" i="2"/>
  <c r="T20" i="2"/>
  <c r="T21" i="2"/>
  <c r="T22" i="2"/>
  <c r="T23" i="2"/>
  <c r="T24" i="2"/>
  <c r="T25" i="2"/>
  <c r="T26" i="2"/>
  <c r="T27" i="2"/>
  <c r="T28" i="2"/>
  <c r="T29" i="2"/>
  <c r="T30" i="2"/>
  <c r="T31" i="2"/>
  <c r="T32" i="2"/>
  <c r="T33" i="2"/>
  <c r="T34" i="2"/>
  <c r="T35" i="2"/>
  <c r="T36" i="2"/>
  <c r="T37" i="2"/>
  <c r="T38" i="2"/>
  <c r="T39" i="2"/>
  <c r="T40" i="2"/>
  <c r="H91" i="3" l="1"/>
  <c r="AK90" i="22" s="1"/>
  <c r="H90" i="3"/>
  <c r="AK89" i="22" s="1"/>
  <c r="H89" i="3"/>
  <c r="AK88" i="22" s="1"/>
  <c r="H88" i="3"/>
  <c r="AK87" i="22" s="1"/>
  <c r="H87" i="3"/>
  <c r="AK86" i="22" s="1"/>
  <c r="H86" i="3"/>
  <c r="AK85" i="22" s="1"/>
  <c r="H85" i="3"/>
  <c r="AK84" i="22" s="1"/>
  <c r="H84" i="3"/>
  <c r="AK83" i="22" s="1"/>
  <c r="H83" i="3"/>
  <c r="AK82" i="22" s="1"/>
  <c r="H82" i="3"/>
  <c r="AK81" i="22" s="1"/>
  <c r="H81" i="3"/>
  <c r="AK80" i="22" s="1"/>
  <c r="H80" i="3"/>
  <c r="AK79" i="22" s="1"/>
  <c r="H79" i="3"/>
  <c r="AK78" i="22" s="1"/>
  <c r="H78" i="3"/>
  <c r="AK77" i="22" s="1"/>
  <c r="H77" i="3"/>
  <c r="AK76" i="22" s="1"/>
  <c r="H76" i="3"/>
  <c r="AK75" i="22" s="1"/>
  <c r="H75" i="3"/>
  <c r="AK74" i="22" s="1"/>
  <c r="H74" i="3"/>
  <c r="AK73" i="22" s="1"/>
  <c r="H73" i="3"/>
  <c r="AK72" i="22" s="1"/>
  <c r="H72" i="3"/>
  <c r="AK71" i="22" s="1"/>
  <c r="H71" i="3"/>
  <c r="AK70" i="22" s="1"/>
  <c r="H70" i="3"/>
  <c r="AK69" i="22" s="1"/>
  <c r="H69" i="3"/>
  <c r="AK68" i="22" s="1"/>
  <c r="H68" i="3"/>
  <c r="AK67" i="22" s="1"/>
  <c r="H67" i="3"/>
  <c r="AK66" i="22" s="1"/>
  <c r="H66" i="3"/>
  <c r="AK65" i="22" s="1"/>
  <c r="H65" i="3"/>
  <c r="AK64" i="22" s="1"/>
  <c r="H64" i="3"/>
  <c r="AK63" i="22" s="1"/>
  <c r="B98" i="25"/>
  <c r="C98" i="25" s="1"/>
  <c r="C47" i="25"/>
  <c r="E47" i="25"/>
  <c r="C48" i="25"/>
  <c r="E48" i="25"/>
  <c r="C49" i="25"/>
  <c r="E49" i="25"/>
  <c r="C50" i="25"/>
  <c r="E50" i="25"/>
  <c r="C51" i="25"/>
  <c r="E51" i="25"/>
  <c r="C52" i="25"/>
  <c r="E52" i="25"/>
  <c r="C36" i="25"/>
  <c r="D36" i="25"/>
  <c r="C37" i="25"/>
  <c r="D37" i="25"/>
  <c r="C38" i="25"/>
  <c r="D38" i="25"/>
  <c r="C39" i="25"/>
  <c r="D39" i="25"/>
  <c r="C40" i="25"/>
  <c r="D40" i="25"/>
  <c r="C41" i="25"/>
  <c r="D41" i="25"/>
  <c r="C42" i="25"/>
  <c r="D42" i="25"/>
  <c r="C43" i="25"/>
  <c r="D43" i="25"/>
  <c r="C44" i="25"/>
  <c r="D44" i="25"/>
  <c r="C45" i="25"/>
  <c r="D45" i="25"/>
  <c r="C46" i="25"/>
  <c r="D46" i="25"/>
  <c r="F71" i="25" a="1"/>
  <c r="F71" i="25" s="1"/>
  <c r="C71" i="25"/>
  <c r="F72" i="25" a="1"/>
  <c r="F72" i="25" s="1"/>
  <c r="C72" i="25"/>
  <c r="F73" i="25" a="1"/>
  <c r="F73" i="25" s="1"/>
  <c r="C73" i="25"/>
  <c r="F74" i="25" a="1"/>
  <c r="F74" i="25" s="1"/>
  <c r="C74" i="25"/>
  <c r="F49" i="25" a="1"/>
  <c r="F49" i="25" s="1"/>
  <c r="F50" i="25" a="1"/>
  <c r="F50" i="25" s="1"/>
  <c r="F51" i="25" a="1"/>
  <c r="F51" i="25" s="1"/>
  <c r="F52" i="25" a="1"/>
  <c r="F52" i="25" s="1"/>
  <c r="F53" i="25" a="1"/>
  <c r="F53" i="25" s="1"/>
  <c r="F54" i="25" a="1"/>
  <c r="F54" i="25" s="1"/>
  <c r="F55" i="25" a="1"/>
  <c r="F55" i="25" s="1"/>
  <c r="F56" i="25" a="1"/>
  <c r="F56" i="25" s="1"/>
  <c r="F57" i="25" a="1"/>
  <c r="F57" i="25" s="1"/>
  <c r="F58" i="25" a="1"/>
  <c r="F58" i="25" s="1"/>
  <c r="F59" i="25" a="1"/>
  <c r="F59" i="25" s="1"/>
  <c r="F60" i="25" a="1"/>
  <c r="F60" i="25" s="1"/>
  <c r="F61" i="25" a="1"/>
  <c r="F61" i="25" s="1"/>
  <c r="F62" i="25" a="1"/>
  <c r="F62" i="25" s="1"/>
  <c r="F63" i="25" a="1"/>
  <c r="F63" i="25" s="1"/>
  <c r="F64" i="25" a="1"/>
  <c r="F64" i="25" s="1"/>
  <c r="F65" i="25" a="1"/>
  <c r="F65" i="25" s="1"/>
  <c r="F66" i="25" a="1"/>
  <c r="F66" i="25" s="1"/>
  <c r="F36" i="25" a="1"/>
  <c r="F36" i="25" s="1"/>
  <c r="F37" i="25" a="1"/>
  <c r="F37" i="25" s="1"/>
  <c r="F38" i="25" a="1"/>
  <c r="F38" i="25" s="1"/>
  <c r="F39" i="25" a="1"/>
  <c r="F39" i="25" s="1"/>
  <c r="F40" i="25" a="1"/>
  <c r="F40" i="25" s="1"/>
  <c r="F41" i="25" a="1"/>
  <c r="F41" i="25" s="1"/>
  <c r="F42" i="25" a="1"/>
  <c r="F42" i="25" s="1"/>
  <c r="F43" i="25" a="1"/>
  <c r="F43" i="25" s="1"/>
  <c r="F44" i="25" a="1"/>
  <c r="F44" i="25" s="1"/>
  <c r="F45" i="25" a="1"/>
  <c r="F45" i="25" s="1"/>
  <c r="F46" i="25" a="1"/>
  <c r="F46" i="25" s="1"/>
  <c r="F47" i="25" a="1"/>
  <c r="F47" i="25" s="1"/>
  <c r="F48" i="25" a="1"/>
  <c r="F48" i="25" s="1"/>
  <c r="E4" i="18"/>
  <c r="E5" i="18"/>
  <c r="E6" i="18"/>
  <c r="E7" i="18"/>
  <c r="E8" i="18"/>
  <c r="E9" i="18"/>
  <c r="E10" i="18"/>
  <c r="E11" i="18"/>
  <c r="E12" i="18"/>
  <c r="E3" i="18"/>
  <c r="H64" i="2"/>
  <c r="H65" i="2"/>
  <c r="H66" i="2"/>
  <c r="H67" i="2"/>
  <c r="H68" i="2"/>
  <c r="H69" i="2"/>
  <c r="H70" i="2"/>
  <c r="H71" i="2"/>
  <c r="H72" i="2"/>
  <c r="H73" i="2"/>
  <c r="H74" i="2"/>
  <c r="H75" i="2"/>
  <c r="H76" i="2"/>
  <c r="H77" i="2"/>
  <c r="H78" i="2"/>
  <c r="H79" i="2"/>
  <c r="H80" i="2"/>
  <c r="H81" i="2"/>
  <c r="H82" i="2"/>
  <c r="H83" i="2"/>
  <c r="H84" i="2"/>
  <c r="H85" i="2"/>
  <c r="H86" i="2"/>
  <c r="H87" i="2"/>
  <c r="H88" i="2"/>
  <c r="H89" i="2"/>
  <c r="H90" i="2"/>
  <c r="H91" i="2"/>
  <c r="H92" i="2"/>
  <c r="H93" i="2"/>
  <c r="H94" i="2"/>
  <c r="H95" i="2"/>
  <c r="H96" i="2"/>
  <c r="H97" i="2"/>
  <c r="H98" i="2"/>
  <c r="H99" i="2"/>
  <c r="H100" i="2"/>
  <c r="H101" i="2"/>
  <c r="H102" i="2"/>
  <c r="H103" i="2"/>
  <c r="H104" i="2"/>
  <c r="H105" i="2"/>
  <c r="H106" i="2"/>
  <c r="H107" i="2"/>
  <c r="H108" i="2"/>
  <c r="H109" i="2"/>
  <c r="H110" i="2"/>
  <c r="H111" i="2"/>
  <c r="H112" i="2"/>
  <c r="H113" i="2"/>
  <c r="H114" i="2"/>
  <c r="H115" i="2"/>
  <c r="H116" i="2"/>
  <c r="H117" i="2"/>
  <c r="H118" i="2"/>
  <c r="H119" i="2"/>
  <c r="H120" i="2"/>
  <c r="H121" i="2"/>
  <c r="H122" i="2"/>
  <c r="H123" i="2"/>
  <c r="H133" i="2"/>
  <c r="H134" i="2"/>
  <c r="H135" i="2"/>
  <c r="H136" i="2"/>
  <c r="H137" i="2"/>
  <c r="H138" i="2"/>
  <c r="H26" i="2"/>
  <c r="H15" i="2"/>
  <c r="H11" i="2"/>
  <c r="H59" i="2"/>
  <c r="H58" i="2"/>
  <c r="H57" i="2"/>
  <c r="H55" i="2"/>
  <c r="H54" i="2"/>
  <c r="H53" i="2"/>
  <c r="H51" i="2"/>
  <c r="H50" i="2"/>
  <c r="H49" i="2"/>
  <c r="H47" i="2"/>
  <c r="H46" i="2"/>
  <c r="H45" i="2"/>
  <c r="H43" i="2"/>
  <c r="H42" i="2"/>
  <c r="H41" i="2"/>
  <c r="H39" i="2"/>
  <c r="H38" i="2"/>
  <c r="H37" i="2"/>
  <c r="H35" i="2"/>
  <c r="H34" i="2"/>
  <c r="H33" i="2"/>
  <c r="H31" i="2"/>
  <c r="H30" i="2"/>
  <c r="H29" i="2"/>
  <c r="H27" i="2"/>
  <c r="H25" i="2"/>
  <c r="H23" i="2"/>
  <c r="H22" i="2"/>
  <c r="H21" i="2"/>
  <c r="H19" i="2"/>
  <c r="H18" i="2"/>
  <c r="H17" i="2"/>
  <c r="H14" i="2"/>
  <c r="H13" i="2"/>
  <c r="H12" i="2"/>
  <c r="H10" i="2"/>
  <c r="H9" i="2"/>
  <c r="H7" i="2"/>
  <c r="H6" i="2"/>
  <c r="H5" i="2"/>
  <c r="H124" i="2"/>
  <c r="H125" i="2"/>
  <c r="H126" i="2"/>
  <c r="H127" i="2"/>
  <c r="H128" i="2"/>
  <c r="H129" i="2"/>
  <c r="H130" i="2"/>
  <c r="H131" i="2"/>
  <c r="H132" i="2"/>
  <c r="H8" i="2"/>
  <c r="H16" i="2"/>
  <c r="H20" i="2"/>
  <c r="H24" i="2"/>
  <c r="H28" i="2"/>
  <c r="H32" i="2"/>
  <c r="H36" i="2"/>
  <c r="H40" i="2"/>
  <c r="H44" i="2"/>
  <c r="H48" i="2"/>
  <c r="H52" i="2"/>
  <c r="H56" i="2"/>
  <c r="H60" i="2"/>
  <c r="H58" i="3"/>
  <c r="AK57" i="22" s="1"/>
  <c r="H54" i="3"/>
  <c r="AK53" i="22" s="1"/>
  <c r="H23" i="3"/>
  <c r="H19" i="3"/>
  <c r="AK18" i="22" s="1"/>
  <c r="H14" i="3"/>
  <c r="H11" i="3"/>
  <c r="H7" i="3"/>
  <c r="J156" i="3"/>
  <c r="J155" i="3"/>
  <c r="J154" i="3"/>
  <c r="J153" i="3"/>
  <c r="J152" i="3"/>
  <c r="J151" i="3"/>
  <c r="J150" i="3"/>
  <c r="J149" i="3"/>
  <c r="J148" i="3"/>
  <c r="J147" i="3"/>
  <c r="J146" i="3"/>
  <c r="J123" i="3"/>
  <c r="J122" i="3"/>
  <c r="J121" i="3"/>
  <c r="J120" i="3"/>
  <c r="J119" i="3"/>
  <c r="J118" i="3"/>
  <c r="J117" i="3"/>
  <c r="J116" i="3"/>
  <c r="J115" i="3"/>
  <c r="J114" i="3"/>
  <c r="J113" i="3"/>
  <c r="J112" i="3"/>
  <c r="J111" i="3"/>
  <c r="J110" i="3"/>
  <c r="J109" i="3"/>
  <c r="J108" i="3"/>
  <c r="J107" i="3"/>
  <c r="J106" i="3"/>
  <c r="J105" i="3"/>
  <c r="J104" i="3"/>
  <c r="J103" i="3"/>
  <c r="J102" i="3"/>
  <c r="J101" i="3"/>
  <c r="J100" i="3"/>
  <c r="J99" i="3"/>
  <c r="J98" i="3"/>
  <c r="J97" i="3"/>
  <c r="J96" i="3"/>
  <c r="J95" i="3"/>
  <c r="J94" i="3"/>
  <c r="J93" i="3"/>
  <c r="J92" i="3"/>
  <c r="J91" i="3"/>
  <c r="J90" i="3"/>
  <c r="J89" i="3"/>
  <c r="J88" i="3"/>
  <c r="J87" i="3"/>
  <c r="J86" i="3"/>
  <c r="J85" i="3"/>
  <c r="J84" i="3"/>
  <c r="J83" i="3"/>
  <c r="J82" i="3"/>
  <c r="J81" i="3"/>
  <c r="J80" i="3"/>
  <c r="J79" i="3"/>
  <c r="J78" i="3"/>
  <c r="J77" i="3"/>
  <c r="J76" i="3"/>
  <c r="J75" i="3"/>
  <c r="J74" i="3"/>
  <c r="J73" i="3"/>
  <c r="J72" i="3"/>
  <c r="J71" i="3"/>
  <c r="J70" i="3"/>
  <c r="J69" i="3"/>
  <c r="J68" i="3"/>
  <c r="J67" i="3"/>
  <c r="J66" i="3"/>
  <c r="J65" i="3"/>
  <c r="J64" i="3"/>
  <c r="J4" i="2"/>
  <c r="J140" i="2"/>
  <c r="J141" i="2"/>
  <c r="J142" i="2"/>
  <c r="J143" i="2"/>
  <c r="J144" i="2"/>
  <c r="J145" i="2"/>
  <c r="J146" i="2"/>
  <c r="J147" i="2"/>
  <c r="J148" i="2"/>
  <c r="J149" i="2"/>
  <c r="J150" i="2"/>
  <c r="J151" i="2"/>
  <c r="J152" i="2"/>
  <c r="J153" i="2"/>
  <c r="J130" i="2"/>
  <c r="J129" i="2"/>
  <c r="J128" i="2"/>
  <c r="J127" i="2"/>
  <c r="J126" i="2"/>
  <c r="J125" i="2"/>
  <c r="J124" i="2"/>
  <c r="J123" i="2"/>
  <c r="J122" i="2"/>
  <c r="J121" i="2"/>
  <c r="J120" i="2"/>
  <c r="J119" i="2"/>
  <c r="J118" i="2"/>
  <c r="J117" i="2"/>
  <c r="J116" i="2"/>
  <c r="J115" i="2"/>
  <c r="J114" i="2"/>
  <c r="J113" i="2"/>
  <c r="J112" i="2"/>
  <c r="J111" i="2"/>
  <c r="J110" i="2"/>
  <c r="J109" i="2"/>
  <c r="J108" i="2"/>
  <c r="J107" i="2"/>
  <c r="J106" i="2"/>
  <c r="J105" i="2"/>
  <c r="J104" i="2"/>
  <c r="J103" i="2"/>
  <c r="J102" i="2"/>
  <c r="J101" i="2"/>
  <c r="J100" i="2"/>
  <c r="J99" i="2"/>
  <c r="J98" i="2"/>
  <c r="J97" i="2"/>
  <c r="J96" i="2"/>
  <c r="J95" i="2"/>
  <c r="J94" i="2"/>
  <c r="J93" i="2"/>
  <c r="J92" i="2"/>
  <c r="J91" i="2"/>
  <c r="J90" i="2"/>
  <c r="J89" i="2"/>
  <c r="J88" i="2"/>
  <c r="J87" i="2"/>
  <c r="J86" i="2"/>
  <c r="J85" i="2"/>
  <c r="J84" i="2"/>
  <c r="J83" i="2"/>
  <c r="J82" i="2"/>
  <c r="J81" i="2"/>
  <c r="J80" i="2"/>
  <c r="J79" i="2"/>
  <c r="J78" i="2"/>
  <c r="J77" i="2"/>
  <c r="J76" i="2"/>
  <c r="J75" i="2"/>
  <c r="J74" i="2"/>
  <c r="J73" i="2"/>
  <c r="J72" i="2"/>
  <c r="J71" i="2"/>
  <c r="J70" i="2"/>
  <c r="J69" i="2"/>
  <c r="J68" i="2"/>
  <c r="J67" i="2"/>
  <c r="J66" i="2"/>
  <c r="J65" i="2"/>
  <c r="J64" i="2"/>
  <c r="J63" i="2"/>
  <c r="J62" i="2"/>
  <c r="J61" i="2"/>
  <c r="J58" i="2"/>
  <c r="J57" i="2"/>
  <c r="J56" i="2"/>
  <c r="J54" i="2"/>
  <c r="J53" i="2"/>
  <c r="J52" i="2"/>
  <c r="J51" i="2"/>
  <c r="J49" i="2"/>
  <c r="J48" i="2"/>
  <c r="J47" i="2"/>
  <c r="J45" i="2"/>
  <c r="J44" i="2"/>
  <c r="J43" i="2"/>
  <c r="J42" i="2"/>
  <c r="J41" i="2"/>
  <c r="J39" i="2"/>
  <c r="J38" i="2"/>
  <c r="J37" i="2"/>
  <c r="J35" i="2"/>
  <c r="J34" i="2"/>
  <c r="J32" i="2"/>
  <c r="J31" i="2"/>
  <c r="J30" i="2"/>
  <c r="J29" i="2"/>
  <c r="J26" i="2"/>
  <c r="J25" i="2"/>
  <c r="J24" i="2"/>
  <c r="J23" i="2"/>
  <c r="J22" i="2"/>
  <c r="J21" i="2"/>
  <c r="J19" i="2"/>
  <c r="J17" i="2"/>
  <c r="J16" i="2"/>
  <c r="J15" i="2"/>
  <c r="J14" i="2"/>
  <c r="J13" i="2"/>
  <c r="J11" i="2"/>
  <c r="J10" i="2"/>
  <c r="J8" i="2"/>
  <c r="J6" i="2"/>
  <c r="J5" i="2"/>
  <c r="J139" i="2"/>
  <c r="J138" i="2"/>
  <c r="J137" i="2"/>
  <c r="J136" i="2"/>
  <c r="J135" i="2"/>
  <c r="J134" i="2"/>
  <c r="J133" i="2"/>
  <c r="J132" i="2"/>
  <c r="J131" i="2"/>
  <c r="J7" i="2"/>
  <c r="J9" i="2"/>
  <c r="J12" i="2"/>
  <c r="J18" i="2"/>
  <c r="J20" i="2"/>
  <c r="J27" i="2"/>
  <c r="J28" i="2"/>
  <c r="J33" i="2"/>
  <c r="J36" i="2"/>
  <c r="J40" i="2"/>
  <c r="J46" i="2"/>
  <c r="J50" i="2"/>
  <c r="J55" i="2"/>
  <c r="J59" i="2"/>
  <c r="J60" i="2"/>
  <c r="J63" i="3"/>
  <c r="J145" i="3"/>
  <c r="J144" i="3"/>
  <c r="J143" i="3"/>
  <c r="J142" i="3"/>
  <c r="J141" i="3"/>
  <c r="J140" i="3"/>
  <c r="J139" i="3"/>
  <c r="J138" i="3"/>
  <c r="J137" i="3"/>
  <c r="J136" i="3"/>
  <c r="J135" i="3"/>
  <c r="J134" i="3"/>
  <c r="J133" i="3"/>
  <c r="J132" i="3"/>
  <c r="J131" i="3"/>
  <c r="J130" i="3"/>
  <c r="J129" i="3"/>
  <c r="J128" i="3"/>
  <c r="J127" i="3"/>
  <c r="J126" i="3"/>
  <c r="J125" i="3"/>
  <c r="J124" i="3"/>
  <c r="J62" i="3"/>
  <c r="H62" i="3"/>
  <c r="AK61" i="22" s="1"/>
  <c r="J61" i="3"/>
  <c r="H61" i="3"/>
  <c r="AK60" i="22" s="1"/>
  <c r="J59" i="3"/>
  <c r="H59" i="3"/>
  <c r="AK58" i="22" s="1"/>
  <c r="J58" i="3"/>
  <c r="H55" i="3"/>
  <c r="AK54" i="22" s="1"/>
  <c r="H51" i="3"/>
  <c r="AK50" i="22" s="1"/>
  <c r="H50" i="3"/>
  <c r="H47" i="3"/>
  <c r="AK46" i="22" s="1"/>
  <c r="H46" i="3"/>
  <c r="H43" i="3"/>
  <c r="H42" i="3"/>
  <c r="H39" i="3"/>
  <c r="H38" i="3"/>
  <c r="H35" i="3"/>
  <c r="H34" i="3"/>
  <c r="H31" i="3"/>
  <c r="H30" i="3"/>
  <c r="H27" i="3"/>
  <c r="H26" i="3"/>
  <c r="H24" i="3"/>
  <c r="H22" i="3"/>
  <c r="H21" i="3"/>
  <c r="H18" i="3"/>
  <c r="H17" i="3"/>
  <c r="H15" i="3"/>
  <c r="H10" i="3"/>
  <c r="H6" i="3"/>
  <c r="H5" i="36"/>
  <c r="I5" i="36"/>
  <c r="J5" i="36"/>
  <c r="K5" i="36"/>
  <c r="J55" i="3"/>
  <c r="J54" i="3"/>
  <c r="J51" i="3"/>
  <c r="J50" i="3"/>
  <c r="J47" i="3"/>
  <c r="J46" i="3"/>
  <c r="J43" i="3"/>
  <c r="J42" i="3"/>
  <c r="J39" i="3"/>
  <c r="J38" i="3"/>
  <c r="J35" i="3"/>
  <c r="J34" i="3"/>
  <c r="J31" i="3"/>
  <c r="J30" i="3"/>
  <c r="J27" i="3"/>
  <c r="J26" i="3"/>
  <c r="J23" i="3"/>
  <c r="J22" i="3"/>
  <c r="J19" i="3"/>
  <c r="J18" i="3"/>
  <c r="J15" i="3"/>
  <c r="J14" i="3"/>
  <c r="J11" i="3"/>
  <c r="J10" i="3"/>
  <c r="J7" i="3"/>
  <c r="J6" i="3"/>
  <c r="J60" i="3"/>
  <c r="J56" i="3"/>
  <c r="J52" i="3"/>
  <c r="J48" i="3"/>
  <c r="J44" i="3"/>
  <c r="J40" i="3"/>
  <c r="J36" i="3"/>
  <c r="J32" i="3"/>
  <c r="J28" i="3"/>
  <c r="J24" i="3"/>
  <c r="J20" i="3"/>
  <c r="J16" i="3"/>
  <c r="J12" i="3"/>
  <c r="J8" i="3"/>
  <c r="J4" i="3"/>
  <c r="H8" i="3"/>
  <c r="H12" i="3"/>
  <c r="H16" i="3"/>
  <c r="H20" i="3"/>
  <c r="H28" i="3"/>
  <c r="H32" i="3"/>
  <c r="H36" i="3"/>
  <c r="H40" i="3"/>
  <c r="H44" i="3"/>
  <c r="H48" i="3"/>
  <c r="H52" i="3"/>
  <c r="H56" i="3"/>
  <c r="H60" i="3"/>
  <c r="AK59" i="22" s="1"/>
  <c r="H4" i="3"/>
  <c r="D2" i="35" s="1"/>
  <c r="J57" i="3"/>
  <c r="J53" i="3"/>
  <c r="J49" i="3"/>
  <c r="J45" i="3"/>
  <c r="J41" i="3"/>
  <c r="J37" i="3"/>
  <c r="J33" i="3"/>
  <c r="J29" i="3"/>
  <c r="J25" i="3"/>
  <c r="J21" i="3"/>
  <c r="J17" i="3"/>
  <c r="J13" i="3"/>
  <c r="J9" i="3"/>
  <c r="J5" i="3"/>
  <c r="H5" i="3"/>
  <c r="H9" i="3"/>
  <c r="H13" i="3"/>
  <c r="H25" i="3"/>
  <c r="H29" i="3"/>
  <c r="H33" i="3"/>
  <c r="H37" i="3"/>
  <c r="G5" i="36" s="1"/>
  <c r="H41" i="3"/>
  <c r="H45" i="3"/>
  <c r="H49" i="3"/>
  <c r="H53" i="3"/>
  <c r="H57" i="3"/>
  <c r="AK56" i="22" s="1"/>
  <c r="Q17" i="17"/>
  <c r="Q18" i="17"/>
  <c r="Q19" i="17"/>
  <c r="Q20" i="17"/>
  <c r="Q21" i="17"/>
  <c r="Q22" i="17"/>
  <c r="Q23" i="17"/>
  <c r="Q24" i="17"/>
  <c r="Q25" i="17"/>
  <c r="Q26" i="17"/>
  <c r="Q27" i="17"/>
  <c r="Q28" i="17"/>
  <c r="Q29" i="17"/>
  <c r="Q30" i="17"/>
  <c r="Q31" i="17"/>
  <c r="Q32" i="17"/>
  <c r="Q3" i="17"/>
  <c r="L17" i="17"/>
  <c r="L18" i="17"/>
  <c r="L19" i="17"/>
  <c r="L20" i="17"/>
  <c r="L21" i="17"/>
  <c r="L22" i="17"/>
  <c r="L23" i="17"/>
  <c r="L24" i="17"/>
  <c r="L25" i="17"/>
  <c r="L26" i="17"/>
  <c r="L27" i="17"/>
  <c r="L28" i="17"/>
  <c r="L29" i="17"/>
  <c r="L30" i="17"/>
  <c r="L31" i="17"/>
  <c r="L32" i="17"/>
  <c r="G17" i="17"/>
  <c r="G18" i="17"/>
  <c r="G19" i="17"/>
  <c r="G20" i="17"/>
  <c r="G21" i="17"/>
  <c r="G22" i="17"/>
  <c r="G23" i="17"/>
  <c r="G24" i="17"/>
  <c r="G25" i="17"/>
  <c r="G26" i="17"/>
  <c r="G27" i="17"/>
  <c r="G28" i="17"/>
  <c r="G29" i="17"/>
  <c r="G30" i="17"/>
  <c r="G31" i="17"/>
  <c r="G32" i="17"/>
  <c r="B17" i="17"/>
  <c r="B18" i="17"/>
  <c r="B19" i="17"/>
  <c r="B20" i="17"/>
  <c r="D20" i="17" s="1"/>
  <c r="B21" i="17"/>
  <c r="D21" i="17" s="1"/>
  <c r="B22" i="17"/>
  <c r="B23" i="17"/>
  <c r="D23" i="17" s="1"/>
  <c r="B24" i="17"/>
  <c r="D24" i="17" s="1"/>
  <c r="B25" i="17"/>
  <c r="B26" i="17"/>
  <c r="D26" i="17" s="1"/>
  <c r="B27" i="17"/>
  <c r="D27" i="17" s="1"/>
  <c r="B28" i="17"/>
  <c r="B29" i="17"/>
  <c r="D29" i="17" s="1"/>
  <c r="B30" i="17"/>
  <c r="B31" i="17"/>
  <c r="B32" i="17"/>
  <c r="D32" i="17" s="1"/>
  <c r="C32" i="36"/>
  <c r="E124" i="36"/>
  <c r="A124" i="36"/>
  <c r="F124" i="36"/>
  <c r="G124" i="36"/>
  <c r="H124" i="36"/>
  <c r="I124" i="36"/>
  <c r="J124" i="36"/>
  <c r="K124" i="36"/>
  <c r="E123" i="36"/>
  <c r="A123" i="36"/>
  <c r="F123" i="36"/>
  <c r="G123" i="36"/>
  <c r="H123" i="36"/>
  <c r="I123" i="36"/>
  <c r="J123" i="36"/>
  <c r="K123" i="36"/>
  <c r="C123" i="36"/>
  <c r="E122" i="36"/>
  <c r="A122" i="36"/>
  <c r="F122" i="36"/>
  <c r="G122" i="36"/>
  <c r="H122" i="36"/>
  <c r="I122" i="36"/>
  <c r="J122" i="36"/>
  <c r="K122" i="36"/>
  <c r="C122" i="36"/>
  <c r="E121" i="36"/>
  <c r="A121" i="36"/>
  <c r="F121" i="36"/>
  <c r="G121" i="36"/>
  <c r="H121" i="36"/>
  <c r="I121" i="36"/>
  <c r="J121" i="36"/>
  <c r="K121" i="36"/>
  <c r="C121" i="36"/>
  <c r="E120" i="36"/>
  <c r="A120" i="36"/>
  <c r="F120" i="36"/>
  <c r="G120" i="36"/>
  <c r="H120" i="36"/>
  <c r="I120" i="36"/>
  <c r="J120" i="36"/>
  <c r="K120" i="36"/>
  <c r="C120" i="36"/>
  <c r="E119" i="36"/>
  <c r="A119" i="36"/>
  <c r="F119" i="36"/>
  <c r="G119" i="36"/>
  <c r="H119" i="36"/>
  <c r="I119" i="36"/>
  <c r="J119" i="36"/>
  <c r="K119" i="36"/>
  <c r="C119" i="36"/>
  <c r="E118" i="36"/>
  <c r="A118" i="36"/>
  <c r="F118" i="36"/>
  <c r="G118" i="36"/>
  <c r="H118" i="36"/>
  <c r="I118" i="36"/>
  <c r="J118" i="36"/>
  <c r="K118" i="36"/>
  <c r="C118" i="36"/>
  <c r="E117" i="36"/>
  <c r="A117" i="36"/>
  <c r="F117" i="36"/>
  <c r="G117" i="36"/>
  <c r="H117" i="36"/>
  <c r="I117" i="36"/>
  <c r="J117" i="36"/>
  <c r="K117" i="36"/>
  <c r="C117" i="36"/>
  <c r="E116" i="36"/>
  <c r="A116" i="36"/>
  <c r="F116" i="36"/>
  <c r="G116" i="36"/>
  <c r="H116" i="36"/>
  <c r="I116" i="36"/>
  <c r="J116" i="36"/>
  <c r="K116" i="36"/>
  <c r="C116" i="36"/>
  <c r="E115" i="36"/>
  <c r="A115" i="36"/>
  <c r="F115" i="36"/>
  <c r="G115" i="36"/>
  <c r="H115" i="36"/>
  <c r="I115" i="36"/>
  <c r="J115" i="36"/>
  <c r="K115" i="36"/>
  <c r="C115" i="36"/>
  <c r="E114" i="36"/>
  <c r="A114" i="36"/>
  <c r="F114" i="36"/>
  <c r="G114" i="36"/>
  <c r="H114" i="36"/>
  <c r="I114" i="36"/>
  <c r="J114" i="36"/>
  <c r="K114" i="36"/>
  <c r="C114" i="36"/>
  <c r="E113" i="36"/>
  <c r="A113" i="36"/>
  <c r="F113" i="36"/>
  <c r="G113" i="36"/>
  <c r="H113" i="36"/>
  <c r="I113" i="36"/>
  <c r="J113" i="36"/>
  <c r="K113" i="36"/>
  <c r="C113" i="36"/>
  <c r="E112" i="36"/>
  <c r="A112" i="36"/>
  <c r="F112" i="36"/>
  <c r="G112" i="36"/>
  <c r="H112" i="36"/>
  <c r="I112" i="36"/>
  <c r="J112" i="36"/>
  <c r="K112" i="36"/>
  <c r="C112" i="36"/>
  <c r="E111" i="36"/>
  <c r="A111" i="36"/>
  <c r="F111" i="36"/>
  <c r="G111" i="36"/>
  <c r="H111" i="36"/>
  <c r="I111" i="36"/>
  <c r="J111" i="36"/>
  <c r="K111" i="36"/>
  <c r="C111" i="36"/>
  <c r="E110" i="36"/>
  <c r="A110" i="36"/>
  <c r="F110" i="36"/>
  <c r="G110" i="36"/>
  <c r="H110" i="36"/>
  <c r="I110" i="36"/>
  <c r="J110" i="36"/>
  <c r="K110" i="36"/>
  <c r="C110" i="36"/>
  <c r="E109" i="36"/>
  <c r="A109" i="36"/>
  <c r="F109" i="36"/>
  <c r="G109" i="36"/>
  <c r="H109" i="36"/>
  <c r="I109" i="36"/>
  <c r="J109" i="36"/>
  <c r="K109" i="36"/>
  <c r="C109" i="36"/>
  <c r="E108" i="36"/>
  <c r="A108" i="36"/>
  <c r="F108" i="36"/>
  <c r="G108" i="36"/>
  <c r="H108" i="36"/>
  <c r="I108" i="36"/>
  <c r="J108" i="36"/>
  <c r="K108" i="36"/>
  <c r="C108" i="36"/>
  <c r="E107" i="36"/>
  <c r="A107" i="36"/>
  <c r="F107" i="36"/>
  <c r="G107" i="36"/>
  <c r="H107" i="36"/>
  <c r="I107" i="36"/>
  <c r="J107" i="36"/>
  <c r="K107" i="36"/>
  <c r="C107" i="36"/>
  <c r="E106" i="36"/>
  <c r="A106" i="36"/>
  <c r="F106" i="36"/>
  <c r="G106" i="36"/>
  <c r="D106" i="36" s="1"/>
  <c r="H106" i="36"/>
  <c r="I106" i="36"/>
  <c r="J106" i="36"/>
  <c r="K106" i="36"/>
  <c r="C106" i="36"/>
  <c r="E105" i="36"/>
  <c r="A105" i="36"/>
  <c r="F105" i="36"/>
  <c r="G105" i="36"/>
  <c r="H105" i="36"/>
  <c r="I105" i="36"/>
  <c r="J105" i="36"/>
  <c r="K105" i="36"/>
  <c r="C105" i="36"/>
  <c r="E104" i="36"/>
  <c r="A104" i="36"/>
  <c r="F104" i="36"/>
  <c r="G104" i="36"/>
  <c r="H104" i="36"/>
  <c r="I104" i="36"/>
  <c r="J104" i="36"/>
  <c r="K104" i="36"/>
  <c r="C104" i="36"/>
  <c r="E103" i="36"/>
  <c r="A103" i="36"/>
  <c r="F103" i="36"/>
  <c r="G103" i="36"/>
  <c r="H103" i="36"/>
  <c r="I103" i="36"/>
  <c r="J103" i="36"/>
  <c r="K103" i="36"/>
  <c r="C103" i="36"/>
  <c r="E102" i="36"/>
  <c r="A102" i="36"/>
  <c r="F102" i="36"/>
  <c r="G102" i="36"/>
  <c r="H102" i="36"/>
  <c r="I102" i="36"/>
  <c r="J102" i="36"/>
  <c r="K102" i="36"/>
  <c r="C102" i="36"/>
  <c r="E101" i="36"/>
  <c r="A101" i="36"/>
  <c r="F101" i="36"/>
  <c r="G101" i="36"/>
  <c r="H101" i="36"/>
  <c r="I101" i="36"/>
  <c r="J101" i="36"/>
  <c r="K101" i="36"/>
  <c r="C101" i="36"/>
  <c r="E100" i="36"/>
  <c r="A100" i="36"/>
  <c r="F100" i="36"/>
  <c r="G100" i="36"/>
  <c r="H100" i="36"/>
  <c r="I100" i="36"/>
  <c r="J100" i="36"/>
  <c r="K100" i="36"/>
  <c r="C100" i="36"/>
  <c r="E99" i="36"/>
  <c r="A99" i="36"/>
  <c r="F99" i="36"/>
  <c r="G99" i="36"/>
  <c r="H99" i="36"/>
  <c r="I99" i="36"/>
  <c r="J99" i="36"/>
  <c r="K99" i="36"/>
  <c r="C99" i="36"/>
  <c r="E98" i="36"/>
  <c r="A98" i="36"/>
  <c r="F98" i="36"/>
  <c r="G98" i="36"/>
  <c r="H98" i="36"/>
  <c r="I98" i="36"/>
  <c r="J98" i="36"/>
  <c r="K98" i="36"/>
  <c r="C98" i="36"/>
  <c r="E97" i="36"/>
  <c r="A97" i="36"/>
  <c r="F97" i="36"/>
  <c r="G97" i="36"/>
  <c r="H97" i="36"/>
  <c r="I97" i="36"/>
  <c r="J97" i="36"/>
  <c r="K97" i="36"/>
  <c r="C97" i="36"/>
  <c r="E96" i="36"/>
  <c r="A96" i="36"/>
  <c r="F96" i="36"/>
  <c r="G96" i="36"/>
  <c r="H96" i="36"/>
  <c r="I96" i="36"/>
  <c r="J96" i="36"/>
  <c r="K96" i="36"/>
  <c r="C96" i="36"/>
  <c r="E95" i="36"/>
  <c r="A95" i="36"/>
  <c r="F95" i="36"/>
  <c r="G95" i="36"/>
  <c r="H95" i="36"/>
  <c r="I95" i="36"/>
  <c r="J95" i="36"/>
  <c r="K95" i="36"/>
  <c r="C95" i="36"/>
  <c r="E94" i="36"/>
  <c r="A94" i="36"/>
  <c r="F94" i="36"/>
  <c r="G94" i="36"/>
  <c r="H94" i="36"/>
  <c r="I94" i="36"/>
  <c r="J94" i="36"/>
  <c r="K94" i="36"/>
  <c r="C94" i="36"/>
  <c r="E93" i="36"/>
  <c r="A93" i="36"/>
  <c r="F93" i="36"/>
  <c r="G93" i="36"/>
  <c r="H93" i="36"/>
  <c r="I93" i="36"/>
  <c r="J93" i="36"/>
  <c r="K93" i="36"/>
  <c r="C93" i="36"/>
  <c r="E92" i="36"/>
  <c r="A92" i="36"/>
  <c r="F92" i="36"/>
  <c r="G92" i="36"/>
  <c r="H92" i="36"/>
  <c r="I92" i="36"/>
  <c r="J92" i="36"/>
  <c r="K92" i="36"/>
  <c r="C92" i="36"/>
  <c r="E91" i="36"/>
  <c r="A91" i="36"/>
  <c r="F91" i="36"/>
  <c r="G91" i="36"/>
  <c r="H91" i="36"/>
  <c r="I91" i="36"/>
  <c r="J91" i="36"/>
  <c r="K91" i="36"/>
  <c r="C91" i="36"/>
  <c r="E90" i="36"/>
  <c r="A90" i="36"/>
  <c r="F90" i="36"/>
  <c r="G90" i="36"/>
  <c r="H90" i="36"/>
  <c r="I90" i="36"/>
  <c r="J90" i="36"/>
  <c r="K90" i="36"/>
  <c r="C90" i="36"/>
  <c r="E89" i="36"/>
  <c r="A89" i="36"/>
  <c r="F89" i="36"/>
  <c r="G89" i="36"/>
  <c r="H89" i="36"/>
  <c r="I89" i="36"/>
  <c r="J89" i="36"/>
  <c r="K89" i="36"/>
  <c r="C89" i="36"/>
  <c r="E88" i="36"/>
  <c r="A88" i="36"/>
  <c r="F88" i="36"/>
  <c r="G88" i="36"/>
  <c r="H88" i="36"/>
  <c r="I88" i="36"/>
  <c r="J88" i="36"/>
  <c r="K88" i="36"/>
  <c r="C88" i="36"/>
  <c r="E87" i="36"/>
  <c r="A87" i="36"/>
  <c r="F87" i="36"/>
  <c r="G87" i="36"/>
  <c r="H87" i="36"/>
  <c r="I87" i="36"/>
  <c r="J87" i="36"/>
  <c r="K87" i="36"/>
  <c r="C87" i="36"/>
  <c r="E86" i="36"/>
  <c r="A86" i="36"/>
  <c r="F86" i="36"/>
  <c r="G86" i="36"/>
  <c r="H86" i="36"/>
  <c r="I86" i="36"/>
  <c r="J86" i="36"/>
  <c r="K86" i="36"/>
  <c r="C86" i="36"/>
  <c r="E85" i="36"/>
  <c r="A85" i="36"/>
  <c r="F85" i="36"/>
  <c r="G85" i="36"/>
  <c r="H85" i="36"/>
  <c r="I85" i="36"/>
  <c r="J85" i="36"/>
  <c r="K85" i="36"/>
  <c r="C85" i="36"/>
  <c r="E84" i="36"/>
  <c r="A84" i="36"/>
  <c r="F84" i="36"/>
  <c r="G84" i="36"/>
  <c r="H84" i="36"/>
  <c r="I84" i="36"/>
  <c r="J84" i="36"/>
  <c r="K84" i="36"/>
  <c r="C84" i="36"/>
  <c r="E83" i="36"/>
  <c r="A83" i="36"/>
  <c r="F83" i="36"/>
  <c r="G83" i="36"/>
  <c r="H83" i="36"/>
  <c r="I83" i="36"/>
  <c r="J83" i="36"/>
  <c r="K83" i="36"/>
  <c r="C83" i="36"/>
  <c r="E82" i="36"/>
  <c r="A82" i="36"/>
  <c r="F82" i="36"/>
  <c r="G82" i="36"/>
  <c r="H82" i="36"/>
  <c r="I82" i="36"/>
  <c r="J82" i="36"/>
  <c r="K82" i="36"/>
  <c r="C82" i="36"/>
  <c r="E81" i="36"/>
  <c r="A81" i="36"/>
  <c r="F81" i="36"/>
  <c r="G81" i="36"/>
  <c r="H81" i="36"/>
  <c r="I81" i="36"/>
  <c r="J81" i="36"/>
  <c r="K81" i="36"/>
  <c r="C81" i="36"/>
  <c r="E80" i="36"/>
  <c r="A80" i="36"/>
  <c r="F80" i="36"/>
  <c r="G80" i="36"/>
  <c r="H80" i="36"/>
  <c r="I80" i="36"/>
  <c r="J80" i="36"/>
  <c r="K80" i="36"/>
  <c r="C80" i="36"/>
  <c r="E79" i="36"/>
  <c r="A79" i="36"/>
  <c r="F79" i="36"/>
  <c r="G79" i="36"/>
  <c r="D79" i="36" s="1"/>
  <c r="H79" i="36"/>
  <c r="I79" i="36"/>
  <c r="J79" i="36"/>
  <c r="K79" i="36"/>
  <c r="C79" i="36"/>
  <c r="E78" i="36"/>
  <c r="A78" i="36"/>
  <c r="F78" i="36"/>
  <c r="G78" i="36"/>
  <c r="H78" i="36"/>
  <c r="I78" i="36"/>
  <c r="J78" i="36"/>
  <c r="K78" i="36"/>
  <c r="C78" i="36"/>
  <c r="E77" i="36"/>
  <c r="A77" i="36"/>
  <c r="F77" i="36"/>
  <c r="G77" i="36"/>
  <c r="H77" i="36"/>
  <c r="I77" i="36"/>
  <c r="J77" i="36"/>
  <c r="K77" i="36"/>
  <c r="C77" i="36"/>
  <c r="E76" i="36"/>
  <c r="A76" i="36"/>
  <c r="F76" i="36"/>
  <c r="G76" i="36"/>
  <c r="H76" i="36"/>
  <c r="I76" i="36"/>
  <c r="J76" i="36"/>
  <c r="K76" i="36"/>
  <c r="C76" i="36"/>
  <c r="E75" i="36"/>
  <c r="A75" i="36"/>
  <c r="F75" i="36"/>
  <c r="G75" i="36"/>
  <c r="H75" i="36"/>
  <c r="I75" i="36"/>
  <c r="J75" i="36"/>
  <c r="K75" i="36"/>
  <c r="C75" i="36"/>
  <c r="E74" i="36"/>
  <c r="A74" i="36"/>
  <c r="F74" i="36"/>
  <c r="G74" i="36"/>
  <c r="H74" i="36"/>
  <c r="I74" i="36"/>
  <c r="J74" i="36"/>
  <c r="K74" i="36"/>
  <c r="C74" i="36"/>
  <c r="E73" i="36"/>
  <c r="A73" i="36"/>
  <c r="F73" i="36"/>
  <c r="G73" i="36"/>
  <c r="H73" i="36"/>
  <c r="I73" i="36"/>
  <c r="J73" i="36"/>
  <c r="K73" i="36"/>
  <c r="C73" i="36"/>
  <c r="E72" i="36"/>
  <c r="A72" i="36"/>
  <c r="F72" i="36"/>
  <c r="G72" i="36"/>
  <c r="H72" i="36"/>
  <c r="I72" i="36"/>
  <c r="J72" i="36"/>
  <c r="K72" i="36"/>
  <c r="C72" i="36"/>
  <c r="F70" i="25" s="1" a="1"/>
  <c r="F70" i="25" s="1"/>
  <c r="E71" i="36"/>
  <c r="A71" i="36"/>
  <c r="F71" i="36"/>
  <c r="G71" i="36"/>
  <c r="H71" i="36"/>
  <c r="I71" i="36"/>
  <c r="J71" i="36"/>
  <c r="K71" i="36"/>
  <c r="C71" i="36"/>
  <c r="F69" i="25" s="1" a="1"/>
  <c r="F69" i="25" s="1"/>
  <c r="E70" i="36"/>
  <c r="A70" i="36"/>
  <c r="F70" i="36"/>
  <c r="G70" i="36"/>
  <c r="H70" i="36"/>
  <c r="I70" i="36"/>
  <c r="J70" i="36"/>
  <c r="K70" i="36"/>
  <c r="C70" i="36"/>
  <c r="F68" i="25" s="1" a="1"/>
  <c r="F68" i="25" s="1"/>
  <c r="E69" i="36"/>
  <c r="A69" i="36"/>
  <c r="F69" i="36"/>
  <c r="G69" i="36"/>
  <c r="H69" i="36"/>
  <c r="I69" i="36"/>
  <c r="J69" i="36"/>
  <c r="K69" i="36"/>
  <c r="C69" i="36"/>
  <c r="F67" i="25" s="1" a="1"/>
  <c r="F67" i="25" s="1"/>
  <c r="E68" i="36"/>
  <c r="L68" i="36"/>
  <c r="A68" i="36"/>
  <c r="F68" i="36"/>
  <c r="G68" i="36"/>
  <c r="H68" i="36"/>
  <c r="I68" i="36"/>
  <c r="J68" i="36"/>
  <c r="K68" i="36"/>
  <c r="C68" i="36"/>
  <c r="E67" i="36"/>
  <c r="L67" i="36"/>
  <c r="A67" i="36"/>
  <c r="F67" i="36"/>
  <c r="G67" i="36"/>
  <c r="H67" i="36"/>
  <c r="I67" i="36"/>
  <c r="J67" i="36"/>
  <c r="K67" i="36"/>
  <c r="C67" i="36"/>
  <c r="E66" i="36"/>
  <c r="L66" i="36"/>
  <c r="A66" i="36"/>
  <c r="F66" i="36"/>
  <c r="G66" i="36"/>
  <c r="H66" i="36"/>
  <c r="I66" i="36"/>
  <c r="J66" i="36"/>
  <c r="K66" i="36"/>
  <c r="C66" i="36"/>
  <c r="E65" i="36"/>
  <c r="L65" i="36"/>
  <c r="A65" i="36"/>
  <c r="F65" i="36"/>
  <c r="G65" i="36"/>
  <c r="H65" i="36"/>
  <c r="I65" i="36"/>
  <c r="J65" i="36"/>
  <c r="K65" i="36"/>
  <c r="C65" i="36"/>
  <c r="F64" i="36"/>
  <c r="G64" i="36"/>
  <c r="H64" i="36"/>
  <c r="I64" i="36"/>
  <c r="J64" i="36"/>
  <c r="K64" i="36"/>
  <c r="C26" i="36"/>
  <c r="F63" i="36"/>
  <c r="G63" i="36"/>
  <c r="H63" i="36"/>
  <c r="I63" i="36"/>
  <c r="J63" i="36"/>
  <c r="K63" i="36"/>
  <c r="C10" i="36"/>
  <c r="F62" i="36"/>
  <c r="G62" i="36"/>
  <c r="H62" i="36"/>
  <c r="I62" i="36"/>
  <c r="J62" i="36"/>
  <c r="K62" i="36"/>
  <c r="C27" i="36"/>
  <c r="F61" i="36"/>
  <c r="G61" i="36"/>
  <c r="H61" i="36"/>
  <c r="I61" i="36"/>
  <c r="J61" i="36"/>
  <c r="K61" i="36"/>
  <c r="C24" i="36"/>
  <c r="F20" i="36"/>
  <c r="G20" i="36"/>
  <c r="H20" i="36"/>
  <c r="I20" i="36"/>
  <c r="J20" i="36"/>
  <c r="K20" i="36"/>
  <c r="C54" i="36"/>
  <c r="F21" i="36"/>
  <c r="G21" i="36"/>
  <c r="H21" i="36"/>
  <c r="I21" i="36"/>
  <c r="J21" i="36"/>
  <c r="K21" i="36"/>
  <c r="C47" i="36"/>
  <c r="F24" i="36"/>
  <c r="G24" i="36"/>
  <c r="H24" i="36"/>
  <c r="I24" i="36"/>
  <c r="J24" i="36"/>
  <c r="K24" i="36"/>
  <c r="C55" i="36"/>
  <c r="F12" i="36"/>
  <c r="G12" i="36"/>
  <c r="H12" i="36"/>
  <c r="I12" i="36"/>
  <c r="J12" i="36"/>
  <c r="K12" i="36"/>
  <c r="C59" i="36"/>
  <c r="F51" i="36"/>
  <c r="G51" i="36"/>
  <c r="H51" i="36"/>
  <c r="I51" i="36"/>
  <c r="J51" i="36"/>
  <c r="K51" i="36"/>
  <c r="C64" i="36"/>
  <c r="F33" i="36"/>
  <c r="G33" i="36"/>
  <c r="H33" i="36"/>
  <c r="I33" i="36"/>
  <c r="J33" i="36"/>
  <c r="K33" i="36"/>
  <c r="C42" i="36"/>
  <c r="F38" i="36"/>
  <c r="G38" i="36"/>
  <c r="H38" i="36"/>
  <c r="I38" i="36"/>
  <c r="J38" i="36"/>
  <c r="K38" i="36"/>
  <c r="C8" i="36"/>
  <c r="F30" i="36"/>
  <c r="G30" i="36"/>
  <c r="H30" i="36"/>
  <c r="I30" i="36"/>
  <c r="J30" i="36"/>
  <c r="K30" i="36"/>
  <c r="C18" i="36"/>
  <c r="F35" i="36"/>
  <c r="G35" i="36"/>
  <c r="H35" i="36"/>
  <c r="I35" i="36"/>
  <c r="J35" i="36"/>
  <c r="K35" i="36"/>
  <c r="C41" i="36"/>
  <c r="F25" i="36"/>
  <c r="G25" i="36"/>
  <c r="H25" i="36"/>
  <c r="I25" i="36"/>
  <c r="J25" i="36"/>
  <c r="K25" i="36"/>
  <c r="C23" i="36"/>
  <c r="F19" i="36"/>
  <c r="G19" i="36"/>
  <c r="H19" i="36"/>
  <c r="I19" i="36"/>
  <c r="J19" i="36"/>
  <c r="K19" i="36"/>
  <c r="C40" i="36"/>
  <c r="F9" i="36"/>
  <c r="G9" i="36"/>
  <c r="H9" i="36"/>
  <c r="I9" i="36"/>
  <c r="J9" i="36"/>
  <c r="K9" i="36"/>
  <c r="C43" i="36"/>
  <c r="F34" i="36"/>
  <c r="G34" i="36"/>
  <c r="H34" i="36"/>
  <c r="I34" i="36"/>
  <c r="J34" i="36"/>
  <c r="K34" i="36"/>
  <c r="C60" i="36"/>
  <c r="F45" i="36"/>
  <c r="G45" i="36"/>
  <c r="H45" i="36"/>
  <c r="I45" i="36"/>
  <c r="J45" i="36"/>
  <c r="K45" i="36"/>
  <c r="C51" i="36"/>
  <c r="F47" i="36"/>
  <c r="G47" i="36"/>
  <c r="H47" i="36"/>
  <c r="I47" i="36"/>
  <c r="J47" i="36"/>
  <c r="K47" i="36"/>
  <c r="C52" i="36"/>
  <c r="F44" i="36"/>
  <c r="G44" i="36"/>
  <c r="H44" i="36"/>
  <c r="I44" i="36"/>
  <c r="J44" i="36"/>
  <c r="K44" i="36"/>
  <c r="C63" i="36"/>
  <c r="F15" i="36"/>
  <c r="G15" i="36"/>
  <c r="H15" i="36"/>
  <c r="I15" i="36"/>
  <c r="J15" i="36"/>
  <c r="K15" i="36"/>
  <c r="C53" i="36"/>
  <c r="F31" i="36"/>
  <c r="G31" i="36"/>
  <c r="H31" i="36"/>
  <c r="I31" i="36"/>
  <c r="J31" i="36"/>
  <c r="K31" i="36"/>
  <c r="C19" i="36"/>
  <c r="F52" i="36"/>
  <c r="G52" i="36"/>
  <c r="H52" i="36"/>
  <c r="I52" i="36"/>
  <c r="J52" i="36"/>
  <c r="K52" i="36"/>
  <c r="C16" i="36"/>
  <c r="F18" i="36"/>
  <c r="G18" i="36"/>
  <c r="H18" i="36"/>
  <c r="I18" i="36"/>
  <c r="J18" i="36"/>
  <c r="K18" i="36"/>
  <c r="C44" i="36"/>
  <c r="F56" i="36"/>
  <c r="G56" i="36"/>
  <c r="H56" i="36"/>
  <c r="I56" i="36"/>
  <c r="J56" i="36"/>
  <c r="K56" i="36"/>
  <c r="C15" i="36"/>
  <c r="F23" i="36"/>
  <c r="G23" i="36"/>
  <c r="H23" i="36"/>
  <c r="I23" i="36"/>
  <c r="J23" i="36"/>
  <c r="K23" i="36"/>
  <c r="C36" i="36"/>
  <c r="F8" i="36"/>
  <c r="G8" i="36"/>
  <c r="H8" i="36"/>
  <c r="I8" i="36"/>
  <c r="J8" i="36"/>
  <c r="K8" i="36"/>
  <c r="C34" i="36"/>
  <c r="F37" i="36"/>
  <c r="G37" i="36"/>
  <c r="H37" i="36"/>
  <c r="I37" i="36"/>
  <c r="J37" i="36"/>
  <c r="K37" i="36"/>
  <c r="C25" i="36"/>
  <c r="F11" i="36"/>
  <c r="G11" i="36"/>
  <c r="H11" i="36"/>
  <c r="I11" i="36"/>
  <c r="J11" i="36"/>
  <c r="K11" i="36"/>
  <c r="C20" i="36"/>
  <c r="F22" i="36"/>
  <c r="G22" i="36"/>
  <c r="H22" i="36"/>
  <c r="I22" i="36"/>
  <c r="J22" i="36"/>
  <c r="K22" i="36"/>
  <c r="C29" i="36"/>
  <c r="F10" i="36"/>
  <c r="G10" i="36"/>
  <c r="H10" i="36"/>
  <c r="I10" i="36"/>
  <c r="J10" i="36"/>
  <c r="K10" i="36"/>
  <c r="C58" i="36"/>
  <c r="F57" i="36"/>
  <c r="G57" i="36"/>
  <c r="H57" i="36"/>
  <c r="I57" i="36"/>
  <c r="J57" i="36"/>
  <c r="K57" i="36"/>
  <c r="C9" i="36"/>
  <c r="F53" i="36"/>
  <c r="G53" i="36"/>
  <c r="H53" i="36"/>
  <c r="I53" i="36"/>
  <c r="J53" i="36"/>
  <c r="K53" i="36"/>
  <c r="C39" i="36"/>
  <c r="F54" i="36"/>
  <c r="G54" i="36"/>
  <c r="H54" i="36"/>
  <c r="I54" i="36"/>
  <c r="J54" i="36"/>
  <c r="K54" i="36"/>
  <c r="C50" i="36"/>
  <c r="F46" i="36"/>
  <c r="G46" i="36"/>
  <c r="H46" i="36"/>
  <c r="I46" i="36"/>
  <c r="J46" i="36"/>
  <c r="K46" i="36"/>
  <c r="C45" i="36"/>
  <c r="F29" i="36"/>
  <c r="G29" i="36"/>
  <c r="H29" i="36"/>
  <c r="I29" i="36"/>
  <c r="J29" i="36"/>
  <c r="K29" i="36"/>
  <c r="C57" i="36"/>
  <c r="F59" i="36"/>
  <c r="G59" i="36"/>
  <c r="H59" i="36"/>
  <c r="I59" i="36"/>
  <c r="J59" i="36"/>
  <c r="K59" i="36"/>
  <c r="C33" i="36"/>
  <c r="F16" i="36"/>
  <c r="G16" i="36"/>
  <c r="H16" i="36"/>
  <c r="I16" i="36"/>
  <c r="J16" i="36"/>
  <c r="K16" i="36"/>
  <c r="C12" i="36"/>
  <c r="F43" i="36"/>
  <c r="G43" i="36"/>
  <c r="H43" i="36"/>
  <c r="I43" i="36"/>
  <c r="J43" i="36"/>
  <c r="K43" i="36"/>
  <c r="C21" i="36"/>
  <c r="F60" i="36"/>
  <c r="G60" i="36"/>
  <c r="H60" i="36"/>
  <c r="I60" i="36"/>
  <c r="J60" i="36"/>
  <c r="K60" i="36"/>
  <c r="C37" i="36"/>
  <c r="F41" i="36"/>
  <c r="G41" i="36"/>
  <c r="H41" i="36"/>
  <c r="I41" i="36"/>
  <c r="J41" i="36"/>
  <c r="K41" i="36"/>
  <c r="C31" i="36"/>
  <c r="F42" i="36"/>
  <c r="G42" i="36"/>
  <c r="H42" i="36"/>
  <c r="I42" i="36"/>
  <c r="J42" i="36"/>
  <c r="K42" i="36"/>
  <c r="C62" i="36"/>
  <c r="F40" i="36"/>
  <c r="G40" i="36"/>
  <c r="H40" i="36"/>
  <c r="I40" i="36"/>
  <c r="J40" i="36"/>
  <c r="K40" i="36"/>
  <c r="C48" i="36"/>
  <c r="F32" i="36"/>
  <c r="G32" i="36"/>
  <c r="H32" i="36"/>
  <c r="I32" i="36"/>
  <c r="J32" i="36"/>
  <c r="K32" i="36"/>
  <c r="C49" i="36"/>
  <c r="F7" i="36"/>
  <c r="G7" i="36"/>
  <c r="H7" i="36"/>
  <c r="I7" i="36"/>
  <c r="J7" i="36"/>
  <c r="K7" i="36"/>
  <c r="C6" i="36"/>
  <c r="F17" i="36"/>
  <c r="G17" i="36"/>
  <c r="H17" i="36"/>
  <c r="I17" i="36"/>
  <c r="J17" i="36"/>
  <c r="K17" i="36"/>
  <c r="C11" i="36"/>
  <c r="F50" i="36"/>
  <c r="G50" i="36"/>
  <c r="H50" i="36"/>
  <c r="I50" i="36"/>
  <c r="J50" i="36"/>
  <c r="K50" i="36"/>
  <c r="C7" i="36"/>
  <c r="F49" i="36"/>
  <c r="G49" i="36"/>
  <c r="H49" i="36"/>
  <c r="I49" i="36"/>
  <c r="J49" i="36"/>
  <c r="K49" i="36"/>
  <c r="C14" i="36"/>
  <c r="F14" i="36"/>
  <c r="G14" i="36"/>
  <c r="H14" i="36"/>
  <c r="I14" i="36"/>
  <c r="J14" i="36"/>
  <c r="K14" i="36"/>
  <c r="C46" i="36"/>
  <c r="F58" i="36"/>
  <c r="G58" i="36"/>
  <c r="H58" i="36"/>
  <c r="I58" i="36"/>
  <c r="J58" i="36"/>
  <c r="K58" i="36"/>
  <c r="C56" i="36"/>
  <c r="F6" i="36"/>
  <c r="G6" i="36"/>
  <c r="H6" i="36"/>
  <c r="I6" i="36"/>
  <c r="J6" i="36"/>
  <c r="K6" i="36"/>
  <c r="C61" i="36"/>
  <c r="F26" i="36"/>
  <c r="G26" i="36"/>
  <c r="H26" i="36"/>
  <c r="I26" i="36"/>
  <c r="J26" i="36"/>
  <c r="K26" i="36"/>
  <c r="C5" i="36"/>
  <c r="F28" i="36"/>
  <c r="G28" i="36"/>
  <c r="H28" i="36"/>
  <c r="I28" i="36"/>
  <c r="J28" i="36"/>
  <c r="K28" i="36"/>
  <c r="C13" i="36"/>
  <c r="F13" i="36"/>
  <c r="G13" i="36"/>
  <c r="H13" i="36"/>
  <c r="I13" i="36"/>
  <c r="J13" i="36"/>
  <c r="K13" i="36"/>
  <c r="C38" i="36"/>
  <c r="F36" i="36"/>
  <c r="G36" i="36"/>
  <c r="H36" i="36"/>
  <c r="I36" i="36"/>
  <c r="J36" i="36"/>
  <c r="K36" i="36"/>
  <c r="C22" i="36"/>
  <c r="F48" i="36"/>
  <c r="G48" i="36"/>
  <c r="H48" i="36"/>
  <c r="I48" i="36"/>
  <c r="J48" i="36"/>
  <c r="K48" i="36"/>
  <c r="C30" i="36"/>
  <c r="F27" i="36"/>
  <c r="G27" i="36"/>
  <c r="H27" i="36"/>
  <c r="I27" i="36"/>
  <c r="J27" i="36"/>
  <c r="K27" i="36"/>
  <c r="C17" i="36"/>
  <c r="F55" i="36"/>
  <c r="G55" i="36"/>
  <c r="H55" i="36"/>
  <c r="I55" i="36"/>
  <c r="J55" i="36"/>
  <c r="K55" i="36"/>
  <c r="C35" i="36"/>
  <c r="F39" i="36"/>
  <c r="G39" i="36"/>
  <c r="H39" i="36"/>
  <c r="I39" i="36"/>
  <c r="J39" i="36"/>
  <c r="K39" i="36"/>
  <c r="C28" i="36"/>
  <c r="D116" i="36"/>
  <c r="D24" i="36"/>
  <c r="D20" i="36"/>
  <c r="D13" i="36"/>
  <c r="E32" i="17"/>
  <c r="C32" i="17"/>
  <c r="E31" i="17"/>
  <c r="D31" i="17"/>
  <c r="C31" i="17"/>
  <c r="E30" i="17"/>
  <c r="E29" i="17"/>
  <c r="C29" i="17"/>
  <c r="E28" i="17"/>
  <c r="D28" i="17"/>
  <c r="C28" i="17"/>
  <c r="E27" i="17"/>
  <c r="E26" i="17"/>
  <c r="C26" i="17"/>
  <c r="E25" i="17"/>
  <c r="D25" i="17"/>
  <c r="C25" i="17"/>
  <c r="C24" i="17"/>
  <c r="E23" i="17"/>
  <c r="C23" i="17"/>
  <c r="E22" i="17"/>
  <c r="D22" i="17"/>
  <c r="C22" i="17"/>
  <c r="E21" i="17"/>
  <c r="C21" i="17"/>
  <c r="E20" i="17"/>
  <c r="C20" i="17"/>
  <c r="E19" i="17"/>
  <c r="D19" i="17"/>
  <c r="C19" i="17"/>
  <c r="E18" i="17"/>
  <c r="D18" i="17"/>
  <c r="C18" i="17"/>
  <c r="E17" i="17"/>
  <c r="D17" i="17"/>
  <c r="C17" i="17"/>
  <c r="J32" i="17"/>
  <c r="I32" i="17"/>
  <c r="H32" i="17"/>
  <c r="J31" i="17"/>
  <c r="I31" i="17"/>
  <c r="H31" i="17"/>
  <c r="J30" i="17"/>
  <c r="I30" i="17"/>
  <c r="H30" i="17"/>
  <c r="J29" i="17"/>
  <c r="I29" i="17"/>
  <c r="H29" i="17"/>
  <c r="J28" i="17"/>
  <c r="I28" i="17"/>
  <c r="H28" i="17"/>
  <c r="J27" i="17"/>
  <c r="I27" i="17"/>
  <c r="H27" i="17"/>
  <c r="J26" i="17"/>
  <c r="I26" i="17"/>
  <c r="H26" i="17"/>
  <c r="J25" i="17"/>
  <c r="I25" i="17"/>
  <c r="H25" i="17"/>
  <c r="J24" i="17"/>
  <c r="I24" i="17"/>
  <c r="H24" i="17"/>
  <c r="J23" i="17"/>
  <c r="I23" i="17"/>
  <c r="H23" i="17"/>
  <c r="J22" i="17"/>
  <c r="I22" i="17"/>
  <c r="H22" i="17"/>
  <c r="J21" i="17"/>
  <c r="I21" i="17"/>
  <c r="H21" i="17"/>
  <c r="J20" i="17"/>
  <c r="I20" i="17"/>
  <c r="H20" i="17"/>
  <c r="J19" i="17"/>
  <c r="I19" i="17"/>
  <c r="H19" i="17"/>
  <c r="J18" i="17"/>
  <c r="I18" i="17"/>
  <c r="H18" i="17"/>
  <c r="J17" i="17"/>
  <c r="I17" i="17"/>
  <c r="H17" i="17"/>
  <c r="O32" i="17"/>
  <c r="N32" i="17"/>
  <c r="M32" i="17"/>
  <c r="O31" i="17"/>
  <c r="N31" i="17"/>
  <c r="M31" i="17"/>
  <c r="O30" i="17"/>
  <c r="N30" i="17"/>
  <c r="M30" i="17"/>
  <c r="O29" i="17"/>
  <c r="N29" i="17"/>
  <c r="M29" i="17"/>
  <c r="O28" i="17"/>
  <c r="N28" i="17"/>
  <c r="M28" i="17"/>
  <c r="O27" i="17"/>
  <c r="N27" i="17"/>
  <c r="M27" i="17"/>
  <c r="O26" i="17"/>
  <c r="N26" i="17"/>
  <c r="M26" i="17"/>
  <c r="O25" i="17"/>
  <c r="N25" i="17"/>
  <c r="M25" i="17"/>
  <c r="O24" i="17"/>
  <c r="N24" i="17"/>
  <c r="M24" i="17"/>
  <c r="O23" i="17"/>
  <c r="N23" i="17"/>
  <c r="M23" i="17"/>
  <c r="O22" i="17"/>
  <c r="N22" i="17"/>
  <c r="M22" i="17"/>
  <c r="O21" i="17"/>
  <c r="N21" i="17"/>
  <c r="M21" i="17"/>
  <c r="O20" i="17"/>
  <c r="N20" i="17"/>
  <c r="M20" i="17"/>
  <c r="O19" i="17"/>
  <c r="N19" i="17"/>
  <c r="M19" i="17"/>
  <c r="O18" i="17"/>
  <c r="N18" i="17"/>
  <c r="M18" i="17"/>
  <c r="O17" i="17"/>
  <c r="N17" i="17"/>
  <c r="M17" i="17"/>
  <c r="T3" i="17"/>
  <c r="S3" i="17"/>
  <c r="R3" i="17"/>
  <c r="T32" i="17"/>
  <c r="S32" i="17"/>
  <c r="R32" i="17"/>
  <c r="T31" i="17"/>
  <c r="S31" i="17"/>
  <c r="R31" i="17"/>
  <c r="T30" i="17"/>
  <c r="S30" i="17"/>
  <c r="R30" i="17"/>
  <c r="T29" i="17"/>
  <c r="S29" i="17"/>
  <c r="R29" i="17"/>
  <c r="T28" i="17"/>
  <c r="S28" i="17"/>
  <c r="R28" i="17"/>
  <c r="T27" i="17"/>
  <c r="S27" i="17"/>
  <c r="R27" i="17"/>
  <c r="T26" i="17"/>
  <c r="S26" i="17"/>
  <c r="R26" i="17"/>
  <c r="T25" i="17"/>
  <c r="S25" i="17"/>
  <c r="R25" i="17"/>
  <c r="T24" i="17"/>
  <c r="S24" i="17"/>
  <c r="R24" i="17"/>
  <c r="T23" i="17"/>
  <c r="S23" i="17"/>
  <c r="R23" i="17"/>
  <c r="T22" i="17"/>
  <c r="S22" i="17"/>
  <c r="R22" i="17"/>
  <c r="T21" i="17"/>
  <c r="S21" i="17"/>
  <c r="R21" i="17"/>
  <c r="T20" i="17"/>
  <c r="S20" i="17"/>
  <c r="R20" i="17"/>
  <c r="T19" i="17"/>
  <c r="S19" i="17"/>
  <c r="R19" i="17"/>
  <c r="T18" i="17"/>
  <c r="S18" i="17"/>
  <c r="R18" i="17"/>
  <c r="T17" i="17"/>
  <c r="S17" i="17"/>
  <c r="R17" i="17"/>
  <c r="AK55" i="22"/>
  <c r="AK52" i="22"/>
  <c r="D49" i="35"/>
  <c r="D45" i="35"/>
  <c r="D40" i="35"/>
  <c r="D36" i="35"/>
  <c r="D35" i="35"/>
  <c r="D17" i="35"/>
  <c r="F2" i="35"/>
  <c r="F49" i="35"/>
  <c r="F48" i="35"/>
  <c r="F47" i="35"/>
  <c r="F46" i="35"/>
  <c r="F45" i="35"/>
  <c r="F44" i="35"/>
  <c r="F43" i="35"/>
  <c r="F42" i="35"/>
  <c r="F41" i="35"/>
  <c r="F40" i="35"/>
  <c r="F39" i="35"/>
  <c r="F38" i="35"/>
  <c r="F37" i="35"/>
  <c r="F36" i="35"/>
  <c r="F35" i="35"/>
  <c r="F34" i="35"/>
  <c r="F33" i="35"/>
  <c r="F32" i="35"/>
  <c r="F31" i="35"/>
  <c r="F30" i="35"/>
  <c r="F29" i="35"/>
  <c r="F28" i="35"/>
  <c r="F27" i="35"/>
  <c r="F26" i="35"/>
  <c r="F25" i="35"/>
  <c r="F24" i="35"/>
  <c r="F23" i="35"/>
  <c r="F22" i="35"/>
  <c r="F21" i="35"/>
  <c r="F20" i="35"/>
  <c r="F19" i="35"/>
  <c r="F18" i="35"/>
  <c r="F17" i="35"/>
  <c r="F16" i="35"/>
  <c r="F15" i="35"/>
  <c r="F14" i="35"/>
  <c r="F13" i="35"/>
  <c r="F12" i="35"/>
  <c r="F11" i="35"/>
  <c r="F10" i="35"/>
  <c r="F9" i="35"/>
  <c r="F8" i="35"/>
  <c r="F7" i="35"/>
  <c r="F6" i="35"/>
  <c r="F5" i="35"/>
  <c r="F4" i="35"/>
  <c r="F3" i="35"/>
  <c r="F51" i="35"/>
  <c r="F52" i="35"/>
  <c r="F53" i="35"/>
  <c r="F54" i="35"/>
  <c r="F55" i="35"/>
  <c r="F56" i="35"/>
  <c r="F57" i="35"/>
  <c r="F58" i="35"/>
  <c r="F59" i="35"/>
  <c r="F60" i="35"/>
  <c r="F61" i="35"/>
  <c r="F62" i="35"/>
  <c r="F63" i="35"/>
  <c r="F64" i="35"/>
  <c r="F65" i="35"/>
  <c r="F66" i="35"/>
  <c r="F67" i="35"/>
  <c r="F68" i="35"/>
  <c r="F69" i="35"/>
  <c r="F70" i="35"/>
  <c r="F71" i="35"/>
  <c r="F72" i="35"/>
  <c r="F73" i="35"/>
  <c r="F74" i="35"/>
  <c r="F75" i="35"/>
  <c r="F76" i="35"/>
  <c r="F77" i="35"/>
  <c r="F78" i="35"/>
  <c r="F79" i="35"/>
  <c r="F80" i="35"/>
  <c r="F81" i="35"/>
  <c r="F82" i="35"/>
  <c r="F83" i="35"/>
  <c r="F84" i="35"/>
  <c r="F85" i="35"/>
  <c r="F86" i="35"/>
  <c r="F87" i="35"/>
  <c r="F88" i="35"/>
  <c r="F89" i="35"/>
  <c r="F90" i="35"/>
  <c r="F91" i="35"/>
  <c r="F92" i="35"/>
  <c r="F93" i="35"/>
  <c r="F94" i="35"/>
  <c r="F95" i="35"/>
  <c r="F96" i="35"/>
  <c r="F97" i="35"/>
  <c r="F98" i="35"/>
  <c r="F99" i="35"/>
  <c r="F100" i="35"/>
  <c r="F101" i="35"/>
  <c r="F102" i="35"/>
  <c r="F103" i="35"/>
  <c r="F104" i="35"/>
  <c r="F105" i="35"/>
  <c r="F106" i="35"/>
  <c r="F107" i="35"/>
  <c r="F108" i="35"/>
  <c r="F109" i="35"/>
  <c r="F110" i="35"/>
  <c r="F111" i="35"/>
  <c r="F112" i="35"/>
  <c r="F113" i="35"/>
  <c r="F114" i="35"/>
  <c r="F115" i="35"/>
  <c r="F116" i="35"/>
  <c r="F117" i="35"/>
  <c r="F118" i="35"/>
  <c r="F119" i="35"/>
  <c r="F120" i="35"/>
  <c r="F121" i="35"/>
  <c r="F122" i="35"/>
  <c r="F123" i="35"/>
  <c r="F124" i="35"/>
  <c r="F125" i="35"/>
  <c r="F126" i="35"/>
  <c r="F127" i="35"/>
  <c r="F128" i="35"/>
  <c r="F129" i="35"/>
  <c r="F130" i="35"/>
  <c r="F131" i="35"/>
  <c r="F132" i="35"/>
  <c r="F133" i="35"/>
  <c r="F134" i="35"/>
  <c r="F135" i="35"/>
  <c r="F136" i="35"/>
  <c r="F137" i="35"/>
  <c r="F138" i="35"/>
  <c r="F139" i="35"/>
  <c r="F140" i="35"/>
  <c r="F141" i="35"/>
  <c r="F142" i="35"/>
  <c r="F143" i="35"/>
  <c r="F144" i="35"/>
  <c r="F145" i="35"/>
  <c r="F146" i="35"/>
  <c r="F147" i="35"/>
  <c r="F148" i="35"/>
  <c r="F149" i="35"/>
  <c r="F150" i="35"/>
  <c r="C59" i="35"/>
  <c r="C60" i="35"/>
  <c r="C61" i="35"/>
  <c r="C62" i="35"/>
  <c r="C63" i="35"/>
  <c r="C64" i="35"/>
  <c r="C65" i="35"/>
  <c r="C66" i="35"/>
  <c r="C67" i="35"/>
  <c r="C68" i="35"/>
  <c r="C69" i="35"/>
  <c r="C70" i="35"/>
  <c r="C71" i="35"/>
  <c r="C72" i="35"/>
  <c r="C73" i="35"/>
  <c r="C74" i="35"/>
  <c r="C75" i="35"/>
  <c r="C76" i="35"/>
  <c r="C77" i="35"/>
  <c r="C78" i="35"/>
  <c r="C79" i="35"/>
  <c r="C80" i="35"/>
  <c r="C81" i="35"/>
  <c r="C82" i="35"/>
  <c r="C83" i="35"/>
  <c r="C84" i="35"/>
  <c r="C85" i="35"/>
  <c r="C86" i="35"/>
  <c r="C87" i="35"/>
  <c r="C88" i="35"/>
  <c r="C89" i="35"/>
  <c r="C90" i="35"/>
  <c r="C91" i="35"/>
  <c r="C92" i="35"/>
  <c r="C93" i="35"/>
  <c r="C94" i="35"/>
  <c r="C95" i="35"/>
  <c r="C96" i="35"/>
  <c r="C97" i="35"/>
  <c r="C98" i="35"/>
  <c r="C99" i="35"/>
  <c r="C100" i="35"/>
  <c r="C101" i="35"/>
  <c r="C102" i="35"/>
  <c r="C103" i="35"/>
  <c r="C104" i="35"/>
  <c r="C105" i="35"/>
  <c r="C106" i="35"/>
  <c r="C107" i="35"/>
  <c r="C108" i="35"/>
  <c r="C109" i="35"/>
  <c r="C110" i="35"/>
  <c r="C111" i="35"/>
  <c r="C112" i="35"/>
  <c r="C113" i="35"/>
  <c r="C114" i="35"/>
  <c r="C115" i="35"/>
  <c r="C116" i="35"/>
  <c r="C117" i="35"/>
  <c r="C118" i="35"/>
  <c r="C119" i="35"/>
  <c r="C120" i="35"/>
  <c r="C121" i="35"/>
  <c r="C122" i="35"/>
  <c r="C123" i="35"/>
  <c r="C124" i="35"/>
  <c r="C125" i="35"/>
  <c r="C126" i="35"/>
  <c r="C127" i="35"/>
  <c r="C128" i="35"/>
  <c r="C129" i="35"/>
  <c r="C130" i="35"/>
  <c r="C131" i="35"/>
  <c r="C132" i="35"/>
  <c r="C133" i="35"/>
  <c r="C134" i="35"/>
  <c r="C135" i="35"/>
  <c r="C136" i="35"/>
  <c r="C137" i="35"/>
  <c r="C138" i="35"/>
  <c r="C139" i="35"/>
  <c r="C140" i="35"/>
  <c r="C141" i="35"/>
  <c r="C142" i="35"/>
  <c r="C143" i="35"/>
  <c r="C144" i="35"/>
  <c r="C145" i="35"/>
  <c r="C146" i="35"/>
  <c r="C147" i="35"/>
  <c r="C148" i="35"/>
  <c r="C149" i="35"/>
  <c r="C150" i="35"/>
  <c r="AA19" i="25"/>
  <c r="AA20" i="25"/>
  <c r="AA21" i="25"/>
  <c r="AA22" i="25"/>
  <c r="AA23" i="25"/>
  <c r="AA24" i="25"/>
  <c r="AA25" i="25"/>
  <c r="AA26" i="25"/>
  <c r="AA27" i="25"/>
  <c r="AA28" i="25"/>
  <c r="AA29" i="25"/>
  <c r="AA30" i="25"/>
  <c r="AA31" i="25"/>
  <c r="AA32" i="25"/>
  <c r="AA33" i="25"/>
  <c r="AA34" i="25"/>
  <c r="AA35" i="25"/>
  <c r="AK51" i="22"/>
  <c r="D51" i="35"/>
  <c r="D52" i="35"/>
  <c r="D53" i="35"/>
  <c r="D54" i="35"/>
  <c r="D55" i="35"/>
  <c r="D56" i="35"/>
  <c r="D57" i="35"/>
  <c r="D58" i="35"/>
  <c r="D59" i="35"/>
  <c r="D60" i="35"/>
  <c r="D61" i="35"/>
  <c r="D62" i="35"/>
  <c r="D63" i="35"/>
  <c r="D64" i="35"/>
  <c r="D65" i="35"/>
  <c r="D66" i="35"/>
  <c r="D67" i="35"/>
  <c r="D68" i="35"/>
  <c r="D69" i="35"/>
  <c r="D70" i="35"/>
  <c r="D71" i="35"/>
  <c r="D72" i="35"/>
  <c r="D73" i="35"/>
  <c r="D74" i="35"/>
  <c r="D75" i="35"/>
  <c r="D76" i="35"/>
  <c r="D77" i="35"/>
  <c r="D78" i="35"/>
  <c r="D79" i="35"/>
  <c r="D80" i="35"/>
  <c r="D81" i="35"/>
  <c r="D82" i="35"/>
  <c r="D83" i="35"/>
  <c r="D84" i="35"/>
  <c r="D85" i="35"/>
  <c r="D86" i="35"/>
  <c r="D87" i="35"/>
  <c r="D88" i="35"/>
  <c r="D89" i="35"/>
  <c r="D90" i="35"/>
  <c r="D91" i="35"/>
  <c r="D92" i="35"/>
  <c r="D93" i="35"/>
  <c r="D94" i="35"/>
  <c r="D95" i="35"/>
  <c r="D96" i="35"/>
  <c r="D97" i="35"/>
  <c r="D98" i="35"/>
  <c r="D99" i="35"/>
  <c r="D100" i="35"/>
  <c r="D101" i="35"/>
  <c r="D102" i="35"/>
  <c r="D103" i="35"/>
  <c r="D104" i="35"/>
  <c r="D105" i="35"/>
  <c r="D106" i="35"/>
  <c r="D107" i="35"/>
  <c r="D108" i="35"/>
  <c r="D109" i="35"/>
  <c r="D110" i="35"/>
  <c r="D111" i="35"/>
  <c r="D112" i="35"/>
  <c r="D113" i="35"/>
  <c r="D114" i="35"/>
  <c r="D115" i="35"/>
  <c r="D116" i="35"/>
  <c r="D117" i="35"/>
  <c r="D118" i="35"/>
  <c r="D119" i="35"/>
  <c r="D120" i="35"/>
  <c r="D121" i="35"/>
  <c r="D122" i="35"/>
  <c r="D123" i="35"/>
  <c r="D124" i="35"/>
  <c r="D125" i="35"/>
  <c r="D126" i="35"/>
  <c r="D127" i="35"/>
  <c r="D128" i="35"/>
  <c r="D129" i="35"/>
  <c r="D130" i="35"/>
  <c r="D131" i="35"/>
  <c r="D132" i="35"/>
  <c r="D133" i="35"/>
  <c r="D134" i="35"/>
  <c r="D135" i="35"/>
  <c r="D136" i="35"/>
  <c r="D137" i="35"/>
  <c r="D138" i="35"/>
  <c r="D139" i="35"/>
  <c r="D140" i="35"/>
  <c r="D141" i="35"/>
  <c r="D142" i="35"/>
  <c r="D143" i="35"/>
  <c r="D144" i="35"/>
  <c r="D145" i="35"/>
  <c r="D146" i="35"/>
  <c r="D147" i="35"/>
  <c r="D148" i="35"/>
  <c r="D149" i="35"/>
  <c r="D150" i="35"/>
  <c r="F50" i="35"/>
  <c r="D50" i="35"/>
  <c r="D42" i="35"/>
  <c r="D41" i="35"/>
  <c r="D38" i="35"/>
  <c r="D33" i="35"/>
  <c r="D26" i="35"/>
  <c r="D39" i="35"/>
  <c r="D34" i="35"/>
  <c r="D37" i="35"/>
  <c r="D11" i="35"/>
  <c r="AJ121" i="22"/>
  <c r="AL121" i="22" s="1"/>
  <c r="AJ120" i="22"/>
  <c r="AL120" i="22" s="1"/>
  <c r="AJ119" i="22"/>
  <c r="AL119" i="22" s="1"/>
  <c r="AJ118" i="22"/>
  <c r="AL118" i="22" s="1"/>
  <c r="AJ117" i="22"/>
  <c r="AL117" i="22" s="1"/>
  <c r="AJ116" i="22"/>
  <c r="AL116" i="22" s="1"/>
  <c r="AJ115" i="22"/>
  <c r="AL115" i="22" s="1"/>
  <c r="AJ114" i="22"/>
  <c r="AL114" i="22" s="1"/>
  <c r="AJ113" i="22"/>
  <c r="AL113" i="22" s="1"/>
  <c r="AJ112" i="22"/>
  <c r="AL112" i="22" s="1"/>
  <c r="AJ111" i="22"/>
  <c r="AL111" i="22" s="1"/>
  <c r="AJ110" i="22"/>
  <c r="AL110" i="22" s="1"/>
  <c r="AJ109" i="22"/>
  <c r="AL109" i="22" s="1"/>
  <c r="AJ108" i="22"/>
  <c r="AL108" i="22" s="1"/>
  <c r="AJ107" i="22"/>
  <c r="AL107" i="22" s="1"/>
  <c r="AJ106" i="22"/>
  <c r="AL106" i="22" s="1"/>
  <c r="AJ105" i="22"/>
  <c r="AL105" i="22" s="1"/>
  <c r="AJ104" i="22"/>
  <c r="AL104" i="22" s="1"/>
  <c r="AJ103" i="22"/>
  <c r="AL103" i="22" s="1"/>
  <c r="AJ102" i="22"/>
  <c r="AL102" i="22" s="1"/>
  <c r="AJ101" i="22"/>
  <c r="AL101" i="22" s="1"/>
  <c r="AJ100" i="22"/>
  <c r="AL100" i="22" s="1"/>
  <c r="AJ99" i="22"/>
  <c r="AL99" i="22" s="1"/>
  <c r="AJ98" i="22"/>
  <c r="AL98" i="22" s="1"/>
  <c r="AJ97" i="22"/>
  <c r="AL97" i="22" s="1"/>
  <c r="AJ96" i="22"/>
  <c r="AL96" i="22" s="1"/>
  <c r="AJ95" i="22"/>
  <c r="AL95" i="22" s="1"/>
  <c r="AJ94" i="22"/>
  <c r="AL94" i="22" s="1"/>
  <c r="AJ93" i="22"/>
  <c r="AL93" i="22" s="1"/>
  <c r="AJ92" i="22"/>
  <c r="AL92" i="22" s="1"/>
  <c r="AJ91" i="22"/>
  <c r="AL91" i="22" s="1"/>
  <c r="AJ90" i="22"/>
  <c r="AL90" i="22" s="1"/>
  <c r="AJ89" i="22"/>
  <c r="AL89" i="22" s="1"/>
  <c r="AJ88" i="22"/>
  <c r="AL88" i="22" s="1"/>
  <c r="AJ87" i="22"/>
  <c r="AL87" i="22" s="1"/>
  <c r="AJ86" i="22"/>
  <c r="AL86" i="22" s="1"/>
  <c r="AJ85" i="22"/>
  <c r="AL85" i="22" s="1"/>
  <c r="AJ84" i="22"/>
  <c r="AL84" i="22" s="1"/>
  <c r="AJ83" i="22"/>
  <c r="AL83" i="22" s="1"/>
  <c r="AJ82" i="22"/>
  <c r="AL82" i="22" s="1"/>
  <c r="AJ81" i="22"/>
  <c r="AL81" i="22" s="1"/>
  <c r="AJ80" i="22"/>
  <c r="AL80" i="22" s="1"/>
  <c r="AJ79" i="22"/>
  <c r="AL79" i="22" s="1"/>
  <c r="AJ78" i="22"/>
  <c r="AL78" i="22" s="1"/>
  <c r="AJ77" i="22"/>
  <c r="AL77" i="22" s="1"/>
  <c r="AJ76" i="22"/>
  <c r="AL76" i="22" s="1"/>
  <c r="AJ75" i="22"/>
  <c r="AL75" i="22" s="1"/>
  <c r="AJ74" i="22"/>
  <c r="AL74" i="22" s="1"/>
  <c r="AJ73" i="22"/>
  <c r="AL73" i="22" s="1"/>
  <c r="AJ72" i="22"/>
  <c r="AL72" i="22" s="1"/>
  <c r="AJ71" i="22"/>
  <c r="AL71" i="22" s="1"/>
  <c r="AJ70" i="22"/>
  <c r="AL70" i="22" s="1"/>
  <c r="AJ69" i="22"/>
  <c r="AL69" i="22" s="1"/>
  <c r="AJ68" i="22"/>
  <c r="AL68" i="22" s="1"/>
  <c r="AJ67" i="22"/>
  <c r="AL67" i="22" s="1"/>
  <c r="AJ66" i="22"/>
  <c r="AL66" i="22" s="1"/>
  <c r="AJ65" i="22"/>
  <c r="AL65" i="22" s="1"/>
  <c r="AJ64" i="22"/>
  <c r="AL64" i="22" s="1"/>
  <c r="AJ63" i="22"/>
  <c r="AL63" i="22" s="1"/>
  <c r="AJ62" i="22"/>
  <c r="AL62" i="22" s="1"/>
  <c r="AJ61" i="22"/>
  <c r="AL61" i="22" s="1"/>
  <c r="AJ60" i="22"/>
  <c r="AL60" i="22" s="1"/>
  <c r="C40" i="35"/>
  <c r="A3" i="33" a="1"/>
  <c r="C29" i="35"/>
  <c r="C28" i="35"/>
  <c r="C27" i="35"/>
  <c r="C25" i="35"/>
  <c r="C23" i="35"/>
  <c r="C21" i="35"/>
  <c r="C20" i="35"/>
  <c r="C19" i="35"/>
  <c r="C17" i="35"/>
  <c r="E17" i="35" s="1"/>
  <c r="C16" i="35"/>
  <c r="C15" i="35"/>
  <c r="C13" i="35"/>
  <c r="C12" i="35"/>
  <c r="C9" i="35"/>
  <c r="C8" i="35"/>
  <c r="C7" i="35"/>
  <c r="C4" i="35"/>
  <c r="C3" i="35"/>
  <c r="D30" i="35"/>
  <c r="D22" i="35"/>
  <c r="D18" i="35"/>
  <c r="D14" i="35"/>
  <c r="D13" i="35"/>
  <c r="D10" i="35"/>
  <c r="D6" i="35"/>
  <c r="D12" i="35"/>
  <c r="D32" i="35"/>
  <c r="D15" i="35"/>
  <c r="D19" i="35"/>
  <c r="D31" i="35"/>
  <c r="AK38" i="22"/>
  <c r="AK42" i="22"/>
  <c r="AK34" i="22"/>
  <c r="AK37" i="22"/>
  <c r="AK39" i="22"/>
  <c r="AK43" i="22"/>
  <c r="AK33" i="22"/>
  <c r="AK35" i="22"/>
  <c r="AK40" i="22"/>
  <c r="AK16" i="22"/>
  <c r="AK20" i="22"/>
  <c r="AK32" i="22"/>
  <c r="AK36" i="22"/>
  <c r="AK41" i="22"/>
  <c r="O120" i="1"/>
  <c r="O119" i="1"/>
  <c r="O118" i="1"/>
  <c r="O117" i="1"/>
  <c r="O116" i="1"/>
  <c r="O115" i="1"/>
  <c r="O114" i="1"/>
  <c r="O113" i="1"/>
  <c r="O112" i="1"/>
  <c r="O111" i="1"/>
  <c r="O110" i="1"/>
  <c r="O109" i="1"/>
  <c r="O108" i="1"/>
  <c r="O107" i="1"/>
  <c r="O106" i="1"/>
  <c r="O105" i="1"/>
  <c r="O104" i="1"/>
  <c r="O103" i="1"/>
  <c r="O102" i="1"/>
  <c r="O101" i="1"/>
  <c r="O100" i="1"/>
  <c r="O99" i="1"/>
  <c r="O98" i="1"/>
  <c r="O97" i="1"/>
  <c r="O96" i="1"/>
  <c r="O95" i="1"/>
  <c r="O94" i="1"/>
  <c r="O93" i="1"/>
  <c r="O92" i="1"/>
  <c r="O91" i="1"/>
  <c r="O90" i="1"/>
  <c r="O89" i="1"/>
  <c r="O88" i="1"/>
  <c r="O87" i="1"/>
  <c r="O86" i="1"/>
  <c r="O85" i="1"/>
  <c r="O84" i="1"/>
  <c r="O83" i="1"/>
  <c r="O82" i="1"/>
  <c r="O81" i="1"/>
  <c r="O80" i="1"/>
  <c r="O79" i="1"/>
  <c r="O78" i="1"/>
  <c r="O77" i="1"/>
  <c r="O76" i="1"/>
  <c r="O75" i="1"/>
  <c r="O74" i="1"/>
  <c r="O73" i="1"/>
  <c r="O72" i="1"/>
  <c r="O71" i="1"/>
  <c r="O70" i="1"/>
  <c r="O69" i="1"/>
  <c r="O68" i="1"/>
  <c r="O67" i="1"/>
  <c r="O66" i="1"/>
  <c r="O65" i="1"/>
  <c r="O64" i="1"/>
  <c r="O63" i="1"/>
  <c r="O62" i="1"/>
  <c r="O61" i="1"/>
  <c r="O60" i="1"/>
  <c r="O59" i="1"/>
  <c r="O58" i="1"/>
  <c r="O57" i="1"/>
  <c r="O56" i="1"/>
  <c r="O55" i="1"/>
  <c r="O54" i="1"/>
  <c r="O53" i="1"/>
  <c r="O52" i="1"/>
  <c r="O51" i="1"/>
  <c r="O50" i="1"/>
  <c r="O49" i="1"/>
  <c r="O48" i="1"/>
  <c r="O47" i="1"/>
  <c r="O46" i="1"/>
  <c r="O45" i="1"/>
  <c r="O44" i="1"/>
  <c r="O43" i="1"/>
  <c r="T15" i="2"/>
  <c r="AJ14" i="22"/>
  <c r="AA15" i="3"/>
  <c r="AK14" i="22"/>
  <c r="T14" i="2"/>
  <c r="AJ13" i="22"/>
  <c r="AA14" i="3"/>
  <c r="AK13" i="22"/>
  <c r="T13" i="2"/>
  <c r="AJ12" i="22"/>
  <c r="AA13" i="3"/>
  <c r="AK12" i="22"/>
  <c r="M3" i="25"/>
  <c r="P3" i="25" s="1" a="1"/>
  <c r="P3" i="25" s="1"/>
  <c r="T12" i="2"/>
  <c r="AA12" i="3"/>
  <c r="L13" i="22"/>
  <c r="I13" i="22"/>
  <c r="O42" i="1"/>
  <c r="O9" i="1"/>
  <c r="O10" i="1"/>
  <c r="AA4" i="3"/>
  <c r="F37" i="22"/>
  <c r="F9" i="22"/>
  <c r="F13" i="22"/>
  <c r="F6" i="22"/>
  <c r="F14" i="22"/>
  <c r="F17" i="22"/>
  <c r="F15" i="22"/>
  <c r="F19" i="22"/>
  <c r="F18" i="22"/>
  <c r="F10" i="22"/>
  <c r="F20" i="22"/>
  <c r="F21" i="22"/>
  <c r="F25" i="22"/>
  <c r="F22" i="22"/>
  <c r="F26" i="22"/>
  <c r="F8" i="22"/>
  <c r="F29" i="22"/>
  <c r="F31" i="22"/>
  <c r="F28" i="22"/>
  <c r="F35" i="22"/>
  <c r="F3" i="22"/>
  <c r="F33" i="22"/>
  <c r="F12" i="22"/>
  <c r="F32" i="22"/>
  <c r="F30" i="22"/>
  <c r="F36" i="22"/>
  <c r="F39" i="22"/>
  <c r="F5" i="22"/>
  <c r="F4" i="22"/>
  <c r="F7" i="22"/>
  <c r="F11" i="22"/>
  <c r="F40" i="22"/>
  <c r="F41" i="22"/>
  <c r="F43" i="22"/>
  <c r="L15" i="22"/>
  <c r="V2" i="26"/>
  <c r="V3" i="26"/>
  <c r="V4" i="26"/>
  <c r="V5" i="26"/>
  <c r="V6" i="26"/>
  <c r="V7" i="26"/>
  <c r="V8" i="26"/>
  <c r="V9" i="26"/>
  <c r="V10" i="26"/>
  <c r="V11" i="26"/>
  <c r="V12" i="26"/>
  <c r="V13" i="26"/>
  <c r="V14" i="26"/>
  <c r="V15" i="26"/>
  <c r="V16" i="26"/>
  <c r="V17" i="26"/>
  <c r="V18" i="26"/>
  <c r="V19" i="26"/>
  <c r="U20" i="26" a="1"/>
  <c r="U20" i="26" s="1"/>
  <c r="L16" i="22"/>
  <c r="O41" i="1"/>
  <c r="O40" i="1"/>
  <c r="O39" i="1"/>
  <c r="O38" i="1"/>
  <c r="O37" i="1"/>
  <c r="O36" i="1"/>
  <c r="O35" i="1"/>
  <c r="O34" i="1"/>
  <c r="O33" i="1"/>
  <c r="O32" i="1"/>
  <c r="O31" i="1"/>
  <c r="O30" i="1"/>
  <c r="O29" i="1"/>
  <c r="O28" i="1"/>
  <c r="O27" i="1"/>
  <c r="O26" i="1"/>
  <c r="O25" i="1"/>
  <c r="O24" i="1"/>
  <c r="O23" i="1"/>
  <c r="O22" i="1"/>
  <c r="O21" i="1"/>
  <c r="O20" i="1"/>
  <c r="O19" i="1"/>
  <c r="O18" i="1"/>
  <c r="O17" i="1"/>
  <c r="O16" i="1"/>
  <c r="O15" i="1"/>
  <c r="O14" i="1"/>
  <c r="O13" i="1"/>
  <c r="O12" i="1"/>
  <c r="O11" i="1"/>
  <c r="O8" i="1"/>
  <c r="O7" i="1"/>
  <c r="O6" i="1"/>
  <c r="O5" i="1"/>
  <c r="O4" i="1"/>
  <c r="O3" i="1"/>
  <c r="O2" i="1"/>
  <c r="G37" i="22"/>
  <c r="I37" i="22"/>
  <c r="L37" i="22"/>
  <c r="F38" i="22"/>
  <c r="G38" i="22"/>
  <c r="I38" i="22"/>
  <c r="L38" i="22"/>
  <c r="F16" i="22"/>
  <c r="G16" i="22"/>
  <c r="I16" i="22"/>
  <c r="F42" i="22"/>
  <c r="G42" i="22"/>
  <c r="I42" i="22"/>
  <c r="L42" i="22"/>
  <c r="F34" i="22"/>
  <c r="G34" i="22"/>
  <c r="I34" i="22"/>
  <c r="L34" i="22"/>
  <c r="F27" i="22"/>
  <c r="G27" i="22"/>
  <c r="I27" i="22"/>
  <c r="L27" i="22"/>
  <c r="F23" i="22"/>
  <c r="G23" i="22"/>
  <c r="I23" i="22"/>
  <c r="L23" i="22"/>
  <c r="F24" i="22"/>
  <c r="G24" i="22"/>
  <c r="I24" i="22"/>
  <c r="L24" i="22"/>
  <c r="F44" i="22"/>
  <c r="G44" i="22"/>
  <c r="I44" i="22"/>
  <c r="L44" i="22"/>
  <c r="F45" i="22"/>
  <c r="G45" i="22"/>
  <c r="I45" i="22"/>
  <c r="L45" i="22"/>
  <c r="F46" i="22"/>
  <c r="G46" i="22"/>
  <c r="I46" i="22"/>
  <c r="L46" i="22"/>
  <c r="F47" i="22"/>
  <c r="G47" i="22"/>
  <c r="I47" i="22"/>
  <c r="L47" i="22"/>
  <c r="F48" i="22"/>
  <c r="G48" i="22"/>
  <c r="I48" i="22"/>
  <c r="L48" i="22"/>
  <c r="F49" i="22"/>
  <c r="G49" i="22"/>
  <c r="I49" i="22"/>
  <c r="L49" i="22"/>
  <c r="F50" i="22"/>
  <c r="G50" i="22"/>
  <c r="I50" i="22"/>
  <c r="L50" i="22"/>
  <c r="F51" i="22"/>
  <c r="G51" i="22"/>
  <c r="I51" i="22"/>
  <c r="L51" i="22"/>
  <c r="F52" i="22"/>
  <c r="G52" i="22"/>
  <c r="I52" i="22"/>
  <c r="L52" i="22"/>
  <c r="F53" i="22"/>
  <c r="G53" i="22"/>
  <c r="I53" i="22"/>
  <c r="L53" i="22"/>
  <c r="F54" i="22"/>
  <c r="G54" i="22"/>
  <c r="I54" i="22"/>
  <c r="L54" i="22"/>
  <c r="F55" i="22"/>
  <c r="G55" i="22"/>
  <c r="I55" i="22"/>
  <c r="L55" i="22"/>
  <c r="F56" i="22"/>
  <c r="G56" i="22"/>
  <c r="I56" i="22"/>
  <c r="L56" i="22"/>
  <c r="F57" i="22"/>
  <c r="G57" i="22"/>
  <c r="I57" i="22"/>
  <c r="L57" i="22"/>
  <c r="F58" i="22"/>
  <c r="G58" i="22"/>
  <c r="I58" i="22"/>
  <c r="L58" i="22"/>
  <c r="F59" i="22"/>
  <c r="G59" i="22"/>
  <c r="I59" i="22"/>
  <c r="L59" i="22"/>
  <c r="F60" i="22"/>
  <c r="G60" i="22"/>
  <c r="I60" i="22"/>
  <c r="L60" i="22"/>
  <c r="F61" i="22"/>
  <c r="G61" i="22"/>
  <c r="I61" i="22"/>
  <c r="L61" i="22"/>
  <c r="F62" i="22"/>
  <c r="G62" i="22"/>
  <c r="I62" i="22"/>
  <c r="L62" i="22"/>
  <c r="F63" i="22"/>
  <c r="G63" i="22"/>
  <c r="I63" i="22"/>
  <c r="L63" i="22"/>
  <c r="F64" i="22"/>
  <c r="G64" i="22"/>
  <c r="I64" i="22"/>
  <c r="L64" i="22"/>
  <c r="F65" i="22"/>
  <c r="G65" i="22"/>
  <c r="I65" i="22"/>
  <c r="L65" i="22"/>
  <c r="F66" i="22"/>
  <c r="G66" i="22"/>
  <c r="I66" i="22"/>
  <c r="L66" i="22"/>
  <c r="F67" i="22"/>
  <c r="G67" i="22"/>
  <c r="I67" i="22"/>
  <c r="L67" i="22"/>
  <c r="F68" i="22"/>
  <c r="G68" i="22"/>
  <c r="I68" i="22"/>
  <c r="L68" i="22"/>
  <c r="F69" i="22"/>
  <c r="G69" i="22"/>
  <c r="I69" i="22"/>
  <c r="L69" i="22"/>
  <c r="F70" i="22"/>
  <c r="G70" i="22"/>
  <c r="I70" i="22"/>
  <c r="L70" i="22"/>
  <c r="F71" i="22"/>
  <c r="G71" i="22"/>
  <c r="I71" i="22"/>
  <c r="L71" i="22"/>
  <c r="F72" i="22"/>
  <c r="G72" i="22"/>
  <c r="I72" i="22"/>
  <c r="L72" i="22"/>
  <c r="F73" i="22"/>
  <c r="G73" i="22"/>
  <c r="I73" i="22"/>
  <c r="L73" i="22"/>
  <c r="F74" i="22"/>
  <c r="G74" i="22"/>
  <c r="I74" i="22"/>
  <c r="L74" i="22"/>
  <c r="F75" i="22"/>
  <c r="G75" i="22"/>
  <c r="I75" i="22"/>
  <c r="L75" i="22"/>
  <c r="F76" i="22"/>
  <c r="G76" i="22"/>
  <c r="I76" i="22"/>
  <c r="L76" i="22"/>
  <c r="F77" i="22"/>
  <c r="G77" i="22"/>
  <c r="I77" i="22"/>
  <c r="L77" i="22"/>
  <c r="F78" i="22"/>
  <c r="G78" i="22"/>
  <c r="I78" i="22"/>
  <c r="L78" i="22"/>
  <c r="F79" i="22"/>
  <c r="G79" i="22"/>
  <c r="I79" i="22"/>
  <c r="L79" i="22"/>
  <c r="F80" i="22"/>
  <c r="G80" i="22"/>
  <c r="I80" i="22"/>
  <c r="L80" i="22"/>
  <c r="F81" i="22"/>
  <c r="G81" i="22"/>
  <c r="I81" i="22"/>
  <c r="L81" i="22"/>
  <c r="F82" i="22"/>
  <c r="G82" i="22"/>
  <c r="I82" i="22"/>
  <c r="L82" i="22"/>
  <c r="F83" i="22"/>
  <c r="G83" i="22"/>
  <c r="I83" i="22"/>
  <c r="L83" i="22"/>
  <c r="F84" i="22"/>
  <c r="G84" i="22"/>
  <c r="I84" i="22"/>
  <c r="L84" i="22"/>
  <c r="F85" i="22"/>
  <c r="G85" i="22"/>
  <c r="I85" i="22"/>
  <c r="L85" i="22"/>
  <c r="F86" i="22"/>
  <c r="G86" i="22"/>
  <c r="I86" i="22"/>
  <c r="L86" i="22"/>
  <c r="F87" i="22"/>
  <c r="G87" i="22"/>
  <c r="I87" i="22"/>
  <c r="L87" i="22"/>
  <c r="F88" i="22"/>
  <c r="G88" i="22"/>
  <c r="I88" i="22"/>
  <c r="L88" i="22"/>
  <c r="F89" i="22"/>
  <c r="G89" i="22"/>
  <c r="I89" i="22"/>
  <c r="L89" i="22"/>
  <c r="F90" i="22"/>
  <c r="G90" i="22"/>
  <c r="I90" i="22"/>
  <c r="L90" i="22"/>
  <c r="F91" i="22"/>
  <c r="G91" i="22"/>
  <c r="I91" i="22"/>
  <c r="L91" i="22"/>
  <c r="F92" i="22"/>
  <c r="G92" i="22"/>
  <c r="I92" i="22"/>
  <c r="L92" i="22"/>
  <c r="F93" i="22"/>
  <c r="G93" i="22"/>
  <c r="I93" i="22"/>
  <c r="L93" i="22"/>
  <c r="F94" i="22"/>
  <c r="G94" i="22"/>
  <c r="I94" i="22"/>
  <c r="L94" i="22"/>
  <c r="F95" i="22"/>
  <c r="G95" i="22"/>
  <c r="I95" i="22"/>
  <c r="L95" i="22"/>
  <c r="F96" i="22"/>
  <c r="G96" i="22"/>
  <c r="I96" i="22"/>
  <c r="L96" i="22"/>
  <c r="F97" i="22"/>
  <c r="G97" i="22"/>
  <c r="I97" i="22"/>
  <c r="L97" i="22"/>
  <c r="F98" i="22"/>
  <c r="G98" i="22"/>
  <c r="I98" i="22"/>
  <c r="L98" i="22"/>
  <c r="F99" i="22"/>
  <c r="G99" i="22"/>
  <c r="I99" i="22"/>
  <c r="L99" i="22"/>
  <c r="F100" i="22"/>
  <c r="G100" i="22"/>
  <c r="I100" i="22"/>
  <c r="L100" i="22"/>
  <c r="F101" i="22"/>
  <c r="G101" i="22"/>
  <c r="I101" i="22"/>
  <c r="L101" i="22"/>
  <c r="F102" i="22"/>
  <c r="G102" i="22"/>
  <c r="I102" i="22"/>
  <c r="L102" i="22"/>
  <c r="F103" i="22"/>
  <c r="G103" i="22"/>
  <c r="I103" i="22"/>
  <c r="L103" i="22"/>
  <c r="F104" i="22"/>
  <c r="G104" i="22"/>
  <c r="I104" i="22"/>
  <c r="L104" i="22"/>
  <c r="F105" i="22"/>
  <c r="G105" i="22"/>
  <c r="I105" i="22"/>
  <c r="L105" i="22"/>
  <c r="F106" i="22"/>
  <c r="G106" i="22"/>
  <c r="I106" i="22"/>
  <c r="L106" i="22"/>
  <c r="F107" i="22"/>
  <c r="G107" i="22"/>
  <c r="I107" i="22"/>
  <c r="L107" i="22"/>
  <c r="F108" i="22"/>
  <c r="G108" i="22"/>
  <c r="I108" i="22"/>
  <c r="L108" i="22"/>
  <c r="F109" i="22"/>
  <c r="G109" i="22"/>
  <c r="I109" i="22"/>
  <c r="L109" i="22"/>
  <c r="F110" i="22"/>
  <c r="G110" i="22"/>
  <c r="I110" i="22"/>
  <c r="L110" i="22"/>
  <c r="F111" i="22"/>
  <c r="G111" i="22"/>
  <c r="I111" i="22"/>
  <c r="L111" i="22"/>
  <c r="F112" i="22"/>
  <c r="G112" i="22"/>
  <c r="I112" i="22"/>
  <c r="L112" i="22"/>
  <c r="F113" i="22"/>
  <c r="G113" i="22"/>
  <c r="I113" i="22"/>
  <c r="L113" i="22"/>
  <c r="F114" i="22"/>
  <c r="G114" i="22"/>
  <c r="I114" i="22"/>
  <c r="L114" i="22"/>
  <c r="F115" i="22"/>
  <c r="G115" i="22"/>
  <c r="I115" i="22"/>
  <c r="L115" i="22"/>
  <c r="F116" i="22"/>
  <c r="G116" i="22"/>
  <c r="I116" i="22"/>
  <c r="L116" i="22"/>
  <c r="F117" i="22"/>
  <c r="G117" i="22"/>
  <c r="I117" i="22"/>
  <c r="L117" i="22"/>
  <c r="F118" i="22"/>
  <c r="G118" i="22"/>
  <c r="I118" i="22"/>
  <c r="L118" i="22"/>
  <c r="F119" i="22"/>
  <c r="G119" i="22"/>
  <c r="I119" i="22"/>
  <c r="L119" i="22"/>
  <c r="F120" i="22"/>
  <c r="G120" i="22"/>
  <c r="I120" i="22"/>
  <c r="L120" i="22"/>
  <c r="F121" i="22"/>
  <c r="G121" i="22"/>
  <c r="I121" i="22"/>
  <c r="L121" i="22"/>
  <c r="G9" i="22"/>
  <c r="I9" i="22"/>
  <c r="L9" i="22"/>
  <c r="G13" i="22"/>
  <c r="G6" i="22"/>
  <c r="I6" i="22"/>
  <c r="L6" i="22"/>
  <c r="G14" i="22"/>
  <c r="I14" i="22"/>
  <c r="L14" i="22"/>
  <c r="G17" i="22"/>
  <c r="I17" i="22"/>
  <c r="L17" i="22"/>
  <c r="G15" i="22"/>
  <c r="I15" i="22"/>
  <c r="G19" i="22"/>
  <c r="I19" i="22"/>
  <c r="L19" i="22"/>
  <c r="G18" i="22"/>
  <c r="I18" i="22"/>
  <c r="L18" i="22"/>
  <c r="G10" i="22"/>
  <c r="I10" i="22"/>
  <c r="L10" i="22"/>
  <c r="G20" i="22"/>
  <c r="I20" i="22"/>
  <c r="L20" i="22"/>
  <c r="G21" i="22"/>
  <c r="I21" i="22"/>
  <c r="L21" i="22"/>
  <c r="G25" i="22"/>
  <c r="I25" i="22"/>
  <c r="L25" i="22"/>
  <c r="G22" i="22"/>
  <c r="I22" i="22"/>
  <c r="L22" i="22"/>
  <c r="G26" i="22"/>
  <c r="I26" i="22"/>
  <c r="L26" i="22"/>
  <c r="G8" i="22"/>
  <c r="I8" i="22"/>
  <c r="L8" i="22"/>
  <c r="G29" i="22"/>
  <c r="I29" i="22"/>
  <c r="L29" i="22"/>
  <c r="G31" i="22"/>
  <c r="I31" i="22"/>
  <c r="L31" i="22"/>
  <c r="G28" i="22"/>
  <c r="I28" i="22"/>
  <c r="L28" i="22"/>
  <c r="G35" i="22"/>
  <c r="I35" i="22"/>
  <c r="L35" i="22"/>
  <c r="G3" i="22"/>
  <c r="I3" i="22"/>
  <c r="L3" i="22"/>
  <c r="G33" i="22"/>
  <c r="I33" i="22"/>
  <c r="L33" i="22"/>
  <c r="G12" i="22"/>
  <c r="I12" i="22"/>
  <c r="L12" i="22"/>
  <c r="G32" i="22"/>
  <c r="I32" i="22"/>
  <c r="L32" i="22"/>
  <c r="G30" i="22"/>
  <c r="I30" i="22"/>
  <c r="L30" i="22"/>
  <c r="G36" i="22"/>
  <c r="I36" i="22"/>
  <c r="L36" i="22"/>
  <c r="G39" i="22"/>
  <c r="I39" i="22"/>
  <c r="L39" i="22"/>
  <c r="G5" i="22"/>
  <c r="I5" i="22"/>
  <c r="L5" i="22"/>
  <c r="G4" i="22"/>
  <c r="I4" i="22"/>
  <c r="L4" i="22"/>
  <c r="G7" i="22"/>
  <c r="I7" i="22"/>
  <c r="L7" i="22"/>
  <c r="G11" i="22"/>
  <c r="I11" i="22"/>
  <c r="L11" i="22"/>
  <c r="G40" i="22"/>
  <c r="I40" i="22"/>
  <c r="L40" i="22"/>
  <c r="G41" i="22"/>
  <c r="I41" i="22"/>
  <c r="L41" i="22"/>
  <c r="G43" i="22"/>
  <c r="I43" i="22"/>
  <c r="L43" i="22"/>
  <c r="A43" i="22"/>
  <c r="A41" i="22"/>
  <c r="A40" i="22"/>
  <c r="A11" i="22"/>
  <c r="A7" i="22"/>
  <c r="A4" i="22"/>
  <c r="A5" i="22"/>
  <c r="A39" i="22"/>
  <c r="A36" i="22"/>
  <c r="A30" i="22"/>
  <c r="A32" i="22"/>
  <c r="A12" i="22"/>
  <c r="A33" i="22"/>
  <c r="A3" i="22"/>
  <c r="A35" i="22"/>
  <c r="A28" i="22"/>
  <c r="A31" i="22"/>
  <c r="A29" i="22"/>
  <c r="A8" i="22"/>
  <c r="A26" i="22"/>
  <c r="A22" i="22"/>
  <c r="A25" i="22"/>
  <c r="A21" i="22"/>
  <c r="A20" i="22"/>
  <c r="A10" i="22"/>
  <c r="A18" i="22"/>
  <c r="A19" i="22"/>
  <c r="A15" i="22"/>
  <c r="A17" i="22"/>
  <c r="A14" i="22"/>
  <c r="A6" i="22"/>
  <c r="A13" i="22"/>
  <c r="A9" i="22"/>
  <c r="A121" i="22"/>
  <c r="A120" i="22"/>
  <c r="A119" i="22"/>
  <c r="A118" i="22"/>
  <c r="A117" i="22"/>
  <c r="A116" i="22"/>
  <c r="A115" i="22"/>
  <c r="A114" i="22"/>
  <c r="A113" i="22"/>
  <c r="A112" i="22"/>
  <c r="A111" i="22"/>
  <c r="A110" i="22"/>
  <c r="A109" i="22"/>
  <c r="A108" i="22"/>
  <c r="A107" i="22"/>
  <c r="A106" i="22"/>
  <c r="A105" i="22"/>
  <c r="A104" i="22"/>
  <c r="A103" i="22"/>
  <c r="A102" i="22"/>
  <c r="A101" i="22"/>
  <c r="A100" i="22"/>
  <c r="A99" i="22"/>
  <c r="A98" i="22"/>
  <c r="A97" i="22"/>
  <c r="A96" i="22"/>
  <c r="A95" i="22"/>
  <c r="A94" i="22"/>
  <c r="A93" i="22"/>
  <c r="A92" i="22"/>
  <c r="A91" i="22"/>
  <c r="A90" i="22"/>
  <c r="A89" i="22"/>
  <c r="A88" i="22"/>
  <c r="A87" i="22"/>
  <c r="A86" i="22"/>
  <c r="A85" i="22"/>
  <c r="A84" i="22"/>
  <c r="A83" i="22"/>
  <c r="A82" i="22"/>
  <c r="A81" i="22"/>
  <c r="A80" i="22"/>
  <c r="A79" i="22"/>
  <c r="A78" i="22"/>
  <c r="A77" i="22"/>
  <c r="A76" i="22"/>
  <c r="A75" i="22"/>
  <c r="A74" i="22"/>
  <c r="A73" i="22"/>
  <c r="A72" i="22"/>
  <c r="A71" i="22"/>
  <c r="A70" i="22"/>
  <c r="A69" i="22"/>
  <c r="A68" i="22"/>
  <c r="A67" i="22"/>
  <c r="A66" i="22"/>
  <c r="A65" i="22"/>
  <c r="A64" i="22"/>
  <c r="A63" i="22"/>
  <c r="A62" i="22"/>
  <c r="A61" i="22"/>
  <c r="A60" i="22"/>
  <c r="A59" i="22"/>
  <c r="A58" i="22"/>
  <c r="A57" i="22"/>
  <c r="A56" i="22"/>
  <c r="A55" i="22"/>
  <c r="A54" i="22"/>
  <c r="A53" i="22"/>
  <c r="A52" i="22"/>
  <c r="A51" i="22"/>
  <c r="A50" i="22"/>
  <c r="A49" i="22"/>
  <c r="A48" i="22"/>
  <c r="A47" i="22"/>
  <c r="A46" i="22"/>
  <c r="A45" i="22"/>
  <c r="A44" i="22"/>
  <c r="A24" i="22"/>
  <c r="A23" i="22"/>
  <c r="A27" i="22"/>
  <c r="A34" i="22"/>
  <c r="A42" i="22"/>
  <c r="A16" i="22"/>
  <c r="A38" i="22"/>
  <c r="AK3" i="22"/>
  <c r="AH3" i="22"/>
  <c r="AF3" i="22"/>
  <c r="AK31" i="22"/>
  <c r="AK27" i="22"/>
  <c r="AK23" i="22"/>
  <c r="AK19" i="22"/>
  <c r="AK15" i="22"/>
  <c r="AK11" i="22"/>
  <c r="AK7" i="22"/>
  <c r="C99" i="25" l="1"/>
  <c r="E53" i="25"/>
  <c r="E54" i="25"/>
  <c r="E55" i="25"/>
  <c r="E56" i="25"/>
  <c r="E57" i="25"/>
  <c r="E58" i="25"/>
  <c r="E59" i="25"/>
  <c r="E60" i="25"/>
  <c r="E61" i="25"/>
  <c r="E62" i="25"/>
  <c r="E63" i="25"/>
  <c r="E64" i="25"/>
  <c r="E65" i="25"/>
  <c r="E66" i="25"/>
  <c r="D47" i="25"/>
  <c r="D48" i="25"/>
  <c r="D49" i="25"/>
  <c r="D50" i="25"/>
  <c r="D51" i="25"/>
  <c r="D59" i="36"/>
  <c r="D9" i="36"/>
  <c r="B3" i="17"/>
  <c r="G6" i="16"/>
  <c r="B11" i="16"/>
  <c r="Q14" i="16"/>
  <c r="B4" i="16"/>
  <c r="G4" i="16"/>
  <c r="L4" i="16"/>
  <c r="Q4" i="16"/>
  <c r="B5" i="16"/>
  <c r="G5" i="16"/>
  <c r="L5" i="16"/>
  <c r="Q5" i="16"/>
  <c r="B6" i="16"/>
  <c r="L6" i="16"/>
  <c r="Q6" i="16"/>
  <c r="B7" i="16"/>
  <c r="G7" i="16"/>
  <c r="L7" i="16"/>
  <c r="Q7" i="16"/>
  <c r="B8" i="16"/>
  <c r="G8" i="16"/>
  <c r="L8" i="16"/>
  <c r="Q8" i="16"/>
  <c r="B9" i="16"/>
  <c r="G9" i="16"/>
  <c r="L9" i="16"/>
  <c r="Q9" i="16"/>
  <c r="B10" i="16"/>
  <c r="G10" i="16"/>
  <c r="L10" i="16"/>
  <c r="Q10" i="16"/>
  <c r="G11" i="16"/>
  <c r="L11" i="16"/>
  <c r="Q11" i="16"/>
  <c r="B12" i="16"/>
  <c r="G12" i="16"/>
  <c r="L12" i="16"/>
  <c r="Q12" i="16"/>
  <c r="B13" i="16"/>
  <c r="G13" i="16"/>
  <c r="L13" i="16"/>
  <c r="Q13" i="16"/>
  <c r="B14" i="16"/>
  <c r="G14" i="16"/>
  <c r="L14" i="16"/>
  <c r="B15" i="16"/>
  <c r="G15" i="16"/>
  <c r="L15" i="16"/>
  <c r="Q15" i="16"/>
  <c r="B16" i="16"/>
  <c r="G16" i="16"/>
  <c r="L16" i="16"/>
  <c r="Q16" i="16"/>
  <c r="B17" i="16"/>
  <c r="G17" i="16"/>
  <c r="L17" i="16"/>
  <c r="Q17" i="16"/>
  <c r="B18" i="16"/>
  <c r="G18" i="16"/>
  <c r="L18" i="16"/>
  <c r="Q18" i="16"/>
  <c r="B19" i="16"/>
  <c r="G19" i="16"/>
  <c r="L19" i="16"/>
  <c r="Q19" i="16"/>
  <c r="B20" i="16"/>
  <c r="G20" i="16"/>
  <c r="L20" i="16"/>
  <c r="Q20" i="16"/>
  <c r="B21" i="16"/>
  <c r="G21" i="16"/>
  <c r="L21" i="16"/>
  <c r="Q21" i="16"/>
  <c r="B22" i="16"/>
  <c r="G22" i="16"/>
  <c r="L22" i="16"/>
  <c r="Q22" i="16"/>
  <c r="B23" i="16"/>
  <c r="G23" i="16"/>
  <c r="L23" i="16"/>
  <c r="Q23" i="16"/>
  <c r="B24" i="16"/>
  <c r="G24" i="16"/>
  <c r="L24" i="16"/>
  <c r="Q24" i="16"/>
  <c r="B25" i="16"/>
  <c r="G25" i="16"/>
  <c r="L25" i="16"/>
  <c r="Q25" i="16"/>
  <c r="B26" i="16"/>
  <c r="G26" i="16"/>
  <c r="L26" i="16"/>
  <c r="Q26" i="16"/>
  <c r="B27" i="16"/>
  <c r="G27" i="16"/>
  <c r="L27" i="16"/>
  <c r="Q27" i="16"/>
  <c r="B28" i="16"/>
  <c r="G28" i="16"/>
  <c r="L28" i="16"/>
  <c r="Q28" i="16"/>
  <c r="B29" i="16"/>
  <c r="G29" i="16"/>
  <c r="L29" i="16"/>
  <c r="Q29" i="16"/>
  <c r="B30" i="16"/>
  <c r="G30" i="16"/>
  <c r="L30" i="16"/>
  <c r="Q30" i="16"/>
  <c r="B31" i="16"/>
  <c r="G31" i="16"/>
  <c r="L31" i="16"/>
  <c r="Q31" i="16"/>
  <c r="B32" i="16"/>
  <c r="G32" i="16"/>
  <c r="L32" i="16"/>
  <c r="Q32" i="16"/>
  <c r="B33" i="16"/>
  <c r="G33" i="16"/>
  <c r="L33" i="16"/>
  <c r="Q33" i="16"/>
  <c r="B34" i="16"/>
  <c r="G34" i="16"/>
  <c r="L34" i="16"/>
  <c r="Q34" i="16"/>
  <c r="B35" i="16"/>
  <c r="G35" i="16"/>
  <c r="L35" i="16"/>
  <c r="Q35" i="16"/>
  <c r="B36" i="16"/>
  <c r="G36" i="16"/>
  <c r="L36" i="16"/>
  <c r="Q36" i="16"/>
  <c r="B37" i="16"/>
  <c r="G37" i="16"/>
  <c r="L37" i="16"/>
  <c r="Q37" i="16"/>
  <c r="B38" i="16"/>
  <c r="G38" i="16"/>
  <c r="L38" i="16"/>
  <c r="Q38" i="16"/>
  <c r="B39" i="16"/>
  <c r="G39" i="16"/>
  <c r="L39" i="16"/>
  <c r="Q39" i="16"/>
  <c r="B40" i="16"/>
  <c r="G40" i="16"/>
  <c r="L40" i="16"/>
  <c r="Q40" i="16"/>
  <c r="B41" i="16"/>
  <c r="G41" i="16"/>
  <c r="L41" i="16"/>
  <c r="Q41" i="16"/>
  <c r="B42" i="16"/>
  <c r="G42" i="16"/>
  <c r="L42" i="16"/>
  <c r="Q42" i="16"/>
  <c r="B43" i="16"/>
  <c r="G43" i="16"/>
  <c r="L43" i="16"/>
  <c r="Q43" i="16"/>
  <c r="B44" i="16"/>
  <c r="G44" i="16"/>
  <c r="L44" i="16"/>
  <c r="Q44" i="16"/>
  <c r="B45" i="16"/>
  <c r="G45" i="16"/>
  <c r="L45" i="16"/>
  <c r="Q45" i="16"/>
  <c r="B46" i="16"/>
  <c r="G46" i="16"/>
  <c r="L46" i="16"/>
  <c r="Q46" i="16"/>
  <c r="B47" i="16"/>
  <c r="G47" i="16"/>
  <c r="L47" i="16"/>
  <c r="Q47" i="16"/>
  <c r="B48" i="16"/>
  <c r="G48" i="16"/>
  <c r="L48" i="16"/>
  <c r="Q48" i="16"/>
  <c r="B49" i="16"/>
  <c r="G49" i="16"/>
  <c r="L49" i="16"/>
  <c r="Q49" i="16"/>
  <c r="B50" i="16"/>
  <c r="G50" i="16"/>
  <c r="L50" i="16"/>
  <c r="Q50" i="16"/>
  <c r="B51" i="16"/>
  <c r="G51" i="16"/>
  <c r="L51" i="16"/>
  <c r="Q51" i="16"/>
  <c r="B52" i="16"/>
  <c r="G52" i="16"/>
  <c r="L52" i="16"/>
  <c r="Q52" i="16"/>
  <c r="B53" i="16"/>
  <c r="G53" i="16"/>
  <c r="L53" i="16"/>
  <c r="Q53" i="16"/>
  <c r="B54" i="16"/>
  <c r="G54" i="16"/>
  <c r="L54" i="16"/>
  <c r="Q54" i="16"/>
  <c r="B55" i="16"/>
  <c r="G55" i="16"/>
  <c r="L55" i="16"/>
  <c r="Q55" i="16"/>
  <c r="B56" i="16"/>
  <c r="G56" i="16"/>
  <c r="L56" i="16"/>
  <c r="Q56" i="16"/>
  <c r="B57" i="16"/>
  <c r="G57" i="16"/>
  <c r="L57" i="16"/>
  <c r="Q57" i="16"/>
  <c r="B58" i="16"/>
  <c r="G58" i="16"/>
  <c r="L58" i="16"/>
  <c r="Q58" i="16"/>
  <c r="B59" i="16"/>
  <c r="G59" i="16"/>
  <c r="L59" i="16"/>
  <c r="Q59" i="16"/>
  <c r="B60" i="16"/>
  <c r="G60" i="16"/>
  <c r="L60" i="16"/>
  <c r="Q60" i="16"/>
  <c r="B61" i="16"/>
  <c r="G61" i="16"/>
  <c r="L61" i="16"/>
  <c r="Q61" i="16"/>
  <c r="B62" i="16"/>
  <c r="G62" i="16"/>
  <c r="L62" i="16"/>
  <c r="Q62" i="16"/>
  <c r="B63" i="16"/>
  <c r="G63" i="16"/>
  <c r="L63" i="16"/>
  <c r="Q63" i="16"/>
  <c r="B64" i="16"/>
  <c r="G64" i="16"/>
  <c r="L64" i="16"/>
  <c r="Q64" i="16"/>
  <c r="B65" i="16"/>
  <c r="G65" i="16"/>
  <c r="L65" i="16"/>
  <c r="Q65" i="16"/>
  <c r="B66" i="16"/>
  <c r="G66" i="16"/>
  <c r="L66" i="16"/>
  <c r="Q66" i="16"/>
  <c r="B67" i="16"/>
  <c r="G67" i="16"/>
  <c r="L67" i="16"/>
  <c r="Q67" i="16"/>
  <c r="B68" i="16"/>
  <c r="G68" i="16"/>
  <c r="L68" i="16"/>
  <c r="Q68" i="16"/>
  <c r="B69" i="16"/>
  <c r="G69" i="16"/>
  <c r="L69" i="16"/>
  <c r="Q69" i="16"/>
  <c r="B70" i="16"/>
  <c r="G70" i="16"/>
  <c r="L70" i="16"/>
  <c r="Q70" i="16"/>
  <c r="B71" i="16"/>
  <c r="G71" i="16"/>
  <c r="L71" i="16"/>
  <c r="Q71" i="16"/>
  <c r="B72" i="16"/>
  <c r="G72" i="16"/>
  <c r="L72" i="16"/>
  <c r="Q72" i="16"/>
  <c r="Q3" i="16"/>
  <c r="L3" i="16"/>
  <c r="G3" i="16"/>
  <c r="B3" i="16"/>
  <c r="D46" i="36"/>
  <c r="D31" i="36"/>
  <c r="E26" i="36"/>
  <c r="F5" i="36"/>
  <c r="D42" i="36"/>
  <c r="D34" i="36"/>
  <c r="E27" i="36"/>
  <c r="E10" i="36"/>
  <c r="D43" i="36"/>
  <c r="D5" i="36"/>
  <c r="D48" i="36"/>
  <c r="D11" i="36"/>
  <c r="D124" i="36"/>
  <c r="D15" i="36"/>
  <c r="D33" i="36"/>
  <c r="D14" i="36"/>
  <c r="D57" i="36"/>
  <c r="D41" i="36"/>
  <c r="D19" i="36"/>
  <c r="D26" i="36"/>
  <c r="D55" i="36"/>
  <c r="D25" i="36"/>
  <c r="D35" i="36"/>
  <c r="D58" i="36"/>
  <c r="D70" i="36"/>
  <c r="D73" i="36"/>
  <c r="D76" i="36"/>
  <c r="D82" i="36"/>
  <c r="D85" i="36"/>
  <c r="D88" i="36"/>
  <c r="D91" i="36"/>
  <c r="D94" i="36"/>
  <c r="D97" i="36"/>
  <c r="D100" i="36"/>
  <c r="D103" i="36"/>
  <c r="D108" i="36"/>
  <c r="D109" i="36"/>
  <c r="D110" i="36"/>
  <c r="D111" i="36"/>
  <c r="D112" i="36"/>
  <c r="D113" i="36"/>
  <c r="D114" i="36"/>
  <c r="D115" i="36"/>
  <c r="D117" i="36"/>
  <c r="D118" i="36"/>
  <c r="D119" i="36"/>
  <c r="D120" i="36"/>
  <c r="D121" i="36"/>
  <c r="D122" i="36"/>
  <c r="D123" i="36"/>
  <c r="D30" i="17"/>
  <c r="C30" i="17"/>
  <c r="D22" i="36"/>
  <c r="D29" i="36"/>
  <c r="D8" i="36"/>
  <c r="D50" i="36"/>
  <c r="D52" i="36"/>
  <c r="D61" i="36"/>
  <c r="D37" i="36"/>
  <c r="D67" i="36"/>
  <c r="E24" i="17"/>
  <c r="C27" i="17"/>
  <c r="D28" i="36"/>
  <c r="D63" i="36"/>
  <c r="D56" i="36"/>
  <c r="D64" i="36"/>
  <c r="D18" i="36"/>
  <c r="D53" i="36"/>
  <c r="D45" i="36"/>
  <c r="D17" i="36"/>
  <c r="D30" i="36"/>
  <c r="D62" i="36"/>
  <c r="D60" i="36"/>
  <c r="D47" i="36"/>
  <c r="D49" i="36"/>
  <c r="D54" i="36"/>
  <c r="D10" i="36"/>
  <c r="L63" i="36" s="1"/>
  <c r="D66" i="36"/>
  <c r="D69" i="36"/>
  <c r="D71" i="36"/>
  <c r="D72" i="36"/>
  <c r="D74" i="36"/>
  <c r="D75" i="36"/>
  <c r="D77" i="36"/>
  <c r="D78" i="36"/>
  <c r="D80" i="36"/>
  <c r="D81" i="36"/>
  <c r="D83" i="36"/>
  <c r="D84" i="36"/>
  <c r="D86" i="36"/>
  <c r="D87" i="36"/>
  <c r="D89" i="36"/>
  <c r="D90" i="36"/>
  <c r="D92" i="36"/>
  <c r="D93" i="36"/>
  <c r="D95" i="36"/>
  <c r="D96" i="36"/>
  <c r="D98" i="36"/>
  <c r="D99" i="36"/>
  <c r="D101" i="36"/>
  <c r="D102" i="36"/>
  <c r="D104" i="36"/>
  <c r="D105" i="36"/>
  <c r="D107" i="36"/>
  <c r="D36" i="36"/>
  <c r="D38" i="36"/>
  <c r="D7" i="36"/>
  <c r="D32" i="36"/>
  <c r="D21" i="36"/>
  <c r="D44" i="36"/>
  <c r="D39" i="36"/>
  <c r="D40" i="36"/>
  <c r="D6" i="36"/>
  <c r="D12" i="36"/>
  <c r="D51" i="36"/>
  <c r="D16" i="36"/>
  <c r="D23" i="36"/>
  <c r="D27" i="36"/>
  <c r="D65" i="36"/>
  <c r="D68" i="36"/>
  <c r="E40" i="35"/>
  <c r="L61" i="36"/>
  <c r="E24" i="36"/>
  <c r="L3" i="17"/>
  <c r="Q9" i="17"/>
  <c r="B16" i="17"/>
  <c r="G3" i="17"/>
  <c r="L6" i="17"/>
  <c r="Q12" i="17"/>
  <c r="B8" i="17"/>
  <c r="G11" i="17"/>
  <c r="L9" i="17"/>
  <c r="Q4" i="17"/>
  <c r="B5" i="17"/>
  <c r="G15" i="17"/>
  <c r="L13" i="17"/>
  <c r="Q10" i="17"/>
  <c r="B10" i="17"/>
  <c r="G10" i="17"/>
  <c r="L14" i="17"/>
  <c r="Q6" i="17"/>
  <c r="B15" i="17"/>
  <c r="G4" i="17"/>
  <c r="L4" i="17"/>
  <c r="Q14" i="17"/>
  <c r="B6" i="17"/>
  <c r="G6" i="17"/>
  <c r="L8" i="17"/>
  <c r="Q13" i="17"/>
  <c r="B13" i="17"/>
  <c r="G13" i="17"/>
  <c r="L10" i="17"/>
  <c r="Q5" i="17"/>
  <c r="B14" i="17"/>
  <c r="G12" i="17"/>
  <c r="L7" i="17"/>
  <c r="Q16" i="17"/>
  <c r="B11" i="17"/>
  <c r="G7" i="17"/>
  <c r="L15" i="17"/>
  <c r="Q7" i="17"/>
  <c r="G9" i="17"/>
  <c r="L16" i="17"/>
  <c r="Q15" i="17"/>
  <c r="B4" i="17"/>
  <c r="G16" i="17"/>
  <c r="L5" i="17"/>
  <c r="Q8" i="17"/>
  <c r="B7" i="17"/>
  <c r="G8" i="17"/>
  <c r="L12" i="17"/>
  <c r="Q11" i="17"/>
  <c r="B12" i="17"/>
  <c r="G14" i="17"/>
  <c r="L11" i="17"/>
  <c r="G5" i="17"/>
  <c r="B9" i="17"/>
  <c r="AJ36" i="22"/>
  <c r="AL36" i="22" s="1"/>
  <c r="C35" i="35"/>
  <c r="E35" i="35" s="1"/>
  <c r="C31" i="35"/>
  <c r="E31" i="35" s="1"/>
  <c r="AJ32" i="22"/>
  <c r="AL32" i="22" s="1"/>
  <c r="C11" i="35"/>
  <c r="E11" i="35" s="1"/>
  <c r="C24" i="35"/>
  <c r="AJ25" i="22"/>
  <c r="L5" i="36"/>
  <c r="L124" i="36"/>
  <c r="L39" i="36"/>
  <c r="L90" i="36"/>
  <c r="L55" i="36"/>
  <c r="L74" i="36"/>
  <c r="L27" i="36"/>
  <c r="L102" i="36"/>
  <c r="L48" i="36"/>
  <c r="L81" i="36"/>
  <c r="L36" i="36"/>
  <c r="L93" i="36"/>
  <c r="L13" i="36"/>
  <c r="L116" i="36"/>
  <c r="L28" i="36"/>
  <c r="L101" i="36"/>
  <c r="L26" i="36"/>
  <c r="L103" i="36"/>
  <c r="L6" i="36"/>
  <c r="L123" i="36"/>
  <c r="L58" i="36"/>
  <c r="L71" i="36"/>
  <c r="L14" i="36"/>
  <c r="L115" i="36"/>
  <c r="L49" i="36"/>
  <c r="L80" i="36"/>
  <c r="L50" i="36"/>
  <c r="L79" i="36"/>
  <c r="L17" i="36"/>
  <c r="L112" i="36"/>
  <c r="L7" i="36"/>
  <c r="L122" i="36"/>
  <c r="L32" i="36"/>
  <c r="L97" i="36"/>
  <c r="L40" i="36"/>
  <c r="L89" i="36"/>
  <c r="L42" i="36"/>
  <c r="L87" i="36"/>
  <c r="L41" i="36"/>
  <c r="L88" i="36"/>
  <c r="L60" i="36"/>
  <c r="L69" i="36"/>
  <c r="L43" i="36"/>
  <c r="L86" i="36"/>
  <c r="L16" i="36"/>
  <c r="L113" i="36"/>
  <c r="L59" i="36"/>
  <c r="L70" i="36"/>
  <c r="L29" i="36"/>
  <c r="L100" i="36"/>
  <c r="L46" i="36"/>
  <c r="L83" i="36"/>
  <c r="L54" i="36"/>
  <c r="L75" i="36"/>
  <c r="L53" i="36"/>
  <c r="L76" i="36"/>
  <c r="L57" i="36"/>
  <c r="L72" i="36"/>
  <c r="L10" i="36"/>
  <c r="L119" i="36"/>
  <c r="L22" i="36"/>
  <c r="L107" i="36"/>
  <c r="L11" i="36"/>
  <c r="L118" i="36"/>
  <c r="L37" i="36"/>
  <c r="L92" i="36"/>
  <c r="L8" i="36"/>
  <c r="L121" i="36"/>
  <c r="L23" i="36"/>
  <c r="L106" i="36"/>
  <c r="L56" i="36"/>
  <c r="L73" i="36"/>
  <c r="L18" i="36"/>
  <c r="L111" i="36"/>
  <c r="L52" i="36"/>
  <c r="L77" i="36"/>
  <c r="L31" i="36"/>
  <c r="L98" i="36"/>
  <c r="L15" i="36"/>
  <c r="L114" i="36"/>
  <c r="L44" i="36"/>
  <c r="L85" i="36"/>
  <c r="L47" i="36"/>
  <c r="L82" i="36"/>
  <c r="L45" i="36"/>
  <c r="L84" i="36"/>
  <c r="L34" i="36"/>
  <c r="L95" i="36"/>
  <c r="L9" i="36"/>
  <c r="L120" i="36"/>
  <c r="L19" i="36"/>
  <c r="L110" i="36"/>
  <c r="L25" i="36"/>
  <c r="L104" i="36"/>
  <c r="L35" i="36"/>
  <c r="L94" i="36"/>
  <c r="L30" i="36"/>
  <c r="L99" i="36"/>
  <c r="L38" i="36"/>
  <c r="L91" i="36"/>
  <c r="L33" i="36"/>
  <c r="L96" i="36"/>
  <c r="L51" i="36"/>
  <c r="L78" i="36"/>
  <c r="L12" i="36"/>
  <c r="L117" i="36"/>
  <c r="L24" i="36"/>
  <c r="L105" i="36"/>
  <c r="L21" i="36"/>
  <c r="L108" i="36"/>
  <c r="L20" i="36"/>
  <c r="L109" i="36"/>
  <c r="E32" i="36"/>
  <c r="E28" i="36"/>
  <c r="E35" i="36"/>
  <c r="E17" i="36"/>
  <c r="E30" i="36"/>
  <c r="E22" i="36"/>
  <c r="E38" i="36"/>
  <c r="E13" i="36"/>
  <c r="E5" i="36"/>
  <c r="E61" i="36"/>
  <c r="E56" i="36"/>
  <c r="E46" i="36"/>
  <c r="E14" i="36"/>
  <c r="E7" i="36"/>
  <c r="E11" i="36"/>
  <c r="E6" i="36"/>
  <c r="E49" i="36"/>
  <c r="E48" i="36"/>
  <c r="E62" i="36"/>
  <c r="E31" i="36"/>
  <c r="E37" i="36"/>
  <c r="E21" i="36"/>
  <c r="E12" i="36"/>
  <c r="E33" i="36"/>
  <c r="E57" i="36"/>
  <c r="E45" i="36"/>
  <c r="E50" i="36"/>
  <c r="E39" i="36"/>
  <c r="E9" i="36"/>
  <c r="E58" i="36"/>
  <c r="E29" i="36"/>
  <c r="E20" i="36"/>
  <c r="E25" i="36"/>
  <c r="E34" i="36"/>
  <c r="E36" i="36"/>
  <c r="E15" i="36"/>
  <c r="E44" i="36"/>
  <c r="E16" i="36"/>
  <c r="E19" i="36"/>
  <c r="E53" i="36"/>
  <c r="E63" i="36"/>
  <c r="E52" i="36"/>
  <c r="E51" i="36"/>
  <c r="E60" i="36"/>
  <c r="E43" i="36"/>
  <c r="E40" i="36"/>
  <c r="E23" i="36"/>
  <c r="E41" i="36"/>
  <c r="E18" i="36"/>
  <c r="E8" i="36"/>
  <c r="E42" i="36"/>
  <c r="E64" i="36"/>
  <c r="E59" i="36"/>
  <c r="E55" i="36"/>
  <c r="E47" i="36"/>
  <c r="E54" i="36"/>
  <c r="D3" i="16"/>
  <c r="AJ59" i="22"/>
  <c r="AL59" i="22" s="1"/>
  <c r="C58" i="35"/>
  <c r="E58" i="35" s="1"/>
  <c r="D47" i="35"/>
  <c r="AK48" i="22"/>
  <c r="D48" i="35"/>
  <c r="AK49" i="22"/>
  <c r="AJ58" i="22"/>
  <c r="AL58" i="22" s="1"/>
  <c r="C57" i="35"/>
  <c r="E57" i="35" s="1"/>
  <c r="AJ57" i="22"/>
  <c r="AL57" i="22" s="1"/>
  <c r="C56" i="35"/>
  <c r="E56" i="35" s="1"/>
  <c r="AJ56" i="22"/>
  <c r="AL56" i="22" s="1"/>
  <c r="C55" i="35"/>
  <c r="AJ54" i="22"/>
  <c r="AL54" i="22" s="1"/>
  <c r="C53" i="35"/>
  <c r="E53" i="35" s="1"/>
  <c r="AJ53" i="22"/>
  <c r="AL53" i="22" s="1"/>
  <c r="C52" i="35"/>
  <c r="E52" i="35" s="1"/>
  <c r="AJ52" i="22"/>
  <c r="AL52" i="22" s="1"/>
  <c r="C51" i="35"/>
  <c r="E51" i="35" s="1"/>
  <c r="AK4" i="22"/>
  <c r="D3" i="35"/>
  <c r="AK5" i="22"/>
  <c r="D4" i="35"/>
  <c r="E4" i="35" s="1"/>
  <c r="AK6" i="22"/>
  <c r="D5" i="35"/>
  <c r="AK8" i="22"/>
  <c r="D7" i="35"/>
  <c r="E7" i="35" s="1"/>
  <c r="AK9" i="22"/>
  <c r="D8" i="35"/>
  <c r="E8" i="35" s="1"/>
  <c r="AK10" i="22"/>
  <c r="D9" i="35"/>
  <c r="AK17" i="22"/>
  <c r="D16" i="35"/>
  <c r="E16" i="35" s="1"/>
  <c r="AK21" i="22"/>
  <c r="D20" i="35"/>
  <c r="E20" i="35" s="1"/>
  <c r="AK22" i="22"/>
  <c r="D21" i="35"/>
  <c r="E21" i="35" s="1"/>
  <c r="AK25" i="22"/>
  <c r="AL25" i="22" s="1"/>
  <c r="D24" i="35"/>
  <c r="E24" i="35" s="1"/>
  <c r="AK26" i="22"/>
  <c r="D25" i="35"/>
  <c r="E25" i="35" s="1"/>
  <c r="AK28" i="22"/>
  <c r="D27" i="35"/>
  <c r="E27" i="35" s="1"/>
  <c r="AK29" i="22"/>
  <c r="D28" i="35"/>
  <c r="E28" i="35" s="1"/>
  <c r="AK30" i="22"/>
  <c r="D29" i="35"/>
  <c r="E29" i="35" s="1"/>
  <c r="E3" i="35"/>
  <c r="E9" i="35"/>
  <c r="E12" i="35"/>
  <c r="E13" i="35"/>
  <c r="E15" i="35"/>
  <c r="E19" i="35"/>
  <c r="AJ40" i="22"/>
  <c r="AL40" i="22" s="1"/>
  <c r="C39" i="35"/>
  <c r="E39" i="35" s="1"/>
  <c r="AJ42" i="22"/>
  <c r="AL42" i="22" s="1"/>
  <c r="C41" i="35"/>
  <c r="E41" i="35" s="1"/>
  <c r="AJ44" i="22"/>
  <c r="C43" i="35"/>
  <c r="AJ45" i="22"/>
  <c r="C44" i="35"/>
  <c r="AJ46" i="22"/>
  <c r="AL46" i="22" s="1"/>
  <c r="C45" i="35"/>
  <c r="E45" i="35" s="1"/>
  <c r="AJ48" i="22"/>
  <c r="AL48" i="22" s="1"/>
  <c r="C47" i="35"/>
  <c r="AJ49" i="22"/>
  <c r="AL49" i="22" s="1"/>
  <c r="C48" i="35"/>
  <c r="AJ50" i="22"/>
  <c r="AL50" i="22" s="1"/>
  <c r="C49" i="35"/>
  <c r="E49" i="35" s="1"/>
  <c r="AK24" i="22"/>
  <c r="D23" i="35"/>
  <c r="E23" i="35" s="1"/>
  <c r="AK44" i="22"/>
  <c r="D43" i="35"/>
  <c r="AK45" i="22"/>
  <c r="D44" i="35"/>
  <c r="AK47" i="22"/>
  <c r="D46" i="35"/>
  <c r="AJ37" i="22"/>
  <c r="AL37" i="22" s="1"/>
  <c r="C36" i="35"/>
  <c r="E36" i="35" s="1"/>
  <c r="AJ38" i="22"/>
  <c r="AL38" i="22" s="1"/>
  <c r="C37" i="35"/>
  <c r="E37" i="35" s="1"/>
  <c r="AJ34" i="22"/>
  <c r="AL34" i="22" s="1"/>
  <c r="C33" i="35"/>
  <c r="E33" i="35" s="1"/>
  <c r="AJ6" i="22"/>
  <c r="C5" i="35"/>
  <c r="AJ33" i="22"/>
  <c r="AL33" i="22" s="1"/>
  <c r="C32" i="35"/>
  <c r="E32" i="35" s="1"/>
  <c r="E150" i="35"/>
  <c r="E149" i="35"/>
  <c r="E148" i="35"/>
  <c r="E147" i="35"/>
  <c r="E146" i="35"/>
  <c r="E145" i="35"/>
  <c r="E144" i="35"/>
  <c r="E143" i="35"/>
  <c r="E142" i="35"/>
  <c r="E141" i="35"/>
  <c r="E140" i="35"/>
  <c r="E139" i="35"/>
  <c r="E138" i="35"/>
  <c r="E137" i="35"/>
  <c r="E136" i="35"/>
  <c r="E135" i="35"/>
  <c r="E134" i="35"/>
  <c r="E133" i="35"/>
  <c r="E132" i="35"/>
  <c r="E131" i="35"/>
  <c r="E130" i="35"/>
  <c r="E129" i="35"/>
  <c r="E128" i="35"/>
  <c r="E127" i="35"/>
  <c r="E126" i="35"/>
  <c r="E125" i="35"/>
  <c r="E124" i="35"/>
  <c r="E123" i="35"/>
  <c r="E122" i="35"/>
  <c r="E121" i="35"/>
  <c r="E120" i="35"/>
  <c r="E119" i="35"/>
  <c r="E118" i="35"/>
  <c r="E117" i="35"/>
  <c r="E116" i="35"/>
  <c r="E115" i="35"/>
  <c r="E114" i="35"/>
  <c r="E113" i="35"/>
  <c r="E112" i="35"/>
  <c r="E111" i="35"/>
  <c r="E110" i="35"/>
  <c r="E109" i="35"/>
  <c r="E108" i="35"/>
  <c r="E107" i="35"/>
  <c r="E106" i="35"/>
  <c r="E105" i="35"/>
  <c r="E104" i="35"/>
  <c r="E103" i="35"/>
  <c r="E102" i="35"/>
  <c r="E101" i="35"/>
  <c r="E100" i="35"/>
  <c r="E99" i="35"/>
  <c r="E98" i="35"/>
  <c r="E97" i="35"/>
  <c r="E96" i="35"/>
  <c r="E95" i="35"/>
  <c r="E94" i="35"/>
  <c r="E93" i="35"/>
  <c r="E92" i="35"/>
  <c r="E91" i="35"/>
  <c r="E90" i="35"/>
  <c r="E89" i="35"/>
  <c r="E88" i="35"/>
  <c r="E87" i="35"/>
  <c r="E86" i="35"/>
  <c r="E85" i="35"/>
  <c r="E84" i="35"/>
  <c r="E83" i="35"/>
  <c r="E82" i="35"/>
  <c r="E81" i="35"/>
  <c r="E80" i="35"/>
  <c r="E79" i="35"/>
  <c r="E78" i="35"/>
  <c r="E77" i="35"/>
  <c r="E76" i="35"/>
  <c r="E75" i="35"/>
  <c r="E74" i="35"/>
  <c r="E73" i="35"/>
  <c r="E72" i="35"/>
  <c r="E71" i="35"/>
  <c r="E70" i="35"/>
  <c r="E69" i="35"/>
  <c r="E68" i="35"/>
  <c r="E67" i="35"/>
  <c r="E66" i="35"/>
  <c r="E65" i="35"/>
  <c r="E64" i="35"/>
  <c r="E63" i="35"/>
  <c r="E62" i="35"/>
  <c r="E61" i="35"/>
  <c r="E60" i="35"/>
  <c r="E59" i="35"/>
  <c r="E55" i="35"/>
  <c r="AJ41" i="22"/>
  <c r="AL41" i="22" s="1"/>
  <c r="AJ4" i="22"/>
  <c r="AJ5" i="22"/>
  <c r="AJ8" i="22"/>
  <c r="AJ9" i="22"/>
  <c r="AL9" i="22" s="1"/>
  <c r="AJ10" i="22"/>
  <c r="AL10" i="22" s="1"/>
  <c r="AJ16" i="22"/>
  <c r="AL16" i="22" s="1"/>
  <c r="AJ17" i="22"/>
  <c r="AJ18" i="22"/>
  <c r="AL18" i="22" s="1"/>
  <c r="AJ20" i="22"/>
  <c r="AL20" i="22" s="1"/>
  <c r="AJ21" i="22"/>
  <c r="AL21" i="22" s="1"/>
  <c r="AJ22" i="22"/>
  <c r="AL22" i="22" s="1"/>
  <c r="AJ24" i="22"/>
  <c r="AL24" i="22" s="1"/>
  <c r="AJ26" i="22"/>
  <c r="AJ28" i="22"/>
  <c r="AJ29" i="22"/>
  <c r="AL29" i="22" s="1"/>
  <c r="AJ30" i="22"/>
  <c r="AL30" i="22" s="1"/>
  <c r="A3" i="33"/>
  <c r="AL4" i="22"/>
  <c r="AL5" i="22"/>
  <c r="AL8" i="22"/>
  <c r="AL17" i="22"/>
  <c r="AL26" i="22"/>
  <c r="AL28" i="22"/>
  <c r="AL14" i="22"/>
  <c r="AL13" i="22"/>
  <c r="AL12" i="22"/>
  <c r="B3" i="25" l="1" a="1"/>
  <c r="L62" i="36"/>
  <c r="L64" i="36"/>
  <c r="T14" i="16"/>
  <c r="R14" i="16"/>
  <c r="S14" i="16"/>
  <c r="E11" i="16"/>
  <c r="C11" i="16"/>
  <c r="D11" i="16"/>
  <c r="J6" i="16"/>
  <c r="H6" i="16"/>
  <c r="I6" i="16"/>
  <c r="C3" i="16"/>
  <c r="E3" i="16"/>
  <c r="H3" i="16"/>
  <c r="J3" i="16"/>
  <c r="M3" i="16"/>
  <c r="O3" i="16"/>
  <c r="R3" i="16"/>
  <c r="T3" i="16"/>
  <c r="T72" i="16"/>
  <c r="R72" i="16"/>
  <c r="S72" i="16"/>
  <c r="M72" i="16"/>
  <c r="N72" i="16"/>
  <c r="O72" i="16"/>
  <c r="J72" i="16"/>
  <c r="H72" i="16"/>
  <c r="I72" i="16"/>
  <c r="E72" i="16"/>
  <c r="C72" i="16"/>
  <c r="D72" i="16"/>
  <c r="T71" i="16"/>
  <c r="R71" i="16"/>
  <c r="S71" i="16"/>
  <c r="M71" i="16"/>
  <c r="N71" i="16"/>
  <c r="O71" i="16"/>
  <c r="J71" i="16"/>
  <c r="H71" i="16"/>
  <c r="I71" i="16"/>
  <c r="E71" i="16"/>
  <c r="C71" i="16"/>
  <c r="D71" i="16"/>
  <c r="T70" i="16"/>
  <c r="R70" i="16"/>
  <c r="S70" i="16"/>
  <c r="M70" i="16"/>
  <c r="N70" i="16"/>
  <c r="O70" i="16"/>
  <c r="J70" i="16"/>
  <c r="H70" i="16"/>
  <c r="I70" i="16"/>
  <c r="E70" i="16"/>
  <c r="C70" i="16"/>
  <c r="D70" i="16"/>
  <c r="T69" i="16"/>
  <c r="R69" i="16"/>
  <c r="S69" i="16"/>
  <c r="M69" i="16"/>
  <c r="N69" i="16"/>
  <c r="O69" i="16"/>
  <c r="J69" i="16"/>
  <c r="H69" i="16"/>
  <c r="I69" i="16"/>
  <c r="E69" i="16"/>
  <c r="C69" i="16"/>
  <c r="D69" i="16"/>
  <c r="T68" i="16"/>
  <c r="R68" i="16"/>
  <c r="S68" i="16"/>
  <c r="M68" i="16"/>
  <c r="N68" i="16"/>
  <c r="O68" i="16"/>
  <c r="J68" i="16"/>
  <c r="H68" i="16"/>
  <c r="I68" i="16"/>
  <c r="E68" i="16"/>
  <c r="C68" i="16"/>
  <c r="D68" i="16"/>
  <c r="T67" i="16"/>
  <c r="R67" i="16"/>
  <c r="S67" i="16"/>
  <c r="M67" i="16"/>
  <c r="N67" i="16"/>
  <c r="O67" i="16"/>
  <c r="J67" i="16"/>
  <c r="H67" i="16"/>
  <c r="I67" i="16"/>
  <c r="E67" i="16"/>
  <c r="C67" i="16"/>
  <c r="D67" i="16"/>
  <c r="T66" i="16"/>
  <c r="R66" i="16"/>
  <c r="S66" i="16"/>
  <c r="M66" i="16"/>
  <c r="N66" i="16"/>
  <c r="O66" i="16"/>
  <c r="J66" i="16"/>
  <c r="H66" i="16"/>
  <c r="I66" i="16"/>
  <c r="E66" i="16"/>
  <c r="C66" i="16"/>
  <c r="D66" i="16"/>
  <c r="T65" i="16"/>
  <c r="R65" i="16"/>
  <c r="S65" i="16"/>
  <c r="O65" i="16"/>
  <c r="M65" i="16"/>
  <c r="N65" i="16"/>
  <c r="J65" i="16"/>
  <c r="H65" i="16"/>
  <c r="I65" i="16"/>
  <c r="E65" i="16"/>
  <c r="C65" i="16"/>
  <c r="D65" i="16"/>
  <c r="T64" i="16"/>
  <c r="R64" i="16"/>
  <c r="S64" i="16"/>
  <c r="O64" i="16"/>
  <c r="M64" i="16"/>
  <c r="N64" i="16"/>
  <c r="J64" i="16"/>
  <c r="H64" i="16"/>
  <c r="I64" i="16"/>
  <c r="E64" i="16"/>
  <c r="C64" i="16"/>
  <c r="D64" i="16"/>
  <c r="T63" i="16"/>
  <c r="R63" i="16"/>
  <c r="S63" i="16"/>
  <c r="O63" i="16"/>
  <c r="M63" i="16"/>
  <c r="N63" i="16"/>
  <c r="J63" i="16"/>
  <c r="H63" i="16"/>
  <c r="I63" i="16"/>
  <c r="E63" i="16"/>
  <c r="C63" i="16"/>
  <c r="D63" i="16"/>
  <c r="T62" i="16"/>
  <c r="R62" i="16"/>
  <c r="S62" i="16"/>
  <c r="O62" i="16"/>
  <c r="M62" i="16"/>
  <c r="N62" i="16"/>
  <c r="J62" i="16"/>
  <c r="H62" i="16"/>
  <c r="I62" i="16"/>
  <c r="E62" i="16"/>
  <c r="C62" i="16"/>
  <c r="D62" i="16"/>
  <c r="T61" i="16"/>
  <c r="R61" i="16"/>
  <c r="S61" i="16"/>
  <c r="O61" i="16"/>
  <c r="M61" i="16"/>
  <c r="N61" i="16"/>
  <c r="J61" i="16"/>
  <c r="H61" i="16"/>
  <c r="I61" i="16"/>
  <c r="E61" i="16"/>
  <c r="C61" i="16"/>
  <c r="D61" i="16"/>
  <c r="T60" i="16"/>
  <c r="R60" i="16"/>
  <c r="S60" i="16"/>
  <c r="O60" i="16"/>
  <c r="M60" i="16"/>
  <c r="N60" i="16"/>
  <c r="J60" i="16"/>
  <c r="H60" i="16"/>
  <c r="I60" i="16"/>
  <c r="E60" i="16"/>
  <c r="C60" i="16"/>
  <c r="D60" i="16"/>
  <c r="T59" i="16"/>
  <c r="R59" i="16"/>
  <c r="S59" i="16"/>
  <c r="O59" i="16"/>
  <c r="M59" i="16"/>
  <c r="N59" i="16"/>
  <c r="J59" i="16"/>
  <c r="H59" i="16"/>
  <c r="I59" i="16"/>
  <c r="E59" i="16"/>
  <c r="C59" i="16"/>
  <c r="D59" i="16"/>
  <c r="T58" i="16"/>
  <c r="R58" i="16"/>
  <c r="S58" i="16"/>
  <c r="O58" i="16"/>
  <c r="M58" i="16"/>
  <c r="N58" i="16"/>
  <c r="J58" i="16"/>
  <c r="H58" i="16"/>
  <c r="I58" i="16"/>
  <c r="E58" i="16"/>
  <c r="C58" i="16"/>
  <c r="D58" i="16"/>
  <c r="T57" i="16"/>
  <c r="R57" i="16"/>
  <c r="S57" i="16"/>
  <c r="O57" i="16"/>
  <c r="M57" i="16"/>
  <c r="N57" i="16"/>
  <c r="J57" i="16"/>
  <c r="H57" i="16"/>
  <c r="I57" i="16"/>
  <c r="E57" i="16"/>
  <c r="C57" i="16"/>
  <c r="D57" i="16"/>
  <c r="T56" i="16"/>
  <c r="R56" i="16"/>
  <c r="S56" i="16"/>
  <c r="O56" i="16"/>
  <c r="M56" i="16"/>
  <c r="N56" i="16"/>
  <c r="J56" i="16"/>
  <c r="H56" i="16"/>
  <c r="I56" i="16"/>
  <c r="E56" i="16"/>
  <c r="C56" i="16"/>
  <c r="D56" i="16"/>
  <c r="T55" i="16"/>
  <c r="R55" i="16"/>
  <c r="S55" i="16"/>
  <c r="O55" i="16"/>
  <c r="M55" i="16"/>
  <c r="N55" i="16"/>
  <c r="J55" i="16"/>
  <c r="H55" i="16"/>
  <c r="I55" i="16"/>
  <c r="E55" i="16"/>
  <c r="C55" i="16"/>
  <c r="D55" i="16"/>
  <c r="T54" i="16"/>
  <c r="R54" i="16"/>
  <c r="S54" i="16"/>
  <c r="O54" i="16"/>
  <c r="M54" i="16"/>
  <c r="N54" i="16"/>
  <c r="J54" i="16"/>
  <c r="H54" i="16"/>
  <c r="I54" i="16"/>
  <c r="E54" i="16"/>
  <c r="C54" i="16"/>
  <c r="D54" i="16"/>
  <c r="T53" i="16"/>
  <c r="R53" i="16"/>
  <c r="S53" i="16"/>
  <c r="O53" i="16"/>
  <c r="M53" i="16"/>
  <c r="N53" i="16"/>
  <c r="J53" i="16"/>
  <c r="H53" i="16"/>
  <c r="I53" i="16"/>
  <c r="E53" i="16"/>
  <c r="C53" i="16"/>
  <c r="D53" i="16"/>
  <c r="T52" i="16"/>
  <c r="R52" i="16"/>
  <c r="S52" i="16"/>
  <c r="O52" i="16"/>
  <c r="M52" i="16"/>
  <c r="N52" i="16"/>
  <c r="J52" i="16"/>
  <c r="H52" i="16"/>
  <c r="I52" i="16"/>
  <c r="E52" i="16"/>
  <c r="C52" i="16"/>
  <c r="D52" i="16"/>
  <c r="T51" i="16"/>
  <c r="R51" i="16"/>
  <c r="S51" i="16"/>
  <c r="O51" i="16"/>
  <c r="M51" i="16"/>
  <c r="N51" i="16"/>
  <c r="J51" i="16"/>
  <c r="H51" i="16"/>
  <c r="I51" i="16"/>
  <c r="E51" i="16"/>
  <c r="C51" i="16"/>
  <c r="D51" i="16"/>
  <c r="T50" i="16"/>
  <c r="R50" i="16"/>
  <c r="S50" i="16"/>
  <c r="O50" i="16"/>
  <c r="M50" i="16"/>
  <c r="N50" i="16"/>
  <c r="J50" i="16"/>
  <c r="H50" i="16"/>
  <c r="I50" i="16"/>
  <c r="E50" i="16"/>
  <c r="C50" i="16"/>
  <c r="D50" i="16"/>
  <c r="T49" i="16"/>
  <c r="R49" i="16"/>
  <c r="S49" i="16"/>
  <c r="O49" i="16"/>
  <c r="M49" i="16"/>
  <c r="N49" i="16"/>
  <c r="J49" i="16"/>
  <c r="H49" i="16"/>
  <c r="I49" i="16"/>
  <c r="E49" i="16"/>
  <c r="C49" i="16"/>
  <c r="D49" i="16"/>
  <c r="T48" i="16"/>
  <c r="R48" i="16"/>
  <c r="S48" i="16"/>
  <c r="O48" i="16"/>
  <c r="M48" i="16"/>
  <c r="N48" i="16"/>
  <c r="J48" i="16"/>
  <c r="H48" i="16"/>
  <c r="I48" i="16"/>
  <c r="E48" i="16"/>
  <c r="C48" i="16"/>
  <c r="D48" i="16"/>
  <c r="T47" i="16"/>
  <c r="R47" i="16"/>
  <c r="S47" i="16"/>
  <c r="O47" i="16"/>
  <c r="M47" i="16"/>
  <c r="N47" i="16"/>
  <c r="J47" i="16"/>
  <c r="H47" i="16"/>
  <c r="I47" i="16"/>
  <c r="E47" i="16"/>
  <c r="C47" i="16"/>
  <c r="D47" i="16"/>
  <c r="T46" i="16"/>
  <c r="R46" i="16"/>
  <c r="S46" i="16"/>
  <c r="O46" i="16"/>
  <c r="M46" i="16"/>
  <c r="N46" i="16"/>
  <c r="J46" i="16"/>
  <c r="H46" i="16"/>
  <c r="I46" i="16"/>
  <c r="E46" i="16"/>
  <c r="C46" i="16"/>
  <c r="D46" i="16"/>
  <c r="T45" i="16"/>
  <c r="R45" i="16"/>
  <c r="S45" i="16"/>
  <c r="O45" i="16"/>
  <c r="M45" i="16"/>
  <c r="N45" i="16"/>
  <c r="J45" i="16"/>
  <c r="H45" i="16"/>
  <c r="I45" i="16"/>
  <c r="E45" i="16"/>
  <c r="C45" i="16"/>
  <c r="D45" i="16"/>
  <c r="T44" i="16"/>
  <c r="R44" i="16"/>
  <c r="S44" i="16"/>
  <c r="O44" i="16"/>
  <c r="M44" i="16"/>
  <c r="N44" i="16"/>
  <c r="J44" i="16"/>
  <c r="H44" i="16"/>
  <c r="I44" i="16"/>
  <c r="E44" i="16"/>
  <c r="C44" i="16"/>
  <c r="D44" i="16"/>
  <c r="T43" i="16"/>
  <c r="R43" i="16"/>
  <c r="S43" i="16"/>
  <c r="O43" i="16"/>
  <c r="M43" i="16"/>
  <c r="N43" i="16"/>
  <c r="J43" i="16"/>
  <c r="H43" i="16"/>
  <c r="I43" i="16"/>
  <c r="E43" i="16"/>
  <c r="C43" i="16"/>
  <c r="D43" i="16"/>
  <c r="T42" i="16"/>
  <c r="R42" i="16"/>
  <c r="S42" i="16"/>
  <c r="O42" i="16"/>
  <c r="M42" i="16"/>
  <c r="N42" i="16"/>
  <c r="J42" i="16"/>
  <c r="H42" i="16"/>
  <c r="I42" i="16"/>
  <c r="E42" i="16"/>
  <c r="C42" i="16"/>
  <c r="D42" i="16"/>
  <c r="T41" i="16"/>
  <c r="R41" i="16"/>
  <c r="S41" i="16"/>
  <c r="O41" i="16"/>
  <c r="M41" i="16"/>
  <c r="N41" i="16"/>
  <c r="J41" i="16"/>
  <c r="H41" i="16"/>
  <c r="I41" i="16"/>
  <c r="E41" i="16"/>
  <c r="C41" i="16"/>
  <c r="D41" i="16"/>
  <c r="T40" i="16"/>
  <c r="R40" i="16"/>
  <c r="S40" i="16"/>
  <c r="O40" i="16"/>
  <c r="M40" i="16"/>
  <c r="N40" i="16"/>
  <c r="J40" i="16"/>
  <c r="H40" i="16"/>
  <c r="I40" i="16"/>
  <c r="E40" i="16"/>
  <c r="C40" i="16"/>
  <c r="D40" i="16"/>
  <c r="T39" i="16"/>
  <c r="R39" i="16"/>
  <c r="S39" i="16"/>
  <c r="O39" i="16"/>
  <c r="M39" i="16"/>
  <c r="N39" i="16"/>
  <c r="J39" i="16"/>
  <c r="H39" i="16"/>
  <c r="I39" i="16"/>
  <c r="E39" i="16"/>
  <c r="C39" i="16"/>
  <c r="D39" i="16"/>
  <c r="T38" i="16"/>
  <c r="R38" i="16"/>
  <c r="S38" i="16"/>
  <c r="O38" i="16"/>
  <c r="M38" i="16"/>
  <c r="N38" i="16"/>
  <c r="J38" i="16"/>
  <c r="H38" i="16"/>
  <c r="I38" i="16"/>
  <c r="E38" i="16"/>
  <c r="C38" i="16"/>
  <c r="D38" i="16"/>
  <c r="T37" i="16"/>
  <c r="R37" i="16"/>
  <c r="S37" i="16"/>
  <c r="O37" i="16"/>
  <c r="M37" i="16"/>
  <c r="N37" i="16"/>
  <c r="J37" i="16"/>
  <c r="H37" i="16"/>
  <c r="I37" i="16"/>
  <c r="E37" i="16"/>
  <c r="C37" i="16"/>
  <c r="D37" i="16"/>
  <c r="T36" i="16"/>
  <c r="R36" i="16"/>
  <c r="S36" i="16"/>
  <c r="O36" i="16"/>
  <c r="M36" i="16"/>
  <c r="N36" i="16"/>
  <c r="J36" i="16"/>
  <c r="H36" i="16"/>
  <c r="I36" i="16"/>
  <c r="E36" i="16"/>
  <c r="C36" i="16"/>
  <c r="D36" i="16"/>
  <c r="T35" i="16"/>
  <c r="R35" i="16"/>
  <c r="S35" i="16"/>
  <c r="O35" i="16"/>
  <c r="M35" i="16"/>
  <c r="N35" i="16"/>
  <c r="J35" i="16"/>
  <c r="H35" i="16"/>
  <c r="I35" i="16"/>
  <c r="E35" i="16"/>
  <c r="C35" i="16"/>
  <c r="D35" i="16"/>
  <c r="T34" i="16"/>
  <c r="R34" i="16"/>
  <c r="S34" i="16"/>
  <c r="O34" i="16"/>
  <c r="M34" i="16"/>
  <c r="N34" i="16"/>
  <c r="J34" i="16"/>
  <c r="H34" i="16"/>
  <c r="I34" i="16"/>
  <c r="E34" i="16"/>
  <c r="C34" i="16"/>
  <c r="D34" i="16"/>
  <c r="T33" i="16"/>
  <c r="R33" i="16"/>
  <c r="S33" i="16"/>
  <c r="O33" i="16"/>
  <c r="M33" i="16"/>
  <c r="N33" i="16"/>
  <c r="J33" i="16"/>
  <c r="H33" i="16"/>
  <c r="I33" i="16"/>
  <c r="E33" i="16"/>
  <c r="C33" i="16"/>
  <c r="D33" i="16"/>
  <c r="T32" i="16"/>
  <c r="R32" i="16"/>
  <c r="S32" i="16"/>
  <c r="O32" i="16"/>
  <c r="M32" i="16"/>
  <c r="N32" i="16"/>
  <c r="J32" i="16"/>
  <c r="H32" i="16"/>
  <c r="I32" i="16"/>
  <c r="E32" i="16"/>
  <c r="C32" i="16"/>
  <c r="D32" i="16"/>
  <c r="T31" i="16"/>
  <c r="R31" i="16"/>
  <c r="S31" i="16"/>
  <c r="O31" i="16"/>
  <c r="M31" i="16"/>
  <c r="N31" i="16"/>
  <c r="J31" i="16"/>
  <c r="H31" i="16"/>
  <c r="I31" i="16"/>
  <c r="E31" i="16"/>
  <c r="C31" i="16"/>
  <c r="D31" i="16"/>
  <c r="T30" i="16"/>
  <c r="R30" i="16"/>
  <c r="S30" i="16"/>
  <c r="O30" i="16"/>
  <c r="M30" i="16"/>
  <c r="N30" i="16"/>
  <c r="J30" i="16"/>
  <c r="H30" i="16"/>
  <c r="I30" i="16"/>
  <c r="E30" i="16"/>
  <c r="C30" i="16"/>
  <c r="D30" i="16"/>
  <c r="T29" i="16"/>
  <c r="R29" i="16"/>
  <c r="S29" i="16"/>
  <c r="O29" i="16"/>
  <c r="M29" i="16"/>
  <c r="N29" i="16"/>
  <c r="J29" i="16"/>
  <c r="H29" i="16"/>
  <c r="I29" i="16"/>
  <c r="E29" i="16"/>
  <c r="C29" i="16"/>
  <c r="D29" i="16"/>
  <c r="T28" i="16"/>
  <c r="R28" i="16"/>
  <c r="S28" i="16"/>
  <c r="O28" i="16"/>
  <c r="M28" i="16"/>
  <c r="N28" i="16"/>
  <c r="J28" i="16"/>
  <c r="H28" i="16"/>
  <c r="I28" i="16"/>
  <c r="E28" i="16"/>
  <c r="C28" i="16"/>
  <c r="D28" i="16"/>
  <c r="T27" i="16"/>
  <c r="R27" i="16"/>
  <c r="S27" i="16"/>
  <c r="O27" i="16"/>
  <c r="M27" i="16"/>
  <c r="N27" i="16"/>
  <c r="J27" i="16"/>
  <c r="H27" i="16"/>
  <c r="I27" i="16"/>
  <c r="E27" i="16"/>
  <c r="C27" i="16"/>
  <c r="D27" i="16"/>
  <c r="T26" i="16"/>
  <c r="R26" i="16"/>
  <c r="S26" i="16"/>
  <c r="O26" i="16"/>
  <c r="M26" i="16"/>
  <c r="N26" i="16"/>
  <c r="J26" i="16"/>
  <c r="H26" i="16"/>
  <c r="I26" i="16"/>
  <c r="E26" i="16"/>
  <c r="C26" i="16"/>
  <c r="D26" i="16"/>
  <c r="T25" i="16"/>
  <c r="R25" i="16"/>
  <c r="S25" i="16"/>
  <c r="O25" i="16"/>
  <c r="M25" i="16"/>
  <c r="N25" i="16"/>
  <c r="J25" i="16"/>
  <c r="H25" i="16"/>
  <c r="I25" i="16"/>
  <c r="E25" i="16"/>
  <c r="C25" i="16"/>
  <c r="D25" i="16"/>
  <c r="T24" i="16"/>
  <c r="R24" i="16"/>
  <c r="S24" i="16"/>
  <c r="O24" i="16"/>
  <c r="M24" i="16"/>
  <c r="N24" i="16"/>
  <c r="J24" i="16"/>
  <c r="H24" i="16"/>
  <c r="I24" i="16"/>
  <c r="E24" i="16"/>
  <c r="C24" i="16"/>
  <c r="D24" i="16"/>
  <c r="T23" i="16"/>
  <c r="R23" i="16"/>
  <c r="S23" i="16"/>
  <c r="O23" i="16"/>
  <c r="M23" i="16"/>
  <c r="N23" i="16"/>
  <c r="J23" i="16"/>
  <c r="H23" i="16"/>
  <c r="I23" i="16"/>
  <c r="E23" i="16"/>
  <c r="C23" i="16"/>
  <c r="D23" i="16"/>
  <c r="T22" i="16"/>
  <c r="R22" i="16"/>
  <c r="S22" i="16"/>
  <c r="O22" i="16"/>
  <c r="M22" i="16"/>
  <c r="N22" i="16"/>
  <c r="J22" i="16"/>
  <c r="H22" i="16"/>
  <c r="I22" i="16"/>
  <c r="E22" i="16"/>
  <c r="C22" i="16"/>
  <c r="D22" i="16"/>
  <c r="T21" i="16"/>
  <c r="R21" i="16"/>
  <c r="S21" i="16"/>
  <c r="O21" i="16"/>
  <c r="M21" i="16"/>
  <c r="N21" i="16"/>
  <c r="J21" i="16"/>
  <c r="H21" i="16"/>
  <c r="I21" i="16"/>
  <c r="E21" i="16"/>
  <c r="C21" i="16"/>
  <c r="D21" i="16"/>
  <c r="T20" i="16"/>
  <c r="R20" i="16"/>
  <c r="S20" i="16"/>
  <c r="O20" i="16"/>
  <c r="M20" i="16"/>
  <c r="N20" i="16"/>
  <c r="J20" i="16"/>
  <c r="H20" i="16"/>
  <c r="I20" i="16"/>
  <c r="E20" i="16"/>
  <c r="C20" i="16"/>
  <c r="D20" i="16"/>
  <c r="T19" i="16"/>
  <c r="R19" i="16"/>
  <c r="S19" i="16"/>
  <c r="O19" i="16"/>
  <c r="M19" i="16"/>
  <c r="N19" i="16"/>
  <c r="J19" i="16"/>
  <c r="H19" i="16"/>
  <c r="I19" i="16"/>
  <c r="E19" i="16"/>
  <c r="C19" i="16"/>
  <c r="D19" i="16"/>
  <c r="T18" i="16"/>
  <c r="R18" i="16"/>
  <c r="S18" i="16"/>
  <c r="O18" i="16"/>
  <c r="M18" i="16"/>
  <c r="N18" i="16"/>
  <c r="J18" i="16"/>
  <c r="H18" i="16"/>
  <c r="I18" i="16"/>
  <c r="E18" i="16"/>
  <c r="C18" i="16"/>
  <c r="D18" i="16"/>
  <c r="T17" i="16"/>
  <c r="R17" i="16"/>
  <c r="S17" i="16"/>
  <c r="O17" i="16"/>
  <c r="M17" i="16"/>
  <c r="N17" i="16"/>
  <c r="J17" i="16"/>
  <c r="H17" i="16"/>
  <c r="I17" i="16"/>
  <c r="E17" i="16"/>
  <c r="C17" i="16"/>
  <c r="D17" i="16"/>
  <c r="T16" i="16"/>
  <c r="R16" i="16"/>
  <c r="S16" i="16"/>
  <c r="O16" i="16"/>
  <c r="M16" i="16"/>
  <c r="N16" i="16"/>
  <c r="J16" i="16"/>
  <c r="H16" i="16"/>
  <c r="I16" i="16"/>
  <c r="E16" i="16"/>
  <c r="C16" i="16"/>
  <c r="D16" i="16"/>
  <c r="T15" i="16"/>
  <c r="R15" i="16"/>
  <c r="S15" i="16"/>
  <c r="O15" i="16"/>
  <c r="M15" i="16"/>
  <c r="N15" i="16"/>
  <c r="J15" i="16"/>
  <c r="H15" i="16"/>
  <c r="I15" i="16"/>
  <c r="E15" i="16"/>
  <c r="C15" i="16"/>
  <c r="D15" i="16"/>
  <c r="O14" i="16"/>
  <c r="M14" i="16"/>
  <c r="N14" i="16"/>
  <c r="J14" i="16"/>
  <c r="H14" i="16"/>
  <c r="I14" i="16"/>
  <c r="E14" i="16"/>
  <c r="C14" i="16"/>
  <c r="D14" i="16"/>
  <c r="T13" i="16"/>
  <c r="R13" i="16"/>
  <c r="S13" i="16"/>
  <c r="O13" i="16"/>
  <c r="M13" i="16"/>
  <c r="N13" i="16"/>
  <c r="J13" i="16"/>
  <c r="H13" i="16"/>
  <c r="I13" i="16"/>
  <c r="E13" i="16"/>
  <c r="C13" i="16"/>
  <c r="D13" i="16"/>
  <c r="T12" i="16"/>
  <c r="R12" i="16"/>
  <c r="S12" i="16"/>
  <c r="O12" i="16"/>
  <c r="M12" i="16"/>
  <c r="N12" i="16"/>
  <c r="J12" i="16"/>
  <c r="H12" i="16"/>
  <c r="I12" i="16"/>
  <c r="E12" i="16"/>
  <c r="C12" i="16"/>
  <c r="D12" i="16"/>
  <c r="T11" i="16"/>
  <c r="R11" i="16"/>
  <c r="S11" i="16"/>
  <c r="O11" i="16"/>
  <c r="M11" i="16"/>
  <c r="N11" i="16"/>
  <c r="J11" i="16"/>
  <c r="H11" i="16"/>
  <c r="I11" i="16"/>
  <c r="T10" i="16"/>
  <c r="R10" i="16"/>
  <c r="S10" i="16"/>
  <c r="O10" i="16"/>
  <c r="M10" i="16"/>
  <c r="N10" i="16"/>
  <c r="J10" i="16"/>
  <c r="H10" i="16"/>
  <c r="I10" i="16"/>
  <c r="E10" i="16"/>
  <c r="C10" i="16"/>
  <c r="D10" i="16"/>
  <c r="T9" i="16"/>
  <c r="R9" i="16"/>
  <c r="S9" i="16"/>
  <c r="O9" i="16"/>
  <c r="M9" i="16"/>
  <c r="N9" i="16"/>
  <c r="J9" i="16"/>
  <c r="H9" i="16"/>
  <c r="I9" i="16"/>
  <c r="E9" i="16"/>
  <c r="C9" i="16"/>
  <c r="D9" i="16"/>
  <c r="T8" i="16"/>
  <c r="R8" i="16"/>
  <c r="S8" i="16"/>
  <c r="O8" i="16"/>
  <c r="M8" i="16"/>
  <c r="N8" i="16"/>
  <c r="J8" i="16"/>
  <c r="H8" i="16"/>
  <c r="I8" i="16"/>
  <c r="E8" i="16"/>
  <c r="C8" i="16"/>
  <c r="D8" i="16"/>
  <c r="T7" i="16"/>
  <c r="R7" i="16"/>
  <c r="S7" i="16"/>
  <c r="O7" i="16"/>
  <c r="M7" i="16"/>
  <c r="N7" i="16"/>
  <c r="J7" i="16"/>
  <c r="H7" i="16"/>
  <c r="I7" i="16"/>
  <c r="E7" i="16"/>
  <c r="C7" i="16"/>
  <c r="D7" i="16"/>
  <c r="T6" i="16"/>
  <c r="R6" i="16"/>
  <c r="S6" i="16"/>
  <c r="O6" i="16"/>
  <c r="M6" i="16"/>
  <c r="N6" i="16"/>
  <c r="E6" i="16"/>
  <c r="C6" i="16"/>
  <c r="D6" i="16"/>
  <c r="T5" i="16"/>
  <c r="R5" i="16"/>
  <c r="S5" i="16"/>
  <c r="O5" i="16"/>
  <c r="M5" i="16"/>
  <c r="N5" i="16"/>
  <c r="J5" i="16"/>
  <c r="H5" i="16"/>
  <c r="I5" i="16"/>
  <c r="E5" i="16"/>
  <c r="C5" i="16"/>
  <c r="D5" i="16"/>
  <c r="T4" i="16"/>
  <c r="R4" i="16"/>
  <c r="S4" i="16"/>
  <c r="O4" i="16"/>
  <c r="M4" i="16"/>
  <c r="N4" i="16"/>
  <c r="J4" i="16"/>
  <c r="H4" i="16"/>
  <c r="I4" i="16"/>
  <c r="E4" i="16"/>
  <c r="C4" i="16"/>
  <c r="D4" i="16"/>
  <c r="A26" i="36"/>
  <c r="A27" i="36"/>
  <c r="A10" i="36"/>
  <c r="E48" i="35"/>
  <c r="E5" i="35"/>
  <c r="E47" i="35"/>
  <c r="A24" i="36"/>
  <c r="E9" i="17"/>
  <c r="D9" i="17"/>
  <c r="C9" i="17"/>
  <c r="J5" i="17"/>
  <c r="I5" i="17"/>
  <c r="H5" i="17"/>
  <c r="O11" i="17"/>
  <c r="N11" i="17"/>
  <c r="M11" i="17"/>
  <c r="J14" i="17"/>
  <c r="I14" i="17"/>
  <c r="H14" i="17"/>
  <c r="E12" i="17"/>
  <c r="D12" i="17"/>
  <c r="C12" i="17"/>
  <c r="T11" i="17"/>
  <c r="S11" i="17"/>
  <c r="R11" i="17"/>
  <c r="O12" i="17"/>
  <c r="N12" i="17"/>
  <c r="M12" i="17"/>
  <c r="J8" i="17"/>
  <c r="I8" i="17"/>
  <c r="H8" i="17"/>
  <c r="E7" i="17"/>
  <c r="D7" i="17"/>
  <c r="C7" i="17"/>
  <c r="T8" i="17"/>
  <c r="S8" i="17"/>
  <c r="R8" i="17"/>
  <c r="O5" i="17"/>
  <c r="N5" i="17"/>
  <c r="M5" i="17"/>
  <c r="J16" i="17"/>
  <c r="I16" i="17"/>
  <c r="H16" i="17"/>
  <c r="E4" i="17"/>
  <c r="D4" i="17"/>
  <c r="C4" i="17"/>
  <c r="T15" i="17"/>
  <c r="S15" i="17"/>
  <c r="R15" i="17"/>
  <c r="O16" i="17"/>
  <c r="N16" i="17"/>
  <c r="M16" i="17"/>
  <c r="J9" i="17"/>
  <c r="I9" i="17"/>
  <c r="H9" i="17"/>
  <c r="E3" i="17"/>
  <c r="D3" i="17"/>
  <c r="C3" i="17"/>
  <c r="T7" i="17"/>
  <c r="S7" i="17"/>
  <c r="R7" i="17"/>
  <c r="O15" i="17"/>
  <c r="N15" i="17"/>
  <c r="M15" i="17"/>
  <c r="J7" i="17"/>
  <c r="I7" i="17"/>
  <c r="H7" i="17"/>
  <c r="E11" i="17"/>
  <c r="D11" i="17"/>
  <c r="C11" i="17"/>
  <c r="T16" i="17"/>
  <c r="S16" i="17"/>
  <c r="R16" i="17"/>
  <c r="O7" i="17"/>
  <c r="N7" i="17"/>
  <c r="M7" i="17"/>
  <c r="J12" i="17"/>
  <c r="I12" i="17"/>
  <c r="H12" i="17"/>
  <c r="E14" i="17"/>
  <c r="D14" i="17"/>
  <c r="C14" i="17"/>
  <c r="T5" i="17"/>
  <c r="S5" i="17"/>
  <c r="R5" i="17"/>
  <c r="O10" i="17"/>
  <c r="N10" i="17"/>
  <c r="M10" i="17"/>
  <c r="J13" i="17"/>
  <c r="I13" i="17"/>
  <c r="H13" i="17"/>
  <c r="E13" i="17"/>
  <c r="D13" i="17"/>
  <c r="C13" i="17"/>
  <c r="T13" i="17"/>
  <c r="S13" i="17"/>
  <c r="R13" i="17"/>
  <c r="O8" i="17"/>
  <c r="N8" i="17"/>
  <c r="M8" i="17"/>
  <c r="J6" i="17"/>
  <c r="I6" i="17"/>
  <c r="H6" i="17"/>
  <c r="E6" i="17"/>
  <c r="D6" i="17"/>
  <c r="C6" i="17"/>
  <c r="T14" i="17"/>
  <c r="S14" i="17"/>
  <c r="R14" i="17"/>
  <c r="O4" i="17"/>
  <c r="N4" i="17"/>
  <c r="M4" i="17"/>
  <c r="J4" i="17"/>
  <c r="I4" i="17"/>
  <c r="H4" i="17"/>
  <c r="E15" i="17"/>
  <c r="D15" i="17"/>
  <c r="C15" i="17"/>
  <c r="T6" i="17"/>
  <c r="S6" i="17"/>
  <c r="R6" i="17"/>
  <c r="O14" i="17"/>
  <c r="N14" i="17"/>
  <c r="M14" i="17"/>
  <c r="J10" i="17"/>
  <c r="I10" i="17"/>
  <c r="H10" i="17"/>
  <c r="E10" i="17"/>
  <c r="D10" i="17"/>
  <c r="C10" i="17"/>
  <c r="T10" i="17"/>
  <c r="S10" i="17"/>
  <c r="R10" i="17"/>
  <c r="O13" i="17"/>
  <c r="N13" i="17"/>
  <c r="M13" i="17"/>
  <c r="J15" i="17"/>
  <c r="I15" i="17"/>
  <c r="H15" i="17"/>
  <c r="E5" i="17"/>
  <c r="D5" i="17"/>
  <c r="C5" i="17"/>
  <c r="T4" i="17"/>
  <c r="S4" i="17"/>
  <c r="R4" i="17"/>
  <c r="O9" i="17"/>
  <c r="N9" i="17"/>
  <c r="M9" i="17"/>
  <c r="J11" i="17"/>
  <c r="I11" i="17"/>
  <c r="H11" i="17"/>
  <c r="E8" i="17"/>
  <c r="D8" i="17"/>
  <c r="C8" i="17"/>
  <c r="T12" i="17"/>
  <c r="S12" i="17"/>
  <c r="R12" i="17"/>
  <c r="O6" i="17"/>
  <c r="N6" i="17"/>
  <c r="M6" i="17"/>
  <c r="J3" i="17"/>
  <c r="I3" i="17"/>
  <c r="H3" i="17"/>
  <c r="E16" i="17"/>
  <c r="D16" i="17"/>
  <c r="C16" i="17"/>
  <c r="T9" i="17"/>
  <c r="S9" i="17"/>
  <c r="R9" i="17"/>
  <c r="O3" i="17"/>
  <c r="N3" i="17"/>
  <c r="M3" i="17"/>
  <c r="I3" i="16"/>
  <c r="N3" i="16"/>
  <c r="S3" i="16"/>
  <c r="E44" i="35"/>
  <c r="AL45" i="22"/>
  <c r="E43" i="35"/>
  <c r="AL44" i="22"/>
  <c r="AL6" i="22"/>
  <c r="Z19" i="26"/>
  <c r="Z18" i="26"/>
  <c r="Z17" i="26"/>
  <c r="Z16" i="26"/>
  <c r="Z15" i="26"/>
  <c r="Z14" i="26"/>
  <c r="Z13" i="26"/>
  <c r="Z12" i="26"/>
  <c r="Z11" i="26"/>
  <c r="Z10" i="26"/>
  <c r="Z9" i="26"/>
  <c r="Z8" i="26"/>
  <c r="Z7" i="26"/>
  <c r="Z6" i="26"/>
  <c r="Z5" i="26"/>
  <c r="Z4" i="26"/>
  <c r="Z3" i="26"/>
  <c r="Z2" i="26"/>
  <c r="M71" i="22"/>
  <c r="M80" i="22"/>
  <c r="M89" i="22"/>
  <c r="M98" i="22"/>
  <c r="M107" i="22"/>
  <c r="M116" i="22"/>
  <c r="K3" i="22"/>
  <c r="M3" i="22" s="1"/>
  <c r="H17" i="22"/>
  <c r="O17" i="26" s="1"/>
  <c r="H43" i="22"/>
  <c r="J43" i="22" s="1"/>
  <c r="H40" i="22"/>
  <c r="H44" i="22"/>
  <c r="J44" i="22" s="1"/>
  <c r="H45" i="22"/>
  <c r="J45" i="22" s="1"/>
  <c r="H46" i="22"/>
  <c r="J46" i="22" s="1"/>
  <c r="H47" i="22"/>
  <c r="J47" i="22" s="1"/>
  <c r="H48" i="22"/>
  <c r="J48" i="22" s="1"/>
  <c r="H49" i="22"/>
  <c r="J49" i="22" s="1"/>
  <c r="H50" i="22"/>
  <c r="J50" i="22" s="1"/>
  <c r="H51" i="22"/>
  <c r="J51" i="22" s="1"/>
  <c r="H52" i="22"/>
  <c r="J52" i="22" s="1"/>
  <c r="H53" i="22"/>
  <c r="J53" i="22" s="1"/>
  <c r="H54" i="22"/>
  <c r="J54" i="22" s="1"/>
  <c r="H55" i="22"/>
  <c r="J55" i="22" s="1"/>
  <c r="H56" i="22"/>
  <c r="J56" i="22" s="1"/>
  <c r="H57" i="22"/>
  <c r="J57" i="22" s="1"/>
  <c r="H58" i="22"/>
  <c r="J58" i="22" s="1"/>
  <c r="H59" i="22"/>
  <c r="J59" i="22" s="1"/>
  <c r="H60" i="22"/>
  <c r="J60" i="22" s="1"/>
  <c r="H61" i="22"/>
  <c r="J61" i="22" s="1"/>
  <c r="H62" i="22"/>
  <c r="J62" i="22" s="1"/>
  <c r="H63" i="22"/>
  <c r="J63" i="22" s="1"/>
  <c r="H64" i="22"/>
  <c r="J64" i="22" s="1"/>
  <c r="H65" i="22"/>
  <c r="J65" i="22" s="1"/>
  <c r="H66" i="22"/>
  <c r="J66" i="22" s="1"/>
  <c r="H67" i="22"/>
  <c r="J67" i="22" s="1"/>
  <c r="H68" i="22"/>
  <c r="J68" i="22" s="1"/>
  <c r="H69" i="22"/>
  <c r="J69" i="22" s="1"/>
  <c r="H70" i="22"/>
  <c r="J70" i="22" s="1"/>
  <c r="H71" i="22"/>
  <c r="J71" i="22" s="1"/>
  <c r="H72" i="22"/>
  <c r="J72" i="22" s="1"/>
  <c r="H73" i="22"/>
  <c r="J73" i="22" s="1"/>
  <c r="H74" i="22"/>
  <c r="J74" i="22" s="1"/>
  <c r="H75" i="22"/>
  <c r="J75" i="22" s="1"/>
  <c r="H76" i="22"/>
  <c r="J76" i="22" s="1"/>
  <c r="H77" i="22"/>
  <c r="J77" i="22" s="1"/>
  <c r="H78" i="22"/>
  <c r="J78" i="22" s="1"/>
  <c r="H79" i="22"/>
  <c r="J79" i="22" s="1"/>
  <c r="H80" i="22"/>
  <c r="J80" i="22" s="1"/>
  <c r="H81" i="22"/>
  <c r="J81" i="22" s="1"/>
  <c r="H82" i="22"/>
  <c r="J82" i="22" s="1"/>
  <c r="H83" i="22"/>
  <c r="J83" i="22" s="1"/>
  <c r="H84" i="22"/>
  <c r="J84" i="22" s="1"/>
  <c r="H85" i="22"/>
  <c r="J85" i="22" s="1"/>
  <c r="H86" i="22"/>
  <c r="J86" i="22" s="1"/>
  <c r="H87" i="22"/>
  <c r="J87" i="22" s="1"/>
  <c r="H88" i="22"/>
  <c r="J88" i="22" s="1"/>
  <c r="H89" i="22"/>
  <c r="J89" i="22" s="1"/>
  <c r="H90" i="22"/>
  <c r="J90" i="22" s="1"/>
  <c r="H91" i="22"/>
  <c r="J91" i="22" s="1"/>
  <c r="H92" i="22"/>
  <c r="J92" i="22" s="1"/>
  <c r="H93" i="22"/>
  <c r="J93" i="22" s="1"/>
  <c r="H94" i="22"/>
  <c r="J94" i="22" s="1"/>
  <c r="H95" i="22"/>
  <c r="J95" i="22" s="1"/>
  <c r="H96" i="22"/>
  <c r="J96" i="22" s="1"/>
  <c r="H97" i="22"/>
  <c r="J97" i="22" s="1"/>
  <c r="H98" i="22"/>
  <c r="J98" i="22" s="1"/>
  <c r="H99" i="22"/>
  <c r="J99" i="22" s="1"/>
  <c r="H100" i="22"/>
  <c r="J100" i="22" s="1"/>
  <c r="H101" i="22"/>
  <c r="J101" i="22" s="1"/>
  <c r="H102" i="22"/>
  <c r="J102" i="22" s="1"/>
  <c r="H103" i="22"/>
  <c r="J103" i="22" s="1"/>
  <c r="H104" i="22"/>
  <c r="J104" i="22" s="1"/>
  <c r="H105" i="22"/>
  <c r="J105" i="22" s="1"/>
  <c r="H106" i="22"/>
  <c r="J106" i="22" s="1"/>
  <c r="H107" i="22"/>
  <c r="J107" i="22" s="1"/>
  <c r="H108" i="22"/>
  <c r="J108" i="22" s="1"/>
  <c r="H109" i="22"/>
  <c r="J109" i="22" s="1"/>
  <c r="H110" i="22"/>
  <c r="J110" i="22" s="1"/>
  <c r="H111" i="22"/>
  <c r="J111" i="22" s="1"/>
  <c r="H112" i="22"/>
  <c r="J112" i="22" s="1"/>
  <c r="H113" i="22"/>
  <c r="J113" i="22" s="1"/>
  <c r="H114" i="22"/>
  <c r="J114" i="22" s="1"/>
  <c r="H115" i="22"/>
  <c r="J115" i="22" s="1"/>
  <c r="H116" i="22"/>
  <c r="J116" i="22" s="1"/>
  <c r="H117" i="22"/>
  <c r="J117" i="22" s="1"/>
  <c r="H118" i="22"/>
  <c r="J118" i="22" s="1"/>
  <c r="H119" i="22"/>
  <c r="J119" i="22" s="1"/>
  <c r="H120" i="22"/>
  <c r="J120" i="22" s="1"/>
  <c r="H121" i="22"/>
  <c r="J121" i="22" s="1"/>
  <c r="H3" i="22"/>
  <c r="J3" i="22" s="1"/>
  <c r="H4" i="22"/>
  <c r="O4" i="26" s="1"/>
  <c r="H6" i="22"/>
  <c r="O6" i="26" s="1"/>
  <c r="H5" i="22"/>
  <c r="O5" i="26" s="1"/>
  <c r="H8" i="22"/>
  <c r="O8" i="26" s="1"/>
  <c r="H7" i="22"/>
  <c r="H11" i="22"/>
  <c r="O11" i="26" s="1"/>
  <c r="H20" i="22"/>
  <c r="H15" i="22"/>
  <c r="O15" i="26" s="1"/>
  <c r="H32" i="22"/>
  <c r="H16" i="22"/>
  <c r="H19" i="22"/>
  <c r="O19" i="26" s="1"/>
  <c r="H23" i="22"/>
  <c r="O23" i="26" s="1"/>
  <c r="H12" i="22"/>
  <c r="H21" i="22"/>
  <c r="H13" i="22"/>
  <c r="X24" i="26" s="1" a="1"/>
  <c r="X24" i="26" s="1"/>
  <c r="H9" i="22"/>
  <c r="H27" i="22"/>
  <c r="O27" i="26" s="1"/>
  <c r="H38" i="22"/>
  <c r="H28" i="22"/>
  <c r="H29" i="22"/>
  <c r="H24" i="22"/>
  <c r="O24" i="26" s="1"/>
  <c r="H22" i="22"/>
  <c r="H35" i="22"/>
  <c r="O35" i="26" s="1"/>
  <c r="H33" i="22"/>
  <c r="O33" i="26" s="1"/>
  <c r="H25" i="22"/>
  <c r="H31" i="22"/>
  <c r="O31" i="26" s="1"/>
  <c r="H34" i="22"/>
  <c r="O34" i="26" s="1"/>
  <c r="H26" i="22"/>
  <c r="H37" i="22"/>
  <c r="O37" i="26" s="1"/>
  <c r="H36" i="22"/>
  <c r="O36" i="26" s="1"/>
  <c r="H18" i="22"/>
  <c r="H39" i="22"/>
  <c r="O39" i="26" s="1"/>
  <c r="H14" i="22"/>
  <c r="Y23" i="26" s="1" a="1"/>
  <c r="Y23" i="26" s="1"/>
  <c r="H41" i="22"/>
  <c r="O41" i="26" s="1"/>
  <c r="H30" i="22"/>
  <c r="H42" i="22"/>
  <c r="O42" i="26" s="1"/>
  <c r="H10" i="22"/>
  <c r="AG3" i="22"/>
  <c r="AI3" i="22" s="1"/>
  <c r="K13" i="22"/>
  <c r="M13" i="22" s="1"/>
  <c r="T4" i="2"/>
  <c r="D37" i="22"/>
  <c r="D9" i="22"/>
  <c r="D13" i="22"/>
  <c r="D6" i="22"/>
  <c r="D14" i="22"/>
  <c r="D17" i="22"/>
  <c r="D15" i="22"/>
  <c r="D19" i="22"/>
  <c r="D18" i="22"/>
  <c r="D10" i="22"/>
  <c r="D20" i="22"/>
  <c r="D21" i="22"/>
  <c r="D25" i="22"/>
  <c r="D22" i="22"/>
  <c r="D26" i="22"/>
  <c r="D8" i="22"/>
  <c r="D29" i="22"/>
  <c r="D31" i="22"/>
  <c r="D28" i="22"/>
  <c r="D35" i="22"/>
  <c r="D3" i="22"/>
  <c r="D33" i="22"/>
  <c r="D12" i="22"/>
  <c r="D32" i="22"/>
  <c r="D30" i="22"/>
  <c r="D36" i="22"/>
  <c r="D39" i="22"/>
  <c r="D5" i="22"/>
  <c r="D4" i="22"/>
  <c r="D7" i="22"/>
  <c r="D11" i="22"/>
  <c r="D40" i="22"/>
  <c r="D41" i="22"/>
  <c r="D43" i="22"/>
  <c r="E37" i="22"/>
  <c r="D38" i="22"/>
  <c r="E38" i="22"/>
  <c r="D16" i="22"/>
  <c r="E16" i="22"/>
  <c r="D42" i="22"/>
  <c r="E42" i="22"/>
  <c r="K42" i="22"/>
  <c r="M42" i="22" s="1"/>
  <c r="D34" i="22"/>
  <c r="E34" i="22"/>
  <c r="D27" i="22"/>
  <c r="E27" i="22"/>
  <c r="D23" i="22"/>
  <c r="E23" i="22"/>
  <c r="D24" i="22"/>
  <c r="E24" i="22"/>
  <c r="D44" i="22"/>
  <c r="E44" i="22"/>
  <c r="D45" i="22"/>
  <c r="E45" i="22"/>
  <c r="K45" i="22"/>
  <c r="M45" i="22" s="1"/>
  <c r="D46" i="22"/>
  <c r="E46" i="22"/>
  <c r="K46" i="22"/>
  <c r="M46" i="22" s="1"/>
  <c r="D47" i="22"/>
  <c r="E47" i="22"/>
  <c r="D48" i="22"/>
  <c r="E48" i="22"/>
  <c r="K48" i="22"/>
  <c r="M48" i="22" s="1"/>
  <c r="D49" i="22"/>
  <c r="E49" i="22"/>
  <c r="K49" i="22"/>
  <c r="M49" i="22" s="1"/>
  <c r="D50" i="22"/>
  <c r="E50" i="22"/>
  <c r="D51" i="22"/>
  <c r="E51" i="22"/>
  <c r="D52" i="22"/>
  <c r="E52" i="22"/>
  <c r="K52" i="22"/>
  <c r="M52" i="22" s="1"/>
  <c r="D53" i="22"/>
  <c r="E53" i="22"/>
  <c r="D54" i="22"/>
  <c r="E54" i="22"/>
  <c r="K54" i="22"/>
  <c r="M54" i="22" s="1"/>
  <c r="D55" i="22"/>
  <c r="E55" i="22"/>
  <c r="D56" i="22"/>
  <c r="E56" i="22"/>
  <c r="D57" i="22"/>
  <c r="E57" i="22"/>
  <c r="K57" i="22"/>
  <c r="M57" i="22" s="1"/>
  <c r="D58" i="22"/>
  <c r="E58" i="22"/>
  <c r="K58" i="22"/>
  <c r="M58" i="22" s="1"/>
  <c r="D59" i="22"/>
  <c r="E59" i="22"/>
  <c r="D60" i="22"/>
  <c r="E60" i="22"/>
  <c r="K60" i="22"/>
  <c r="M60" i="22" s="1"/>
  <c r="D61" i="22"/>
  <c r="E61" i="22"/>
  <c r="K61" i="22"/>
  <c r="M61" i="22" s="1"/>
  <c r="D62" i="22"/>
  <c r="E62" i="22"/>
  <c r="D63" i="22"/>
  <c r="E63" i="22"/>
  <c r="K63" i="22"/>
  <c r="M63" i="22" s="1"/>
  <c r="D64" i="22"/>
  <c r="E64" i="22"/>
  <c r="K64" i="22"/>
  <c r="M64" i="22" s="1"/>
  <c r="D65" i="22"/>
  <c r="E65" i="22"/>
  <c r="D66" i="22"/>
  <c r="E66" i="22"/>
  <c r="K66" i="22"/>
  <c r="M66" i="22" s="1"/>
  <c r="D67" i="22"/>
  <c r="E67" i="22"/>
  <c r="K67" i="22"/>
  <c r="M67" i="22" s="1"/>
  <c r="D68" i="22"/>
  <c r="E68" i="22"/>
  <c r="D69" i="22"/>
  <c r="E69" i="22"/>
  <c r="K69" i="22"/>
  <c r="M69" i="22" s="1"/>
  <c r="D70" i="22"/>
  <c r="E70" i="22"/>
  <c r="K70" i="22"/>
  <c r="M70" i="22" s="1"/>
  <c r="D71" i="22"/>
  <c r="E71" i="22"/>
  <c r="D72" i="22"/>
  <c r="E72" i="22"/>
  <c r="K72" i="22"/>
  <c r="M72" i="22" s="1"/>
  <c r="D73" i="22"/>
  <c r="E73" i="22"/>
  <c r="K73" i="22"/>
  <c r="M73" i="22" s="1"/>
  <c r="D74" i="22"/>
  <c r="E74" i="22"/>
  <c r="D75" i="22"/>
  <c r="E75" i="22"/>
  <c r="K75" i="22"/>
  <c r="M75" i="22" s="1"/>
  <c r="D76" i="22"/>
  <c r="E76" i="22"/>
  <c r="K76" i="22"/>
  <c r="M76" i="22" s="1"/>
  <c r="D77" i="22"/>
  <c r="E77" i="22"/>
  <c r="D78" i="22"/>
  <c r="E78" i="22"/>
  <c r="K78" i="22"/>
  <c r="M78" i="22" s="1"/>
  <c r="D79" i="22"/>
  <c r="E79" i="22"/>
  <c r="K79" i="22"/>
  <c r="M79" i="22" s="1"/>
  <c r="D80" i="22"/>
  <c r="E80" i="22"/>
  <c r="D81" i="22"/>
  <c r="E81" i="22"/>
  <c r="K81" i="22"/>
  <c r="M81" i="22" s="1"/>
  <c r="D82" i="22"/>
  <c r="E82" i="22"/>
  <c r="K82" i="22"/>
  <c r="M82" i="22" s="1"/>
  <c r="D83" i="22"/>
  <c r="E83" i="22"/>
  <c r="D84" i="22"/>
  <c r="E84" i="22"/>
  <c r="K84" i="22"/>
  <c r="M84" i="22" s="1"/>
  <c r="D85" i="22"/>
  <c r="E85" i="22"/>
  <c r="K85" i="22"/>
  <c r="M85" i="22" s="1"/>
  <c r="D86" i="22"/>
  <c r="E86" i="22"/>
  <c r="D87" i="22"/>
  <c r="E87" i="22"/>
  <c r="K87" i="22"/>
  <c r="M87" i="22" s="1"/>
  <c r="D88" i="22"/>
  <c r="E88" i="22"/>
  <c r="K88" i="22"/>
  <c r="M88" i="22" s="1"/>
  <c r="D89" i="22"/>
  <c r="E89" i="22"/>
  <c r="D90" i="22"/>
  <c r="E90" i="22"/>
  <c r="K90" i="22"/>
  <c r="M90" i="22" s="1"/>
  <c r="D91" i="22"/>
  <c r="E91" i="22"/>
  <c r="K91" i="22"/>
  <c r="M91" i="22" s="1"/>
  <c r="D92" i="22"/>
  <c r="E92" i="22"/>
  <c r="D93" i="22"/>
  <c r="E93" i="22"/>
  <c r="K93" i="22"/>
  <c r="M93" i="22" s="1"/>
  <c r="D94" i="22"/>
  <c r="E94" i="22"/>
  <c r="K94" i="22"/>
  <c r="M94" i="22" s="1"/>
  <c r="D95" i="22"/>
  <c r="E95" i="22"/>
  <c r="D96" i="22"/>
  <c r="E96" i="22"/>
  <c r="K96" i="22"/>
  <c r="M96" i="22" s="1"/>
  <c r="D97" i="22"/>
  <c r="E97" i="22"/>
  <c r="K97" i="22"/>
  <c r="M97" i="22" s="1"/>
  <c r="D98" i="22"/>
  <c r="E98" i="22"/>
  <c r="D99" i="22"/>
  <c r="E99" i="22"/>
  <c r="K99" i="22"/>
  <c r="M99" i="22" s="1"/>
  <c r="D100" i="22"/>
  <c r="E100" i="22"/>
  <c r="K100" i="22"/>
  <c r="M100" i="22" s="1"/>
  <c r="D101" i="22"/>
  <c r="E101" i="22"/>
  <c r="D102" i="22"/>
  <c r="E102" i="22"/>
  <c r="K102" i="22"/>
  <c r="M102" i="22" s="1"/>
  <c r="D103" i="22"/>
  <c r="E103" i="22"/>
  <c r="K103" i="22"/>
  <c r="M103" i="22" s="1"/>
  <c r="D104" i="22"/>
  <c r="E104" i="22"/>
  <c r="D105" i="22"/>
  <c r="E105" i="22"/>
  <c r="K105" i="22"/>
  <c r="M105" i="22" s="1"/>
  <c r="D106" i="22"/>
  <c r="E106" i="22"/>
  <c r="K106" i="22"/>
  <c r="M106" i="22" s="1"/>
  <c r="D107" i="22"/>
  <c r="E107" i="22"/>
  <c r="D108" i="22"/>
  <c r="E108" i="22"/>
  <c r="K108" i="22"/>
  <c r="M108" i="22" s="1"/>
  <c r="D109" i="22"/>
  <c r="E109" i="22"/>
  <c r="K109" i="22"/>
  <c r="M109" i="22" s="1"/>
  <c r="D110" i="22"/>
  <c r="E110" i="22"/>
  <c r="D111" i="22"/>
  <c r="E111" i="22"/>
  <c r="K111" i="22"/>
  <c r="M111" i="22" s="1"/>
  <c r="D112" i="22"/>
  <c r="E112" i="22"/>
  <c r="K112" i="22"/>
  <c r="M112" i="22" s="1"/>
  <c r="D113" i="22"/>
  <c r="E113" i="22"/>
  <c r="D114" i="22"/>
  <c r="E114" i="22"/>
  <c r="K114" i="22"/>
  <c r="M114" i="22" s="1"/>
  <c r="D115" i="22"/>
  <c r="E115" i="22"/>
  <c r="K115" i="22"/>
  <c r="M115" i="22" s="1"/>
  <c r="D116" i="22"/>
  <c r="E116" i="22"/>
  <c r="D117" i="22"/>
  <c r="E117" i="22"/>
  <c r="K117" i="22"/>
  <c r="M117" i="22" s="1"/>
  <c r="D118" i="22"/>
  <c r="E118" i="22"/>
  <c r="K118" i="22"/>
  <c r="M118" i="22" s="1"/>
  <c r="D119" i="22"/>
  <c r="E119" i="22"/>
  <c r="D120" i="22"/>
  <c r="E120" i="22"/>
  <c r="K120" i="22"/>
  <c r="M120" i="22" s="1"/>
  <c r="D121" i="22"/>
  <c r="E121" i="22"/>
  <c r="K121" i="22"/>
  <c r="M121" i="22" s="1"/>
  <c r="E9" i="22"/>
  <c r="E13" i="22"/>
  <c r="E6" i="22"/>
  <c r="E14" i="22"/>
  <c r="E17" i="22"/>
  <c r="E15" i="22"/>
  <c r="E19" i="22"/>
  <c r="E18" i="22"/>
  <c r="E10" i="22"/>
  <c r="E20" i="22"/>
  <c r="E21" i="22"/>
  <c r="E25" i="22"/>
  <c r="E22" i="22"/>
  <c r="E26" i="22"/>
  <c r="E8" i="22"/>
  <c r="E29" i="22"/>
  <c r="E31" i="22"/>
  <c r="E28" i="22"/>
  <c r="E35" i="22"/>
  <c r="E3" i="22"/>
  <c r="E33" i="22"/>
  <c r="E12" i="22"/>
  <c r="E32" i="22"/>
  <c r="E30" i="22"/>
  <c r="E36" i="22"/>
  <c r="E39" i="22"/>
  <c r="E5" i="22"/>
  <c r="E4" i="22"/>
  <c r="E7" i="22"/>
  <c r="E11" i="22"/>
  <c r="E40" i="22"/>
  <c r="K40" i="22"/>
  <c r="M40" i="22" s="1"/>
  <c r="E41" i="22"/>
  <c r="K41" i="22"/>
  <c r="M41" i="22" s="1"/>
  <c r="E43" i="22"/>
  <c r="AD3" i="22"/>
  <c r="K119" i="22"/>
  <c r="M119" i="22" s="1"/>
  <c r="K116" i="22"/>
  <c r="K113" i="22"/>
  <c r="M113" i="22" s="1"/>
  <c r="K110" i="22"/>
  <c r="M110" i="22" s="1"/>
  <c r="K107" i="22"/>
  <c r="K104" i="22"/>
  <c r="M104" i="22" s="1"/>
  <c r="K101" i="22"/>
  <c r="M101" i="22" s="1"/>
  <c r="K98" i="22"/>
  <c r="K95" i="22"/>
  <c r="M95" i="22" s="1"/>
  <c r="K92" i="22"/>
  <c r="M92" i="22" s="1"/>
  <c r="K89" i="22"/>
  <c r="K86" i="22"/>
  <c r="M86" i="22" s="1"/>
  <c r="K83" i="22"/>
  <c r="M83" i="22" s="1"/>
  <c r="K80" i="22"/>
  <c r="K77" i="22"/>
  <c r="M77" i="22" s="1"/>
  <c r="K74" i="22"/>
  <c r="M74" i="22" s="1"/>
  <c r="K71" i="22"/>
  <c r="K68" i="22"/>
  <c r="M68" i="22" s="1"/>
  <c r="K65" i="22"/>
  <c r="M65" i="22" s="1"/>
  <c r="K62" i="22"/>
  <c r="M62" i="22" s="1"/>
  <c r="K59" i="22"/>
  <c r="M59" i="22" s="1"/>
  <c r="K56" i="22"/>
  <c r="M56" i="22" s="1"/>
  <c r="K53" i="22"/>
  <c r="M53" i="22" s="1"/>
  <c r="K50" i="22"/>
  <c r="M50" i="22" s="1"/>
  <c r="K44" i="22"/>
  <c r="M44" i="22" s="1"/>
  <c r="K16" i="22"/>
  <c r="M16" i="22" s="1"/>
  <c r="K36" i="22"/>
  <c r="M36" i="22" s="1"/>
  <c r="K30" i="22"/>
  <c r="M30" i="22" s="1"/>
  <c r="K32" i="22"/>
  <c r="M32" i="22" s="1"/>
  <c r="K33" i="22"/>
  <c r="M33" i="22" s="1"/>
  <c r="K28" i="22"/>
  <c r="M28" i="22" s="1"/>
  <c r="K29" i="22"/>
  <c r="M29" i="22" s="1"/>
  <c r="K26" i="22"/>
  <c r="M26" i="22" s="1"/>
  <c r="K22" i="22"/>
  <c r="M22" i="22" s="1"/>
  <c r="K25" i="22"/>
  <c r="M25" i="22" s="1"/>
  <c r="K21" i="22"/>
  <c r="M21" i="22" s="1"/>
  <c r="K20" i="22"/>
  <c r="M20" i="22" s="1"/>
  <c r="K18" i="22"/>
  <c r="M18" i="22" s="1"/>
  <c r="K17" i="22"/>
  <c r="M17" i="22" s="1"/>
  <c r="K14" i="22"/>
  <c r="M14" i="22" s="1"/>
  <c r="K6" i="22"/>
  <c r="M6" i="22"/>
  <c r="K24" i="22"/>
  <c r="M24" i="22" s="1"/>
  <c r="K34" i="22"/>
  <c r="M34" i="22" s="1"/>
  <c r="K38" i="22"/>
  <c r="M38" i="22" s="1"/>
  <c r="K37" i="22"/>
  <c r="M37" i="22" s="1"/>
  <c r="K7" i="22"/>
  <c r="M7" i="22"/>
  <c r="K5" i="22"/>
  <c r="M5" i="22" s="1"/>
  <c r="K12" i="22"/>
  <c r="M12" i="22" s="1"/>
  <c r="K8" i="22"/>
  <c r="M8" i="22" s="1"/>
  <c r="K10" i="22"/>
  <c r="M10" i="22" s="1"/>
  <c r="E13" i="25" l="1"/>
  <c r="E14" i="25"/>
  <c r="E15" i="25"/>
  <c r="E16" i="25"/>
  <c r="E17" i="25"/>
  <c r="D13" i="25"/>
  <c r="D14" i="25"/>
  <c r="D15" i="25"/>
  <c r="D16" i="25"/>
  <c r="D17" i="25"/>
  <c r="C13" i="25"/>
  <c r="C14" i="25"/>
  <c r="C15" i="25"/>
  <c r="C16" i="25"/>
  <c r="C17" i="25"/>
  <c r="X26" i="26" a="1"/>
  <c r="X26" i="26" s="1"/>
  <c r="E5" i="25"/>
  <c r="E6" i="25"/>
  <c r="E7" i="25"/>
  <c r="E8" i="25"/>
  <c r="E9" i="25"/>
  <c r="E10" i="25"/>
  <c r="E11" i="25"/>
  <c r="E12" i="25"/>
  <c r="D5" i="25"/>
  <c r="D6" i="25"/>
  <c r="D7" i="25"/>
  <c r="D8" i="25"/>
  <c r="D9" i="25"/>
  <c r="D10" i="25"/>
  <c r="D11" i="25"/>
  <c r="D12" i="25"/>
  <c r="C5" i="25"/>
  <c r="C6" i="25"/>
  <c r="C7" i="25"/>
  <c r="C8" i="25"/>
  <c r="C9" i="25"/>
  <c r="C10" i="25"/>
  <c r="C11" i="25"/>
  <c r="C12" i="25"/>
  <c r="B3" i="25"/>
  <c r="E4" i="25"/>
  <c r="D4" i="25"/>
  <c r="C4" i="25"/>
  <c r="G18" i="25" a="1"/>
  <c r="G18" i="25" s="1"/>
  <c r="H18" i="25" a="1"/>
  <c r="H18" i="25" s="1"/>
  <c r="I18" i="25" a="1"/>
  <c r="I18" i="25" s="1"/>
  <c r="F18" i="25" a="1"/>
  <c r="F18" i="25" s="1"/>
  <c r="AA18" i="25"/>
  <c r="W24" i="26" a="1"/>
  <c r="W24" i="26" s="1"/>
  <c r="A28" i="36"/>
  <c r="A35" i="36"/>
  <c r="A17" i="36"/>
  <c r="A30" i="36"/>
  <c r="A22" i="36"/>
  <c r="A38" i="36"/>
  <c r="A13" i="36"/>
  <c r="A5" i="36"/>
  <c r="A61" i="36"/>
  <c r="A56" i="36"/>
  <c r="A46" i="36"/>
  <c r="A14" i="36"/>
  <c r="A7" i="36"/>
  <c r="A11" i="36"/>
  <c r="A6" i="36"/>
  <c r="A49" i="36"/>
  <c r="A48" i="36"/>
  <c r="A62" i="36"/>
  <c r="A31" i="36"/>
  <c r="A37" i="36"/>
  <c r="A21" i="36"/>
  <c r="A12" i="36"/>
  <c r="A33" i="36"/>
  <c r="A57" i="36"/>
  <c r="A45" i="36"/>
  <c r="A50" i="36"/>
  <c r="A39" i="36"/>
  <c r="A9" i="36"/>
  <c r="A58" i="36"/>
  <c r="A29" i="36"/>
  <c r="A20" i="36"/>
  <c r="A25" i="36"/>
  <c r="A34" i="36"/>
  <c r="A36" i="36"/>
  <c r="A15" i="36"/>
  <c r="A44" i="36"/>
  <c r="A16" i="36"/>
  <c r="A19" i="36"/>
  <c r="A53" i="36"/>
  <c r="A63" i="36"/>
  <c r="A52" i="36"/>
  <c r="A51" i="36"/>
  <c r="A60" i="36"/>
  <c r="A43" i="36"/>
  <c r="A40" i="36"/>
  <c r="A23" i="36"/>
  <c r="A41" i="36"/>
  <c r="A18" i="36"/>
  <c r="A8" i="36"/>
  <c r="A42" i="36"/>
  <c r="A64" i="36"/>
  <c r="A59" i="36"/>
  <c r="A55" i="36"/>
  <c r="A47" i="36"/>
  <c r="A54" i="36"/>
  <c r="W22" i="26" a="1"/>
  <c r="W22" i="26" s="1"/>
  <c r="W27" i="26" a="1"/>
  <c r="W27" i="26" s="1"/>
  <c r="X21" i="26" a="1"/>
  <c r="X21" i="26" s="1"/>
  <c r="X25" i="26" a="1"/>
  <c r="X25" i="26" s="1"/>
  <c r="J10" i="22"/>
  <c r="Y26" i="26" a="1"/>
  <c r="Y26" i="26" s="1"/>
  <c r="Y22" i="26" a="1"/>
  <c r="Y22" i="26" s="1"/>
  <c r="Y24" i="26" a="1"/>
  <c r="Y24" i="26" s="1"/>
  <c r="Y25" i="26" a="1"/>
  <c r="Y25" i="26" s="1"/>
  <c r="Y28" i="26" a="1"/>
  <c r="Y28" i="26" s="1"/>
  <c r="O16" i="26"/>
  <c r="W21" i="26" a="1"/>
  <c r="W21" i="26" s="1"/>
  <c r="O117" i="26"/>
  <c r="O104" i="26"/>
  <c r="O99" i="26"/>
  <c r="O86" i="26"/>
  <c r="O81" i="26"/>
  <c r="O68" i="26"/>
  <c r="O63" i="26"/>
  <c r="O50" i="26"/>
  <c r="O45" i="26"/>
  <c r="O111" i="26"/>
  <c r="O93" i="26"/>
  <c r="O75" i="26"/>
  <c r="O57" i="26"/>
  <c r="O116" i="26"/>
  <c r="O98" i="26"/>
  <c r="O80" i="26"/>
  <c r="O62" i="26"/>
  <c r="O44" i="26"/>
  <c r="O110" i="26"/>
  <c r="O105" i="26"/>
  <c r="O92" i="26"/>
  <c r="O87" i="26"/>
  <c r="O74" i="26"/>
  <c r="O69" i="26"/>
  <c r="O56" i="26"/>
  <c r="O51" i="26"/>
  <c r="O119" i="26"/>
  <c r="O114" i="26"/>
  <c r="O107" i="26"/>
  <c r="O102" i="26"/>
  <c r="O95" i="26"/>
  <c r="O90" i="26"/>
  <c r="O83" i="26"/>
  <c r="O78" i="26"/>
  <c r="O71" i="26"/>
  <c r="O66" i="26"/>
  <c r="O59" i="26"/>
  <c r="O54" i="26"/>
  <c r="O47" i="26"/>
  <c r="O43" i="26"/>
  <c r="O28" i="26"/>
  <c r="X22" i="26" a="1"/>
  <c r="X22" i="26" s="1"/>
  <c r="O120" i="26"/>
  <c r="O113" i="26"/>
  <c r="O108" i="26"/>
  <c r="O101" i="26"/>
  <c r="O96" i="26"/>
  <c r="O89" i="26"/>
  <c r="O84" i="26"/>
  <c r="O77" i="26"/>
  <c r="O72" i="26"/>
  <c r="O65" i="26"/>
  <c r="O60" i="26"/>
  <c r="O53" i="26"/>
  <c r="O48" i="26"/>
  <c r="O121" i="26"/>
  <c r="O118" i="26"/>
  <c r="O115" i="26"/>
  <c r="O112" i="26"/>
  <c r="O109" i="26"/>
  <c r="O106" i="26"/>
  <c r="O103" i="26"/>
  <c r="O100" i="26"/>
  <c r="O97" i="26"/>
  <c r="O94" i="26"/>
  <c r="O91" i="26"/>
  <c r="O88" i="26"/>
  <c r="O85" i="26"/>
  <c r="O82" i="26"/>
  <c r="O79" i="26"/>
  <c r="O76" i="26"/>
  <c r="O73" i="26"/>
  <c r="O70" i="26"/>
  <c r="O67" i="26"/>
  <c r="O64" i="26"/>
  <c r="O61" i="26"/>
  <c r="O58" i="26"/>
  <c r="O55" i="26"/>
  <c r="O52" i="26"/>
  <c r="O49" i="26"/>
  <c r="O46" i="26"/>
  <c r="W2" i="26" a="1"/>
  <c r="W2" i="26" s="1"/>
  <c r="V30" i="26"/>
  <c r="O10" i="26"/>
  <c r="Y21" i="26" a="1"/>
  <c r="Y21" i="26" s="1"/>
  <c r="J42" i="22"/>
  <c r="Y29" i="26" a="1"/>
  <c r="Y29" i="26" s="1"/>
  <c r="Y30" i="26" a="1"/>
  <c r="Y30" i="26" s="1"/>
  <c r="Y19" i="26" a="1"/>
  <c r="Y19" i="26" s="1"/>
  <c r="Y18" i="26" a="1"/>
  <c r="Y18" i="26" s="1"/>
  <c r="Y17" i="26" a="1"/>
  <c r="Y17" i="26" s="1"/>
  <c r="Y16" i="26" a="1"/>
  <c r="Y16" i="26" s="1"/>
  <c r="Y15" i="26" a="1"/>
  <c r="Y15" i="26" s="1"/>
  <c r="Y14" i="26" a="1"/>
  <c r="Y14" i="26" s="1"/>
  <c r="Y13" i="26" a="1"/>
  <c r="Y13" i="26" s="1"/>
  <c r="Y12" i="26" a="1"/>
  <c r="Y12" i="26" s="1"/>
  <c r="Y11" i="26" a="1"/>
  <c r="Y11" i="26" s="1"/>
  <c r="Y10" i="26" a="1"/>
  <c r="Y10" i="26" s="1"/>
  <c r="Y9" i="26" a="1"/>
  <c r="Y9" i="26" s="1"/>
  <c r="Y8" i="26" a="1"/>
  <c r="Y8" i="26" s="1"/>
  <c r="Y7" i="26" a="1"/>
  <c r="Y7" i="26" s="1"/>
  <c r="Y6" i="26" a="1"/>
  <c r="Y6" i="26" s="1"/>
  <c r="Y5" i="26" a="1"/>
  <c r="Y5" i="26" s="1"/>
  <c r="Y4" i="26" a="1"/>
  <c r="Y4" i="26" s="1"/>
  <c r="Y3" i="26" a="1"/>
  <c r="Y3" i="26" s="1"/>
  <c r="Y2" i="26" a="1"/>
  <c r="Y2" i="26" s="1"/>
  <c r="J30" i="22"/>
  <c r="O30" i="26"/>
  <c r="J41" i="22"/>
  <c r="X29" i="26" a="1"/>
  <c r="X29" i="26" s="1"/>
  <c r="X30" i="26" a="1"/>
  <c r="X30" i="26" s="1"/>
  <c r="X19" i="26" a="1"/>
  <c r="X19" i="26" s="1"/>
  <c r="X18" i="26" a="1"/>
  <c r="X18" i="26" s="1"/>
  <c r="X17" i="26" a="1"/>
  <c r="X17" i="26" s="1"/>
  <c r="X16" i="26" a="1"/>
  <c r="X16" i="26" s="1"/>
  <c r="X15" i="26" a="1"/>
  <c r="X15" i="26" s="1"/>
  <c r="X14" i="26" a="1"/>
  <c r="X14" i="26" s="1"/>
  <c r="X13" i="26" a="1"/>
  <c r="X13" i="26" s="1"/>
  <c r="X12" i="26" a="1"/>
  <c r="X12" i="26" s="1"/>
  <c r="X11" i="26" a="1"/>
  <c r="X11" i="26" s="1"/>
  <c r="X10" i="26" a="1"/>
  <c r="X10" i="26" s="1"/>
  <c r="X9" i="26" a="1"/>
  <c r="X9" i="26" s="1"/>
  <c r="X8" i="26" a="1"/>
  <c r="X8" i="26" s="1"/>
  <c r="X7" i="26" a="1"/>
  <c r="X7" i="26" s="1"/>
  <c r="X6" i="26" a="1"/>
  <c r="X6" i="26" s="1"/>
  <c r="X5" i="26" a="1"/>
  <c r="X5" i="26" s="1"/>
  <c r="X4" i="26" a="1"/>
  <c r="X4" i="26" s="1"/>
  <c r="X3" i="26" a="1"/>
  <c r="X3" i="26" s="1"/>
  <c r="X2" i="26" a="1"/>
  <c r="X2" i="26" s="1"/>
  <c r="J14" i="22"/>
  <c r="O14" i="26"/>
  <c r="V29" i="26"/>
  <c r="J39" i="22"/>
  <c r="J18" i="22"/>
  <c r="O18" i="26"/>
  <c r="J36" i="22"/>
  <c r="W28" i="26" a="1"/>
  <c r="W28" i="26" s="1"/>
  <c r="J37" i="22"/>
  <c r="X28" i="26" a="1"/>
  <c r="X28" i="26" s="1"/>
  <c r="J26" i="22"/>
  <c r="O26" i="26"/>
  <c r="J34" i="22"/>
  <c r="Y27" i="26" a="1"/>
  <c r="Y27" i="26" s="1"/>
  <c r="V27" i="26"/>
  <c r="J31" i="22"/>
  <c r="J25" i="22"/>
  <c r="O25" i="26"/>
  <c r="J33" i="22"/>
  <c r="X27" i="26" a="1"/>
  <c r="X27" i="26" s="1"/>
  <c r="V28" i="26"/>
  <c r="J35" i="22"/>
  <c r="J22" i="22"/>
  <c r="O22" i="26"/>
  <c r="J24" i="22"/>
  <c r="W25" i="26" a="1"/>
  <c r="W25" i="26" s="1"/>
  <c r="J29" i="22"/>
  <c r="O29" i="26"/>
  <c r="J28" i="22"/>
  <c r="W26" i="26" a="1"/>
  <c r="W26" i="26" s="1"/>
  <c r="J38" i="22"/>
  <c r="O38" i="26"/>
  <c r="V26" i="26"/>
  <c r="J27" i="22"/>
  <c r="J9" i="22"/>
  <c r="O9" i="26"/>
  <c r="J13" i="22"/>
  <c r="O13" i="26"/>
  <c r="J21" i="22"/>
  <c r="O21" i="26"/>
  <c r="J12" i="22"/>
  <c r="O12" i="26"/>
  <c r="V25" i="26"/>
  <c r="J23" i="22"/>
  <c r="V24" i="26"/>
  <c r="Z24" i="26" s="1"/>
  <c r="J19" i="22"/>
  <c r="J16" i="22"/>
  <c r="W23" i="26" a="1"/>
  <c r="W23" i="26" s="1"/>
  <c r="J32" i="22"/>
  <c r="O32" i="26"/>
  <c r="V23" i="26"/>
  <c r="J15" i="22"/>
  <c r="J20" i="22"/>
  <c r="O20" i="26"/>
  <c r="V22" i="26"/>
  <c r="Z22" i="26" s="1"/>
  <c r="J11" i="22"/>
  <c r="J7" i="22"/>
  <c r="O7" i="26"/>
  <c r="J8" i="22"/>
  <c r="Y20" i="26" a="1"/>
  <c r="Y20" i="26" s="1"/>
  <c r="V21" i="26"/>
  <c r="Z21" i="26" s="1"/>
  <c r="J5" i="22"/>
  <c r="J6" i="22"/>
  <c r="X20" i="26" a="1"/>
  <c r="X20" i="26" s="1"/>
  <c r="J4" i="22"/>
  <c r="W20" i="26" a="1"/>
  <c r="W20" i="26" s="1"/>
  <c r="O3" i="26"/>
  <c r="V20" i="26"/>
  <c r="J40" i="22"/>
  <c r="O40" i="26"/>
  <c r="W29" i="26" a="1"/>
  <c r="W29" i="26" s="1"/>
  <c r="W30" i="26" a="1"/>
  <c r="W30" i="26" s="1"/>
  <c r="W19" i="26" a="1"/>
  <c r="W19" i="26" s="1"/>
  <c r="W18" i="26" a="1"/>
  <c r="W18" i="26" s="1"/>
  <c r="W17" i="26" a="1"/>
  <c r="W17" i="26" s="1"/>
  <c r="W16" i="26" a="1"/>
  <c r="W16" i="26" s="1"/>
  <c r="W15" i="26" a="1"/>
  <c r="W15" i="26" s="1"/>
  <c r="W14" i="26" a="1"/>
  <c r="W14" i="26" s="1"/>
  <c r="W13" i="26" a="1"/>
  <c r="W13" i="26" s="1"/>
  <c r="W12" i="26" a="1"/>
  <c r="W12" i="26" s="1"/>
  <c r="W11" i="26" a="1"/>
  <c r="W11" i="26" s="1"/>
  <c r="W10" i="26" a="1"/>
  <c r="W10" i="26" s="1"/>
  <c r="W9" i="26" a="1"/>
  <c r="W9" i="26" s="1"/>
  <c r="W8" i="26" a="1"/>
  <c r="W8" i="26" s="1"/>
  <c r="W7" i="26" a="1"/>
  <c r="W7" i="26" s="1"/>
  <c r="W6" i="26" a="1"/>
  <c r="W6" i="26" s="1"/>
  <c r="W5" i="26" a="1"/>
  <c r="W5" i="26" s="1"/>
  <c r="W4" i="26" a="1"/>
  <c r="W4" i="26" s="1"/>
  <c r="W3" i="26" a="1"/>
  <c r="W3" i="26" s="1"/>
  <c r="J17" i="22"/>
  <c r="X23" i="26" a="1"/>
  <c r="X23" i="26" s="1"/>
  <c r="E3" i="25" l="1"/>
  <c r="D3" i="25"/>
  <c r="C3" i="25"/>
  <c r="Z30" i="26"/>
  <c r="Z26" i="26"/>
  <c r="O3" i="25" a="1"/>
  <c r="O3" i="25" s="1"/>
  <c r="Z20" i="26"/>
  <c r="Z25" i="26"/>
  <c r="Z23" i="26"/>
  <c r="Z28" i="26"/>
  <c r="Z27" i="26"/>
  <c r="Z29" i="26"/>
  <c r="Q2" i="26" a="1"/>
  <c r="Q2" i="26" s="1"/>
  <c r="C50" i="35"/>
  <c r="E50" i="35" s="1"/>
  <c r="C22" i="35"/>
  <c r="E22" i="35" s="1"/>
  <c r="K15" i="22"/>
  <c r="M15" i="22" s="1"/>
  <c r="K11" i="22"/>
  <c r="M11" i="22" s="1"/>
  <c r="C30" i="35"/>
  <c r="E30" i="35" s="1"/>
  <c r="AJ43" i="22"/>
  <c r="AL43" i="22" s="1"/>
  <c r="C46" i="35"/>
  <c r="E46" i="35" s="1"/>
  <c r="C34" i="35"/>
  <c r="E34" i="35" s="1"/>
  <c r="AJ39" i="22"/>
  <c r="AL39" i="22" s="1"/>
  <c r="C2" i="35" l="1"/>
  <c r="E2" i="35" s="1"/>
  <c r="AJ3" i="22"/>
  <c r="AL3" i="22" s="1"/>
  <c r="AJ35" i="22"/>
  <c r="AL35" i="22" s="1"/>
  <c r="AJ23" i="22"/>
  <c r="AL23" i="22" s="1"/>
  <c r="K23" i="22"/>
  <c r="M23" i="22" s="1"/>
  <c r="K51" i="22"/>
  <c r="M51" i="22" s="1"/>
  <c r="K4" i="22"/>
  <c r="M4" i="22" s="1"/>
  <c r="C18" i="35"/>
  <c r="E18" i="35" s="1"/>
  <c r="K19" i="22"/>
  <c r="M19" i="22" s="1"/>
  <c r="AJ19" i="22"/>
  <c r="AL19" i="22" s="1"/>
  <c r="K39" i="22"/>
  <c r="M39" i="22" s="1"/>
  <c r="C38" i="35"/>
  <c r="E38" i="35" s="1"/>
  <c r="AJ47" i="22"/>
  <c r="AL47" i="22" s="1"/>
  <c r="K47" i="22"/>
  <c r="M47" i="22" s="1"/>
  <c r="K43" i="22"/>
  <c r="M43" i="22" s="1"/>
  <c r="K27" i="22"/>
  <c r="M27" i="22" s="1"/>
  <c r="AJ27" i="22"/>
  <c r="AL27" i="22" s="1"/>
  <c r="C26" i="35"/>
  <c r="E26" i="35" s="1"/>
  <c r="C42" i="35"/>
  <c r="E42" i="35" s="1"/>
  <c r="K9" i="22"/>
  <c r="M9" i="22" s="1"/>
  <c r="AJ7" i="22"/>
  <c r="AL7" i="22" s="1"/>
  <c r="C6" i="35"/>
  <c r="E6" i="35" s="1"/>
  <c r="AJ31" i="22"/>
  <c r="AL31" i="22" s="1"/>
  <c r="K31" i="22"/>
  <c r="M31" i="22" s="1"/>
  <c r="AJ11" i="22"/>
  <c r="AL11" i="22" s="1"/>
  <c r="C10" i="35"/>
  <c r="E10" i="35" s="1"/>
  <c r="AJ15" i="22"/>
  <c r="AL15" i="22" s="1"/>
  <c r="C14" i="35"/>
  <c r="E14" i="35" s="1"/>
  <c r="K35" i="22"/>
  <c r="M35" i="22" s="1"/>
  <c r="C54" i="35"/>
  <c r="E54" i="35" s="1"/>
  <c r="K55" i="22"/>
  <c r="M55" i="22" s="1"/>
  <c r="AJ55" i="22"/>
  <c r="AL55" i="22" s="1"/>
  <c r="AJ51" i="22"/>
  <c r="AL51" i="22" s="1"/>
  <c r="N3" i="25" l="1" a="1"/>
  <c r="N3" i="25" s="1"/>
  <c r="AE4" i="30" a="1"/>
  <c r="F8" i="25" s="1" a="1"/>
  <c r="F8" i="25" s="1"/>
  <c r="G17" i="25" l="1" a="1"/>
  <c r="G17" i="25" s="1"/>
  <c r="H17" i="25" a="1"/>
  <c r="H17" i="25" s="1"/>
  <c r="I17" i="25" a="1"/>
  <c r="I17" i="25" s="1"/>
  <c r="F17" i="25" a="1"/>
  <c r="F17" i="25" s="1"/>
  <c r="AA17" i="25"/>
  <c r="G8" i="25" a="1"/>
  <c r="G8" i="25" s="1"/>
  <c r="H8" i="25" a="1"/>
  <c r="H8" i="25" s="1"/>
  <c r="I8" i="25" a="1"/>
  <c r="I8" i="25" s="1"/>
  <c r="G9" i="25" a="1"/>
  <c r="G9" i="25" s="1"/>
  <c r="H9" i="25" a="1"/>
  <c r="H9" i="25" s="1"/>
  <c r="I9" i="25" a="1"/>
  <c r="I9" i="25" s="1"/>
  <c r="G11" i="25" a="1"/>
  <c r="G11" i="25" s="1"/>
  <c r="H11" i="25" a="1"/>
  <c r="H11" i="25" s="1"/>
  <c r="I11" i="25" a="1"/>
  <c r="I11" i="25" s="1"/>
  <c r="G12" i="25" a="1"/>
  <c r="G12" i="25" s="1"/>
  <c r="H12" i="25" a="1"/>
  <c r="H12" i="25" s="1"/>
  <c r="I12" i="25" a="1"/>
  <c r="I12" i="25" s="1"/>
  <c r="G14" i="25" a="1"/>
  <c r="G14" i="25" s="1"/>
  <c r="H14" i="25" a="1"/>
  <c r="H14" i="25" s="1"/>
  <c r="I14" i="25" a="1"/>
  <c r="I14" i="25" s="1"/>
  <c r="G15" i="25" a="1"/>
  <c r="G15" i="25" s="1"/>
  <c r="H15" i="25" a="1"/>
  <c r="H15" i="25" s="1"/>
  <c r="I15" i="25" a="1"/>
  <c r="I15" i="25" s="1"/>
  <c r="G16" i="25" a="1"/>
  <c r="G16" i="25" s="1"/>
  <c r="H16" i="25" a="1"/>
  <c r="H16" i="25" s="1"/>
  <c r="I16" i="25" a="1"/>
  <c r="I16" i="25" s="1"/>
  <c r="F9" i="25" a="1"/>
  <c r="F9" i="25" s="1"/>
  <c r="F11" i="25" a="1"/>
  <c r="F11" i="25" s="1"/>
  <c r="F12" i="25" a="1"/>
  <c r="F12" i="25" s="1"/>
  <c r="F14" i="25" a="1"/>
  <c r="F14" i="25" s="1"/>
  <c r="F15" i="25" a="1"/>
  <c r="F15" i="25" s="1"/>
  <c r="F16" i="25" a="1"/>
  <c r="F16" i="25" s="1"/>
  <c r="A3" i="25" a="1"/>
  <c r="A3" i="25" s="1"/>
  <c r="B32" i="30"/>
  <c r="B40" i="30"/>
  <c r="B46" i="30"/>
  <c r="B36" i="30"/>
  <c r="B121" i="30"/>
  <c r="B4" i="30"/>
  <c r="B28" i="30"/>
  <c r="B7" i="30"/>
  <c r="B24" i="30"/>
  <c r="B23" i="30"/>
  <c r="B14" i="30"/>
  <c r="B8" i="30"/>
  <c r="B57" i="30"/>
  <c r="B72" i="30"/>
  <c r="B87" i="30"/>
  <c r="B61" i="30"/>
  <c r="B76" i="30"/>
  <c r="B91" i="30"/>
  <c r="B53" i="30"/>
  <c r="B47" i="30"/>
  <c r="B92" i="30"/>
  <c r="B68" i="30"/>
  <c r="B113" i="30"/>
  <c r="B102" i="30"/>
  <c r="B108" i="30"/>
  <c r="B103" i="30"/>
  <c r="B22" i="30"/>
  <c r="B10" i="30"/>
  <c r="B39" i="30"/>
  <c r="B63" i="30"/>
  <c r="B52" i="30"/>
  <c r="B82" i="30"/>
  <c r="B71" i="30"/>
  <c r="B77" i="30"/>
  <c r="B116" i="30"/>
  <c r="B107" i="30"/>
  <c r="B120" i="30"/>
  <c r="B26" i="30"/>
  <c r="B49" i="30"/>
  <c r="B48" i="30"/>
  <c r="B30" i="30"/>
  <c r="B51" i="30"/>
  <c r="B12" i="30"/>
  <c r="B18" i="30"/>
  <c r="B25" i="30"/>
  <c r="B17" i="30"/>
  <c r="B20" i="30"/>
  <c r="B16" i="30"/>
  <c r="B37" i="30"/>
  <c r="B44" i="30"/>
  <c r="B60" i="30"/>
  <c r="B75" i="30"/>
  <c r="B90" i="30"/>
  <c r="B64" i="30"/>
  <c r="B79" i="30"/>
  <c r="B94" i="30"/>
  <c r="B62" i="30"/>
  <c r="B56" i="30"/>
  <c r="B50" i="30"/>
  <c r="B95" i="30"/>
  <c r="B110" i="30"/>
  <c r="B105" i="30"/>
  <c r="B119" i="30"/>
  <c r="B109" i="30"/>
  <c r="B9" i="30"/>
  <c r="B15" i="30"/>
  <c r="B19" i="30"/>
  <c r="B38" i="30"/>
  <c r="B78" i="30"/>
  <c r="B93" i="30"/>
  <c r="B67" i="30"/>
  <c r="B98" i="30"/>
  <c r="B65" i="30"/>
  <c r="B115" i="30"/>
  <c r="B106" i="30"/>
  <c r="B97" i="30"/>
  <c r="B34" i="30"/>
  <c r="B6" i="30"/>
  <c r="B33" i="30"/>
  <c r="B11" i="30"/>
  <c r="B27" i="30"/>
  <c r="B21" i="30"/>
  <c r="B42" i="30"/>
  <c r="B66" i="30"/>
  <c r="B81" i="30"/>
  <c r="B99" i="30"/>
  <c r="B55" i="30"/>
  <c r="B70" i="30"/>
  <c r="B85" i="30"/>
  <c r="B100" i="30"/>
  <c r="B80" i="30"/>
  <c r="B74" i="30"/>
  <c r="B59" i="30"/>
  <c r="B118" i="30"/>
  <c r="B117" i="30"/>
  <c r="B101" i="30"/>
  <c r="B96" i="30"/>
  <c r="B31" i="30"/>
  <c r="B29" i="30"/>
  <c r="B13" i="30"/>
  <c r="B35" i="30"/>
  <c r="B5" i="30"/>
  <c r="B45" i="30"/>
  <c r="B54" i="30"/>
  <c r="B69" i="30"/>
  <c r="B84" i="30"/>
  <c r="B41" i="30"/>
  <c r="B58" i="30"/>
  <c r="B73" i="30"/>
  <c r="G120" i="30"/>
  <c r="F105" i="30"/>
  <c r="C77" i="30"/>
  <c r="I72" i="30"/>
  <c r="F12" i="30"/>
  <c r="C33" i="30"/>
  <c r="I92" i="30"/>
  <c r="I41" i="30"/>
  <c r="I58" i="30"/>
  <c r="I22" i="30"/>
  <c r="G80" i="30"/>
  <c r="G44" i="30"/>
  <c r="G8" i="30"/>
  <c r="F27" i="30"/>
  <c r="I54" i="30"/>
  <c r="G82" i="30"/>
  <c r="G10" i="30"/>
  <c r="F80" i="30"/>
  <c r="L107" i="30"/>
  <c r="G121" i="30"/>
  <c r="M121" i="30"/>
  <c r="I113" i="30"/>
  <c r="I98" i="30"/>
  <c r="C65" i="30"/>
  <c r="L97" i="30"/>
  <c r="C89" i="30"/>
  <c r="I76" i="30"/>
  <c r="G99" i="30"/>
  <c r="C32" i="30"/>
  <c r="G24" i="30"/>
  <c r="C70" i="30"/>
  <c r="C34" i="30"/>
  <c r="I93" i="30"/>
  <c r="I44" i="30"/>
  <c r="G30" i="30"/>
  <c r="C90" i="30"/>
  <c r="C54" i="30"/>
  <c r="C18" i="30"/>
  <c r="I77" i="30"/>
  <c r="G90" i="30"/>
  <c r="F57" i="30"/>
  <c r="I43" i="30"/>
  <c r="I7" i="30"/>
  <c r="G65" i="30"/>
  <c r="G29" i="30"/>
  <c r="F87" i="30"/>
  <c r="I27" i="30"/>
  <c r="G49" i="30"/>
  <c r="F42" i="30"/>
  <c r="F47" i="30"/>
  <c r="L22" i="30"/>
  <c r="M108" i="30"/>
  <c r="L114" i="30"/>
  <c r="F102" i="30"/>
  <c r="C116" i="30"/>
  <c r="F116" i="30"/>
  <c r="L116" i="30"/>
  <c r="G111" i="30"/>
  <c r="M111" i="30"/>
  <c r="L98" i="30"/>
  <c r="G42" i="30"/>
  <c r="C100" i="30"/>
  <c r="C44" i="30"/>
  <c r="G60" i="30"/>
  <c r="C95" i="30"/>
  <c r="I82" i="30"/>
  <c r="C91" i="30"/>
  <c r="C55" i="30"/>
  <c r="C19" i="30"/>
  <c r="I78" i="30"/>
  <c r="G93" i="30"/>
  <c r="F66" i="30"/>
  <c r="C75" i="30"/>
  <c r="C39" i="30"/>
  <c r="C3" i="30"/>
  <c r="I59" i="30"/>
  <c r="G45" i="30"/>
  <c r="I64" i="30"/>
  <c r="I28" i="30"/>
  <c r="G86" i="30"/>
  <c r="G50" i="30"/>
  <c r="G14" i="30"/>
  <c r="F45" i="30"/>
  <c r="L4" i="30"/>
  <c r="G94" i="30"/>
  <c r="G22" i="30"/>
  <c r="M61" i="30"/>
  <c r="F20" i="30"/>
  <c r="I47" i="30"/>
  <c r="C14" i="30"/>
  <c r="F21" i="30"/>
  <c r="C64" i="30"/>
  <c r="C28" i="30"/>
  <c r="I87" i="30"/>
  <c r="I26" i="30"/>
  <c r="G12" i="30"/>
  <c r="C84" i="30"/>
  <c r="C48" i="30"/>
  <c r="C12" i="30"/>
  <c r="I71" i="30"/>
  <c r="G72" i="30"/>
  <c r="I37" i="30"/>
  <c r="G95" i="30"/>
  <c r="G59" i="30"/>
  <c r="G23" i="30"/>
  <c r="F72" i="30"/>
  <c r="M70" i="30"/>
  <c r="I15" i="30"/>
  <c r="G37" i="30"/>
  <c r="F6" i="30"/>
  <c r="F35" i="30"/>
  <c r="F64" i="30"/>
  <c r="M9" i="30"/>
  <c r="F61" i="30"/>
  <c r="F25" i="30"/>
  <c r="M46" i="30"/>
  <c r="M66" i="30"/>
  <c r="M30" i="30"/>
  <c r="L19" i="30"/>
  <c r="M59" i="30"/>
  <c r="L61" i="30"/>
  <c r="L63" i="30"/>
  <c r="M7" i="30"/>
  <c r="I21" i="30"/>
  <c r="G67" i="30"/>
  <c r="G7" i="30"/>
  <c r="F41" i="30"/>
  <c r="F82" i="30"/>
  <c r="F34" i="30"/>
  <c r="M75" i="30"/>
  <c r="L82" i="30"/>
  <c r="M56" i="30"/>
  <c r="M29" i="30"/>
  <c r="L60" i="30"/>
  <c r="L71" i="30"/>
  <c r="I18" i="30"/>
  <c r="G52" i="30"/>
  <c r="G4" i="30"/>
  <c r="L58" i="30"/>
  <c r="F38" i="30"/>
  <c r="F79" i="30"/>
  <c r="F19" i="30"/>
  <c r="M60" i="30"/>
  <c r="L73" i="30"/>
  <c r="L102" i="30"/>
  <c r="I103" i="30"/>
  <c r="L103" i="30"/>
  <c r="M109" i="30"/>
  <c r="F114" i="30"/>
  <c r="C102" i="30"/>
  <c r="F120" i="30"/>
  <c r="C109" i="30"/>
  <c r="G104" i="30"/>
  <c r="M105" i="30"/>
  <c r="F118" i="30"/>
  <c r="C104" i="30"/>
  <c r="I115" i="30"/>
  <c r="C85" i="30"/>
  <c r="I110" i="30"/>
  <c r="C106" i="30"/>
  <c r="C105" i="30"/>
  <c r="L117" i="30"/>
  <c r="G112" i="30"/>
  <c r="L106" i="30"/>
  <c r="C117" i="30"/>
  <c r="M104" i="30"/>
  <c r="M118" i="30"/>
  <c r="C107" i="30"/>
  <c r="C92" i="30"/>
  <c r="G51" i="30"/>
  <c r="I96" i="30"/>
  <c r="C57" i="30"/>
  <c r="I46" i="30"/>
  <c r="F90" i="30"/>
  <c r="I36" i="30"/>
  <c r="G58" i="30"/>
  <c r="F56" i="30"/>
  <c r="M31" i="30"/>
  <c r="C121" i="30"/>
  <c r="F121" i="30"/>
  <c r="L121" i="30"/>
  <c r="G113" i="30"/>
  <c r="M113" i="30"/>
  <c r="G69" i="30"/>
  <c r="I29" i="30"/>
  <c r="C53" i="30"/>
  <c r="G87" i="30"/>
  <c r="L99" i="30"/>
  <c r="I91" i="30"/>
  <c r="C94" i="30"/>
  <c r="C58" i="30"/>
  <c r="C22" i="30"/>
  <c r="I81" i="30"/>
  <c r="I8" i="30"/>
  <c r="F88" i="30"/>
  <c r="C78" i="30"/>
  <c r="C42" i="30"/>
  <c r="C6" i="30"/>
  <c r="I63" i="30"/>
  <c r="G54" i="30"/>
  <c r="I67" i="30"/>
  <c r="I31" i="30"/>
  <c r="G89" i="30"/>
  <c r="G53" i="30"/>
  <c r="G17" i="30"/>
  <c r="F54" i="30"/>
  <c r="L85" i="30"/>
  <c r="I3" i="30"/>
  <c r="G25" i="30"/>
  <c r="M88" i="30"/>
  <c r="F23" i="30"/>
  <c r="I108" i="30"/>
  <c r="C119" i="30"/>
  <c r="I107" i="30"/>
  <c r="M107" i="30"/>
  <c r="I116" i="30"/>
  <c r="C111" i="30"/>
  <c r="F111" i="30"/>
  <c r="L111" i="30"/>
  <c r="G98" i="30"/>
  <c r="C83" i="30"/>
  <c r="C8" i="30"/>
  <c r="C59" i="30"/>
  <c r="I11" i="30"/>
  <c r="C79" i="30"/>
  <c r="C43" i="30"/>
  <c r="C7" i="30"/>
  <c r="I65" i="30"/>
  <c r="G57" i="30"/>
  <c r="M79" i="30"/>
  <c r="C63" i="30"/>
  <c r="C27" i="30"/>
  <c r="I86" i="30"/>
  <c r="I23" i="30"/>
  <c r="G9" i="30"/>
  <c r="I52" i="30"/>
  <c r="I16" i="30"/>
  <c r="G74" i="30"/>
  <c r="G38" i="30"/>
  <c r="F96" i="30"/>
  <c r="F9" i="30"/>
  <c r="I48" i="30"/>
  <c r="G70" i="30"/>
  <c r="F92" i="30"/>
  <c r="F68" i="30"/>
  <c r="G33" i="30"/>
  <c r="C86" i="30"/>
  <c r="I73" i="30"/>
  <c r="C88" i="30"/>
  <c r="C52" i="30"/>
  <c r="C16" i="30"/>
  <c r="I75" i="30"/>
  <c r="G84" i="30"/>
  <c r="F39" i="30"/>
  <c r="C72" i="30"/>
  <c r="C36" i="30"/>
  <c r="I95" i="30"/>
  <c r="I50" i="30"/>
  <c r="G36" i="30"/>
  <c r="I61" i="30"/>
  <c r="I25" i="30"/>
  <c r="G83" i="30"/>
  <c r="G47" i="30"/>
  <c r="G11" i="30"/>
  <c r="F36" i="30"/>
  <c r="I57" i="30"/>
  <c r="G85" i="30"/>
  <c r="G13" i="30"/>
  <c r="F83" i="30"/>
  <c r="F11" i="30"/>
  <c r="F8" i="30"/>
  <c r="M94" i="30"/>
  <c r="F85" i="30"/>
  <c r="F49" i="30"/>
  <c r="F13" i="30"/>
  <c r="L67" i="30"/>
  <c r="M90" i="30"/>
  <c r="M54" i="30"/>
  <c r="L91" i="30"/>
  <c r="M95" i="30"/>
  <c r="M47" i="30"/>
  <c r="M17" i="30"/>
  <c r="L48" i="30"/>
  <c r="L53" i="30"/>
  <c r="I9" i="30"/>
  <c r="G43" i="30"/>
  <c r="F89" i="30"/>
  <c r="F77" i="30"/>
  <c r="F29" i="30"/>
  <c r="M85" i="30"/>
  <c r="F70" i="30"/>
  <c r="F10" i="30"/>
  <c r="M73" i="30"/>
  <c r="M51" i="30"/>
  <c r="L46" i="30"/>
  <c r="M92" i="30"/>
  <c r="M32" i="30"/>
  <c r="M14" i="30"/>
  <c r="L24" i="30"/>
  <c r="L47" i="30"/>
  <c r="G88" i="30"/>
  <c r="G40" i="30"/>
  <c r="F51" i="30"/>
  <c r="F74" i="30"/>
  <c r="F14" i="30"/>
  <c r="M76" i="30"/>
  <c r="F55" i="30"/>
  <c r="F7" i="30"/>
  <c r="M27" i="30"/>
  <c r="M96" i="30"/>
  <c r="M48" i="30"/>
  <c r="M77" i="30"/>
  <c r="M110" i="30"/>
  <c r="C98" i="30"/>
  <c r="F103" i="30"/>
  <c r="F101" i="30"/>
  <c r="G109" i="30"/>
  <c r="F106" i="30"/>
  <c r="C112" i="30"/>
  <c r="L112" i="30"/>
  <c r="C56" i="30"/>
  <c r="G114" i="30"/>
  <c r="C103" i="30"/>
  <c r="G101" i="30"/>
  <c r="I117" i="30"/>
  <c r="L120" i="30"/>
  <c r="G106" i="30"/>
  <c r="G117" i="30"/>
  <c r="F112" i="30"/>
  <c r="C20" i="30"/>
  <c r="I94" i="30"/>
  <c r="F98" i="30"/>
  <c r="G100" i="30"/>
  <c r="C26" i="30"/>
  <c r="G6" i="30"/>
  <c r="I62" i="30"/>
  <c r="C49" i="30"/>
  <c r="C13" i="30"/>
  <c r="G75" i="30"/>
  <c r="C69" i="30"/>
  <c r="G27" i="30"/>
  <c r="F117" i="30"/>
  <c r="C118" i="30"/>
  <c r="L118" i="30"/>
  <c r="M100" i="30"/>
  <c r="I109" i="30"/>
  <c r="C120" i="30"/>
  <c r="G103" i="30"/>
  <c r="L119" i="30"/>
  <c r="M106" i="30"/>
  <c r="I120" i="30"/>
  <c r="G102" i="30"/>
  <c r="C115" i="30"/>
  <c r="L115" i="30"/>
  <c r="C71" i="30"/>
  <c r="I104" i="30"/>
  <c r="M103" i="30"/>
  <c r="I105" i="30"/>
  <c r="C110" i="30"/>
  <c r="L110" i="30"/>
  <c r="G96" i="30"/>
  <c r="G119" i="30"/>
  <c r="F104" i="30"/>
  <c r="M102" i="30"/>
  <c r="M112" i="30"/>
  <c r="F115" i="30"/>
  <c r="C11" i="30"/>
  <c r="C29" i="30"/>
  <c r="L100" i="30"/>
  <c r="I85" i="30"/>
  <c r="I99" i="30"/>
  <c r="C41" i="30"/>
  <c r="C73" i="30"/>
  <c r="C37" i="30"/>
  <c r="I53" i="30"/>
  <c r="G39" i="30"/>
  <c r="C93" i="30"/>
  <c r="C21" i="30"/>
  <c r="I80" i="30"/>
  <c r="I5" i="30"/>
  <c r="F84" i="30"/>
  <c r="I10" i="30"/>
  <c r="G68" i="30"/>
  <c r="G32" i="30"/>
  <c r="F69" i="30"/>
  <c r="M101" i="30"/>
  <c r="F110" i="30"/>
  <c r="G118" i="30"/>
  <c r="C74" i="30"/>
  <c r="F109" i="30"/>
  <c r="M114" i="30"/>
  <c r="M117" i="30"/>
  <c r="I106" i="30"/>
  <c r="C114" i="30"/>
  <c r="G108" i="30"/>
  <c r="M119" i="30"/>
  <c r="G115" i="30"/>
  <c r="I88" i="30"/>
  <c r="L109" i="30"/>
  <c r="I119" i="30"/>
  <c r="I101" i="30"/>
  <c r="G107" i="30"/>
  <c r="C101" i="30"/>
  <c r="L101" i="30"/>
  <c r="C108" i="30"/>
  <c r="I114" i="30"/>
  <c r="F107" i="30"/>
  <c r="G110" i="30"/>
  <c r="I118" i="30"/>
  <c r="I56" i="30"/>
  <c r="C35" i="30"/>
  <c r="M120" i="30"/>
  <c r="L108" i="30"/>
  <c r="I102" i="30"/>
  <c r="I112" i="30"/>
  <c r="L104" i="30"/>
  <c r="M115" i="30"/>
  <c r="I100" i="30"/>
  <c r="I79" i="30"/>
  <c r="G15" i="30"/>
  <c r="C62" i="30"/>
  <c r="I20" i="30"/>
  <c r="M99" i="30"/>
  <c r="C5" i="30"/>
  <c r="M18" i="30"/>
  <c r="C61" i="30"/>
  <c r="C25" i="30"/>
  <c r="I84" i="30"/>
  <c r="I17" i="30"/>
  <c r="G3" i="30"/>
  <c r="C81" i="30"/>
  <c r="C45" i="30"/>
  <c r="C9" i="30"/>
  <c r="I68" i="30"/>
  <c r="G63" i="30"/>
  <c r="M52" i="30"/>
  <c r="I34" i="30"/>
  <c r="G92" i="30"/>
  <c r="G56" i="30"/>
  <c r="G20" i="30"/>
  <c r="F63" i="30"/>
  <c r="M43" i="30"/>
  <c r="I12" i="30"/>
  <c r="G34" i="30"/>
  <c r="F32" i="30"/>
  <c r="I121" i="30"/>
  <c r="C113" i="30"/>
  <c r="F113" i="30"/>
  <c r="L113" i="30"/>
  <c r="F75" i="30"/>
  <c r="M98" i="30"/>
  <c r="F100" i="30"/>
  <c r="C17" i="30"/>
  <c r="F48" i="30"/>
  <c r="C68" i="30"/>
  <c r="I38" i="30"/>
  <c r="C82" i="30"/>
  <c r="C46" i="30"/>
  <c r="C10" i="30"/>
  <c r="I69" i="30"/>
  <c r="G66" i="30"/>
  <c r="C66" i="30"/>
  <c r="C30" i="30"/>
  <c r="I89" i="30"/>
  <c r="I32" i="30"/>
  <c r="G18" i="30"/>
  <c r="I55" i="30"/>
  <c r="I19" i="30"/>
  <c r="G77" i="30"/>
  <c r="G41" i="30"/>
  <c r="G5" i="30"/>
  <c r="F18" i="30"/>
  <c r="I51" i="30"/>
  <c r="G73" i="30"/>
  <c r="F95" i="30"/>
  <c r="F71" i="30"/>
  <c r="F108" i="30"/>
  <c r="F119" i="30"/>
  <c r="G105" i="30"/>
  <c r="L105" i="30"/>
  <c r="G116" i="30"/>
  <c r="M116" i="30"/>
  <c r="I111" i="30"/>
  <c r="C47" i="30"/>
  <c r="C38" i="30"/>
  <c r="I70" i="30"/>
  <c r="C80" i="30"/>
  <c r="I66" i="30"/>
  <c r="F99" i="30"/>
  <c r="C23" i="30"/>
  <c r="F91" i="30"/>
  <c r="C67" i="30"/>
  <c r="C31" i="30"/>
  <c r="I90" i="30"/>
  <c r="I35" i="30"/>
  <c r="G21" i="30"/>
  <c r="C87" i="30"/>
  <c r="C51" i="30"/>
  <c r="C15" i="30"/>
  <c r="I74" i="30"/>
  <c r="G81" i="30"/>
  <c r="F30" i="30"/>
  <c r="I40" i="30"/>
  <c r="I4" i="30"/>
  <c r="G62" i="30"/>
  <c r="G26" i="30"/>
  <c r="F81" i="30"/>
  <c r="I24" i="30"/>
  <c r="G46" i="30"/>
  <c r="F33" i="30"/>
  <c r="F44" i="30"/>
  <c r="F76" i="30"/>
  <c r="C99" i="30"/>
  <c r="C50" i="30"/>
  <c r="G78" i="30"/>
  <c r="C76" i="30"/>
  <c r="C40" i="30"/>
  <c r="C4" i="30"/>
  <c r="I60" i="30"/>
  <c r="G48" i="30"/>
  <c r="L31" i="30"/>
  <c r="C60" i="30"/>
  <c r="C24" i="30"/>
  <c r="I83" i="30"/>
  <c r="I14" i="30"/>
  <c r="F94" i="30"/>
  <c r="I49" i="30"/>
  <c r="I13" i="30"/>
  <c r="G71" i="30"/>
  <c r="G35" i="30"/>
  <c r="F93" i="30"/>
  <c r="I39" i="30"/>
  <c r="G61" i="30"/>
  <c r="F78" i="30"/>
  <c r="F59" i="30"/>
  <c r="M67" i="30"/>
  <c r="M58" i="30"/>
  <c r="F73" i="30"/>
  <c r="F37" i="30"/>
  <c r="M82" i="30"/>
  <c r="M78" i="30"/>
  <c r="M42" i="30"/>
  <c r="L55" i="30"/>
  <c r="M83" i="30"/>
  <c r="M12" i="30"/>
  <c r="L96" i="30"/>
  <c r="L6" i="30"/>
  <c r="I45" i="30"/>
  <c r="G79" i="30"/>
  <c r="G31" i="30"/>
  <c r="F24" i="30"/>
  <c r="F65" i="30"/>
  <c r="F5" i="30"/>
  <c r="M49" i="30"/>
  <c r="F46" i="30"/>
  <c r="L40" i="30"/>
  <c r="M87" i="30"/>
  <c r="M39" i="30"/>
  <c r="M68" i="30"/>
  <c r="M3" i="30"/>
  <c r="L75" i="30"/>
  <c r="M25" i="30"/>
  <c r="I30" i="30"/>
  <c r="G76" i="30"/>
  <c r="G16" i="30"/>
  <c r="F15" i="30"/>
  <c r="F50" i="30"/>
  <c r="L49" i="30"/>
  <c r="F43" i="30"/>
  <c r="L13" i="30"/>
  <c r="M84" i="30"/>
  <c r="M15" i="30"/>
  <c r="M41" i="30"/>
  <c r="L34" i="30"/>
  <c r="L87" i="30"/>
  <c r="L39" i="30"/>
  <c r="L89" i="30"/>
  <c r="F52" i="30"/>
  <c r="F16" i="30"/>
  <c r="L94" i="30"/>
  <c r="M93" i="30"/>
  <c r="M57" i="30"/>
  <c r="M6" i="30"/>
  <c r="M74" i="30"/>
  <c r="M38" i="30"/>
  <c r="L25" i="30"/>
  <c r="L84" i="30"/>
  <c r="L36" i="30"/>
  <c r="L83" i="30"/>
  <c r="L27" i="30"/>
  <c r="M16" i="30"/>
  <c r="L74" i="30"/>
  <c r="L38" i="30"/>
  <c r="AE4" i="30"/>
  <c r="F10" i="25" s="1" a="1"/>
  <c r="F10" i="25" s="1"/>
  <c r="L35" i="30"/>
  <c r="C97" i="30"/>
  <c r="L16" i="30"/>
  <c r="L93" i="30"/>
  <c r="L57" i="30"/>
  <c r="L21" i="30"/>
  <c r="M10" i="30"/>
  <c r="L68" i="30"/>
  <c r="L32" i="30"/>
  <c r="I97" i="30"/>
  <c r="L5" i="30"/>
  <c r="M65" i="30"/>
  <c r="M28" i="30"/>
  <c r="M26" i="30"/>
  <c r="L72" i="30"/>
  <c r="L18" i="30"/>
  <c r="L65" i="30"/>
  <c r="F40" i="30"/>
  <c r="F4" i="30"/>
  <c r="M91" i="30"/>
  <c r="M81" i="30"/>
  <c r="M45" i="30"/>
  <c r="L64" i="30"/>
  <c r="M62" i="30"/>
  <c r="M21" i="30"/>
  <c r="M20" i="30"/>
  <c r="L66" i="30"/>
  <c r="L12" i="30"/>
  <c r="L59" i="30"/>
  <c r="L15" i="30"/>
  <c r="M4" i="30"/>
  <c r="L62" i="30"/>
  <c r="L26" i="30"/>
  <c r="C96" i="30"/>
  <c r="L23" i="30"/>
  <c r="L88" i="30"/>
  <c r="M23" i="30"/>
  <c r="L81" i="30"/>
  <c r="L45" i="30"/>
  <c r="L9" i="30"/>
  <c r="L92" i="30"/>
  <c r="L56" i="30"/>
  <c r="L20" i="30"/>
  <c r="M97" i="30"/>
  <c r="G97" i="30"/>
  <c r="M71" i="30"/>
  <c r="M35" i="30"/>
  <c r="L7" i="30"/>
  <c r="L78" i="30"/>
  <c r="L30" i="30"/>
  <c r="L77" i="30"/>
  <c r="I33" i="30"/>
  <c r="G91" i="30"/>
  <c r="G55" i="30"/>
  <c r="G19" i="30"/>
  <c r="F60" i="30"/>
  <c r="M34" i="30"/>
  <c r="F53" i="30"/>
  <c r="F17" i="30"/>
  <c r="L76" i="30"/>
  <c r="F58" i="30"/>
  <c r="F22" i="30"/>
  <c r="M37" i="30"/>
  <c r="M63" i="30"/>
  <c r="M24" i="30"/>
  <c r="L10" i="30"/>
  <c r="M80" i="30"/>
  <c r="M44" i="30"/>
  <c r="L43" i="30"/>
  <c r="L90" i="30"/>
  <c r="L42" i="30"/>
  <c r="L95" i="30"/>
  <c r="I42" i="30"/>
  <c r="I6" i="30"/>
  <c r="G64" i="30"/>
  <c r="G28" i="30"/>
  <c r="F86" i="30"/>
  <c r="F62" i="30"/>
  <c r="F26" i="30"/>
  <c r="M40" i="30"/>
  <c r="F67" i="30"/>
  <c r="F31" i="30"/>
  <c r="M64" i="30"/>
  <c r="M72" i="30"/>
  <c r="M36" i="30"/>
  <c r="L37" i="30"/>
  <c r="M89" i="30"/>
  <c r="M53" i="30"/>
  <c r="L79" i="30"/>
  <c r="M8" i="30"/>
  <c r="L54" i="30"/>
  <c r="M19" i="30"/>
  <c r="L41" i="30"/>
  <c r="F28" i="30"/>
  <c r="M55" i="30"/>
  <c r="M69" i="30"/>
  <c r="M33" i="30"/>
  <c r="L28" i="30"/>
  <c r="M86" i="30"/>
  <c r="M50" i="30"/>
  <c r="L70" i="30"/>
  <c r="M5" i="30"/>
  <c r="L51" i="30"/>
  <c r="M13" i="30"/>
  <c r="L29" i="30"/>
  <c r="L3" i="30"/>
  <c r="L86" i="30"/>
  <c r="L50" i="30"/>
  <c r="L14" i="30"/>
  <c r="F97" i="30"/>
  <c r="L11" i="30"/>
  <c r="L52" i="30"/>
  <c r="M11" i="30"/>
  <c r="L69" i="30"/>
  <c r="L33" i="30"/>
  <c r="M22" i="30"/>
  <c r="L80" i="30"/>
  <c r="L44" i="30"/>
  <c r="L8" i="30"/>
  <c r="L17" i="30"/>
  <c r="F3" i="30"/>
  <c r="B88" i="30"/>
  <c r="B43" i="30"/>
  <c r="B83" i="30"/>
  <c r="B112" i="30"/>
  <c r="B114" i="30"/>
  <c r="B86" i="30"/>
  <c r="B104" i="30"/>
  <c r="B89" i="30"/>
  <c r="B111" i="30"/>
  <c r="G7" i="25" l="1" a="1"/>
  <c r="G7" i="25" s="1"/>
  <c r="G10" i="25" a="1"/>
  <c r="G10" i="25" s="1"/>
  <c r="H10" i="25" a="1"/>
  <c r="H10" i="25" s="1"/>
  <c r="I10" i="25" a="1"/>
  <c r="I10" i="25" s="1"/>
  <c r="H13" i="25" a="1"/>
  <c r="H13" i="25" s="1"/>
  <c r="G13" i="25" a="1"/>
  <c r="G13" i="25" s="1"/>
  <c r="F13" i="25" a="1"/>
  <c r="F13" i="25" s="1"/>
  <c r="I13" i="25" a="1"/>
  <c r="I13" i="25" s="1"/>
  <c r="F6" i="25" a="1"/>
  <c r="F6" i="25" s="1"/>
  <c r="G6" i="25" a="1"/>
  <c r="G6" i="25" s="1"/>
  <c r="I6" i="25" a="1"/>
  <c r="I6" i="25" s="1"/>
  <c r="H6" i="25" a="1"/>
  <c r="H6" i="25" s="1"/>
  <c r="I4" i="25" a="1"/>
  <c r="I4" i="25" s="1"/>
  <c r="H4" i="25" a="1"/>
  <c r="H4" i="25" s="1"/>
  <c r="F4" i="25" a="1"/>
  <c r="F4" i="25" s="1"/>
  <c r="G4" i="25" a="1"/>
  <c r="G4" i="25" s="1"/>
  <c r="I5" i="25" a="1"/>
  <c r="I5" i="25" s="1"/>
  <c r="F5" i="25" a="1"/>
  <c r="F5" i="25" s="1"/>
  <c r="H5" i="25" a="1"/>
  <c r="H5" i="25" s="1"/>
  <c r="G5" i="25" a="1"/>
  <c r="G5" i="25" s="1"/>
  <c r="I7" i="25" a="1"/>
  <c r="I7" i="25" s="1"/>
  <c r="H7" i="25" a="1"/>
  <c r="H7" i="25" s="1"/>
  <c r="F7" i="25" a="1"/>
  <c r="F7" i="25" s="1"/>
  <c r="U111" i="30"/>
  <c r="W111" i="30"/>
  <c r="U83" i="30"/>
  <c r="W83" i="30"/>
  <c r="U117" i="30"/>
  <c r="W117" i="30"/>
  <c r="U85" i="30"/>
  <c r="W85" i="30"/>
  <c r="U99" i="30"/>
  <c r="W99" i="30"/>
  <c r="U115" i="30"/>
  <c r="W115" i="30"/>
  <c r="U90" i="30"/>
  <c r="W90" i="30"/>
  <c r="U89" i="30"/>
  <c r="W89" i="30"/>
  <c r="U114" i="30"/>
  <c r="W114" i="30"/>
  <c r="U73" i="30"/>
  <c r="W73" i="30"/>
  <c r="U84" i="30"/>
  <c r="W84" i="30"/>
  <c r="U96" i="30"/>
  <c r="W96" i="30"/>
  <c r="U118" i="30"/>
  <c r="W118" i="30"/>
  <c r="U80" i="30"/>
  <c r="W80" i="30"/>
  <c r="U70" i="30"/>
  <c r="W70" i="30"/>
  <c r="U81" i="30"/>
  <c r="W81" i="30"/>
  <c r="U97" i="30"/>
  <c r="W97" i="30"/>
  <c r="U65" i="30"/>
  <c r="W65" i="30"/>
  <c r="U93" i="30"/>
  <c r="W93" i="30"/>
  <c r="U109" i="30"/>
  <c r="W109" i="30"/>
  <c r="U110" i="30"/>
  <c r="W110" i="30"/>
  <c r="U79" i="30"/>
  <c r="W79" i="30"/>
  <c r="U75" i="30"/>
  <c r="W75" i="30"/>
  <c r="U120" i="30"/>
  <c r="W120" i="30"/>
  <c r="U77" i="30"/>
  <c r="W77" i="30"/>
  <c r="U108" i="30"/>
  <c r="W108" i="30"/>
  <c r="U68" i="30"/>
  <c r="W68" i="30"/>
  <c r="U121" i="30"/>
  <c r="W121" i="30"/>
  <c r="U86" i="30"/>
  <c r="W86" i="30"/>
  <c r="U74" i="30"/>
  <c r="W74" i="30"/>
  <c r="U67" i="30"/>
  <c r="W67" i="30"/>
  <c r="U105" i="30"/>
  <c r="W105" i="30"/>
  <c r="U94" i="30"/>
  <c r="W94" i="30"/>
  <c r="U116" i="30"/>
  <c r="W116" i="30"/>
  <c r="U82" i="30"/>
  <c r="W82" i="30"/>
  <c r="U103" i="30"/>
  <c r="W103" i="30"/>
  <c r="U113" i="30"/>
  <c r="W113" i="30"/>
  <c r="U76" i="30"/>
  <c r="W76" i="30"/>
  <c r="U72" i="30"/>
  <c r="W72" i="30"/>
  <c r="U104" i="30"/>
  <c r="W104" i="30"/>
  <c r="U112" i="30"/>
  <c r="W112" i="30"/>
  <c r="U88" i="30"/>
  <c r="W88" i="30"/>
  <c r="U69" i="30"/>
  <c r="W69" i="30"/>
  <c r="U101" i="30"/>
  <c r="W101" i="30"/>
  <c r="U100" i="30"/>
  <c r="W100" i="30"/>
  <c r="U66" i="30"/>
  <c r="W66" i="30"/>
  <c r="U106" i="30"/>
  <c r="W106" i="30"/>
  <c r="U98" i="30"/>
  <c r="W98" i="30"/>
  <c r="U78" i="30"/>
  <c r="W78" i="30"/>
  <c r="U119" i="30"/>
  <c r="W119" i="30"/>
  <c r="U95" i="30"/>
  <c r="W95" i="30"/>
  <c r="U64" i="30"/>
  <c r="W64" i="30"/>
  <c r="U107" i="30"/>
  <c r="W107" i="30"/>
  <c r="U71" i="30"/>
  <c r="W71" i="30"/>
  <c r="U63" i="30"/>
  <c r="W63" i="30"/>
  <c r="U102" i="30"/>
  <c r="W102" i="30"/>
  <c r="U92" i="30"/>
  <c r="W92" i="30"/>
  <c r="U91" i="30"/>
  <c r="W91" i="30"/>
  <c r="U87" i="30"/>
  <c r="W87" i="30"/>
  <c r="R111" i="30"/>
  <c r="O111" i="30"/>
  <c r="R89" i="30"/>
  <c r="O89" i="30"/>
  <c r="R104" i="30"/>
  <c r="O104" i="30"/>
  <c r="R86" i="30"/>
  <c r="O86" i="30"/>
  <c r="R114" i="30"/>
  <c r="O114" i="30"/>
  <c r="R112" i="30"/>
  <c r="O112" i="30"/>
  <c r="R83" i="30"/>
  <c r="O83" i="30"/>
  <c r="R43" i="30"/>
  <c r="O43" i="30"/>
  <c r="U43" i="30" s="1"/>
  <c r="R88" i="30"/>
  <c r="O88" i="30"/>
  <c r="R73" i="30"/>
  <c r="O73" i="30"/>
  <c r="R58" i="30"/>
  <c r="O58" i="30"/>
  <c r="U58" i="30" s="1"/>
  <c r="R41" i="30"/>
  <c r="O41" i="30"/>
  <c r="U41" i="30" s="1"/>
  <c r="R84" i="30"/>
  <c r="O84" i="30"/>
  <c r="R69" i="30"/>
  <c r="O69" i="30"/>
  <c r="R54" i="30"/>
  <c r="O54" i="30"/>
  <c r="U54" i="30" s="1"/>
  <c r="R45" i="30"/>
  <c r="O45" i="30"/>
  <c r="U45" i="30" s="1"/>
  <c r="R5" i="30"/>
  <c r="O5" i="30"/>
  <c r="U5" i="30" s="1"/>
  <c r="R35" i="30"/>
  <c r="O35" i="30"/>
  <c r="U35" i="30" s="1"/>
  <c r="R13" i="30"/>
  <c r="O13" i="30"/>
  <c r="U13" i="30" s="1"/>
  <c r="R29" i="30"/>
  <c r="O29" i="30"/>
  <c r="U29" i="30" s="1"/>
  <c r="R31" i="30"/>
  <c r="O31" i="30"/>
  <c r="U31" i="30" s="1"/>
  <c r="R96" i="30"/>
  <c r="O96" i="30"/>
  <c r="R101" i="30"/>
  <c r="O101" i="30"/>
  <c r="R117" i="30"/>
  <c r="O117" i="30"/>
  <c r="R118" i="30"/>
  <c r="O118" i="30"/>
  <c r="R59" i="30"/>
  <c r="O59" i="30"/>
  <c r="U59" i="30" s="1"/>
  <c r="R74" i="30"/>
  <c r="O74" i="30"/>
  <c r="R80" i="30"/>
  <c r="O80" i="30"/>
  <c r="R100" i="30"/>
  <c r="O100" i="30"/>
  <c r="R85" i="30"/>
  <c r="O85" i="30"/>
  <c r="R70" i="30"/>
  <c r="O70" i="30"/>
  <c r="R55" i="30"/>
  <c r="O55" i="30"/>
  <c r="U55" i="30" s="1"/>
  <c r="R99" i="30"/>
  <c r="O99" i="30"/>
  <c r="R81" i="30"/>
  <c r="O81" i="30"/>
  <c r="R66" i="30"/>
  <c r="O66" i="30"/>
  <c r="R42" i="30"/>
  <c r="O42" i="30"/>
  <c r="U42" i="30" s="1"/>
  <c r="R21" i="30"/>
  <c r="O21" i="30"/>
  <c r="U21" i="30" s="1"/>
  <c r="R27" i="30"/>
  <c r="O27" i="30"/>
  <c r="U27" i="30" s="1"/>
  <c r="R11" i="30"/>
  <c r="O11" i="30"/>
  <c r="U11" i="30" s="1"/>
  <c r="R33" i="30"/>
  <c r="O33" i="30"/>
  <c r="U33" i="30" s="1"/>
  <c r="R6" i="30"/>
  <c r="O6" i="30"/>
  <c r="U6" i="30" s="1"/>
  <c r="R34" i="30"/>
  <c r="O34" i="30"/>
  <c r="U34" i="30" s="1"/>
  <c r="R97" i="30"/>
  <c r="O97" i="30"/>
  <c r="R106" i="30"/>
  <c r="O106" i="30"/>
  <c r="R115" i="30"/>
  <c r="O115" i="30"/>
  <c r="R65" i="30"/>
  <c r="O65" i="30"/>
  <c r="R98" i="30"/>
  <c r="O98" i="30"/>
  <c r="R67" i="30"/>
  <c r="O67" i="30"/>
  <c r="R93" i="30"/>
  <c r="O93" i="30"/>
  <c r="R78" i="30"/>
  <c r="O78" i="30"/>
  <c r="R38" i="30"/>
  <c r="O38" i="30"/>
  <c r="U38" i="30" s="1"/>
  <c r="R19" i="30"/>
  <c r="O19" i="30"/>
  <c r="U19" i="30" s="1"/>
  <c r="R15" i="30"/>
  <c r="O15" i="30"/>
  <c r="U15" i="30" s="1"/>
  <c r="R9" i="30"/>
  <c r="O9" i="30"/>
  <c r="U9" i="30" s="1"/>
  <c r="R109" i="30"/>
  <c r="O109" i="30"/>
  <c r="R119" i="30"/>
  <c r="O119" i="30"/>
  <c r="R105" i="30"/>
  <c r="O105" i="30"/>
  <c r="R110" i="30"/>
  <c r="O110" i="30"/>
  <c r="R95" i="30"/>
  <c r="O95" i="30"/>
  <c r="R50" i="30"/>
  <c r="O50" i="30"/>
  <c r="U50" i="30" s="1"/>
  <c r="R56" i="30"/>
  <c r="O56" i="30"/>
  <c r="U56" i="30" s="1"/>
  <c r="R62" i="30"/>
  <c r="O62" i="30"/>
  <c r="U62" i="30" s="1"/>
  <c r="R94" i="30"/>
  <c r="O94" i="30"/>
  <c r="R79" i="30"/>
  <c r="O79" i="30"/>
  <c r="R64" i="30"/>
  <c r="O64" i="30"/>
  <c r="R90" i="30"/>
  <c r="O90" i="30"/>
  <c r="R75" i="30"/>
  <c r="O75" i="30"/>
  <c r="R60" i="30"/>
  <c r="O60" i="30"/>
  <c r="U60" i="30" s="1"/>
  <c r="R44" i="30"/>
  <c r="O44" i="30"/>
  <c r="U44" i="30" s="1"/>
  <c r="R37" i="30"/>
  <c r="O37" i="30"/>
  <c r="U37" i="30" s="1"/>
  <c r="R16" i="30"/>
  <c r="O16" i="30"/>
  <c r="U16" i="30" s="1"/>
  <c r="R20" i="30"/>
  <c r="O20" i="30"/>
  <c r="U20" i="30" s="1"/>
  <c r="R17" i="30"/>
  <c r="O17" i="30"/>
  <c r="U17" i="30" s="1"/>
  <c r="R25" i="30"/>
  <c r="O25" i="30"/>
  <c r="U25" i="30" s="1"/>
  <c r="R18" i="30"/>
  <c r="O18" i="30"/>
  <c r="U18" i="30" s="1"/>
  <c r="R12" i="30"/>
  <c r="O12" i="30"/>
  <c r="U12" i="30" s="1"/>
  <c r="R51" i="30"/>
  <c r="O51" i="30"/>
  <c r="U51" i="30" s="1"/>
  <c r="R30" i="30"/>
  <c r="O30" i="30"/>
  <c r="U30" i="30" s="1"/>
  <c r="R48" i="30"/>
  <c r="O48" i="30"/>
  <c r="U48" i="30" s="1"/>
  <c r="R49" i="30"/>
  <c r="O49" i="30"/>
  <c r="U49" i="30" s="1"/>
  <c r="R26" i="30"/>
  <c r="O26" i="30"/>
  <c r="U26" i="30" s="1"/>
  <c r="R120" i="30"/>
  <c r="O120" i="30"/>
  <c r="R107" i="30"/>
  <c r="O107" i="30"/>
  <c r="R116" i="30"/>
  <c r="O116" i="30"/>
  <c r="R77" i="30"/>
  <c r="O77" i="30"/>
  <c r="R71" i="30"/>
  <c r="O71" i="30"/>
  <c r="R82" i="30"/>
  <c r="O82" i="30"/>
  <c r="R52" i="30"/>
  <c r="O52" i="30"/>
  <c r="U52" i="30" s="1"/>
  <c r="R63" i="30"/>
  <c r="O63" i="30"/>
  <c r="R39" i="30"/>
  <c r="O39" i="30"/>
  <c r="U39" i="30" s="1"/>
  <c r="R10" i="30"/>
  <c r="O10" i="30"/>
  <c r="U10" i="30" s="1"/>
  <c r="R22" i="30"/>
  <c r="O22" i="30"/>
  <c r="U22" i="30" s="1"/>
  <c r="R103" i="30"/>
  <c r="O103" i="30"/>
  <c r="R108" i="30"/>
  <c r="O108" i="30"/>
  <c r="R102" i="30"/>
  <c r="O102" i="30"/>
  <c r="R113" i="30"/>
  <c r="O113" i="30"/>
  <c r="R68" i="30"/>
  <c r="O68" i="30"/>
  <c r="R92" i="30"/>
  <c r="O92" i="30"/>
  <c r="R47" i="30"/>
  <c r="O47" i="30"/>
  <c r="U47" i="30" s="1"/>
  <c r="R53" i="30"/>
  <c r="O53" i="30"/>
  <c r="U53" i="30" s="1"/>
  <c r="R91" i="30"/>
  <c r="O91" i="30"/>
  <c r="R76" i="30"/>
  <c r="O76" i="30"/>
  <c r="R61" i="30"/>
  <c r="O61" i="30"/>
  <c r="U61" i="30" s="1"/>
  <c r="R87" i="30"/>
  <c r="O87" i="30"/>
  <c r="R72" i="30"/>
  <c r="O72" i="30"/>
  <c r="R57" i="30"/>
  <c r="O57" i="30"/>
  <c r="U57" i="30" s="1"/>
  <c r="R8" i="30"/>
  <c r="O8" i="30"/>
  <c r="U8" i="30" s="1"/>
  <c r="R14" i="30"/>
  <c r="O14" i="30"/>
  <c r="U14" i="30" s="1"/>
  <c r="R23" i="30"/>
  <c r="O23" i="30"/>
  <c r="U23" i="30" s="1"/>
  <c r="R24" i="30"/>
  <c r="O24" i="30"/>
  <c r="U24" i="30" s="1"/>
  <c r="R7" i="30"/>
  <c r="O7" i="30"/>
  <c r="U7" i="30" s="1"/>
  <c r="R28" i="30"/>
  <c r="O28" i="30"/>
  <c r="U28" i="30" s="1"/>
  <c r="R4" i="30"/>
  <c r="O4" i="30"/>
  <c r="U4" i="30" s="1"/>
  <c r="R121" i="30"/>
  <c r="O121" i="30"/>
  <c r="R36" i="30"/>
  <c r="O36" i="30"/>
  <c r="U36" i="30" s="1"/>
  <c r="R46" i="30"/>
  <c r="O46" i="30"/>
  <c r="U46" i="30" s="1"/>
  <c r="R40" i="30"/>
  <c r="O40" i="30"/>
  <c r="U40" i="30" s="1"/>
  <c r="R32" i="30"/>
  <c r="O32" i="30"/>
  <c r="U32" i="30" s="1"/>
  <c r="H112" i="30"/>
  <c r="T112" i="30" s="1"/>
  <c r="N112" i="30"/>
  <c r="K112" i="30" a="1"/>
  <c r="K112" i="30" s="1"/>
  <c r="E112" i="30" a="1"/>
  <c r="E112" i="30" s="1"/>
  <c r="Q112" i="30" s="1"/>
  <c r="S112" i="30"/>
  <c r="E11" i="30" a="1"/>
  <c r="E11" i="30" s="1"/>
  <c r="H11" i="30"/>
  <c r="K11" i="30" a="1"/>
  <c r="K11" i="30" s="1"/>
  <c r="N11" i="30"/>
  <c r="S11" i="30"/>
  <c r="H43" i="30"/>
  <c r="E43" i="30" a="1"/>
  <c r="E43" i="30" s="1"/>
  <c r="K43" i="30" a="1"/>
  <c r="K43" i="30" s="1"/>
  <c r="N43" i="30"/>
  <c r="S43" i="30"/>
  <c r="N58" i="30"/>
  <c r="H58" i="30"/>
  <c r="S58" i="30"/>
  <c r="K58" i="30" a="1"/>
  <c r="K58" i="30" s="1"/>
  <c r="E58" i="30" a="1"/>
  <c r="E58" i="30" s="1"/>
  <c r="N45" i="30"/>
  <c r="K45" i="30" a="1"/>
  <c r="K45" i="30" s="1"/>
  <c r="S45" i="30"/>
  <c r="H45" i="30"/>
  <c r="E45" i="30" a="1"/>
  <c r="E45" i="30" s="1"/>
  <c r="K31" i="30" a="1"/>
  <c r="K31" i="30" s="1"/>
  <c r="N31" i="30"/>
  <c r="E31" i="30" a="1"/>
  <c r="E31" i="30" s="1"/>
  <c r="S31" i="30"/>
  <c r="H31" i="30"/>
  <c r="K59" i="30" a="1"/>
  <c r="K59" i="30" s="1"/>
  <c r="H59" i="30"/>
  <c r="E59" i="30" a="1"/>
  <c r="E59" i="30" s="1"/>
  <c r="S59" i="30"/>
  <c r="N59" i="30"/>
  <c r="K70" i="30" a="1"/>
  <c r="K70" i="30" s="1"/>
  <c r="E70" i="30" a="1"/>
  <c r="E70" i="30" s="1"/>
  <c r="Q70" i="30" s="1"/>
  <c r="S70" i="30"/>
  <c r="N70" i="30"/>
  <c r="H70" i="30"/>
  <c r="T70" i="30" s="1"/>
  <c r="H42" i="30"/>
  <c r="E42" i="30" a="1"/>
  <c r="E42" i="30" s="1"/>
  <c r="N42" i="30"/>
  <c r="K42" i="30" a="1"/>
  <c r="K42" i="30" s="1"/>
  <c r="S42" i="30"/>
  <c r="K6" i="30" a="1"/>
  <c r="K6" i="30" s="1"/>
  <c r="E6" i="30" a="1"/>
  <c r="E6" i="30" s="1"/>
  <c r="H6" i="30"/>
  <c r="S6" i="30"/>
  <c r="N6" i="30"/>
  <c r="N65" i="30"/>
  <c r="S65" i="30"/>
  <c r="E65" i="30" a="1"/>
  <c r="E65" i="30" s="1"/>
  <c r="K65" i="30" a="1"/>
  <c r="K65" i="30" s="1"/>
  <c r="Q65" i="30" s="1"/>
  <c r="H65" i="30"/>
  <c r="T65" i="30"/>
  <c r="K38" i="30" a="1"/>
  <c r="K38" i="30" s="1"/>
  <c r="H38" i="30"/>
  <c r="E38" i="30" a="1"/>
  <c r="E38" i="30" s="1"/>
  <c r="N38" i="30"/>
  <c r="S38" i="30"/>
  <c r="N119" i="30"/>
  <c r="T119" i="30" s="1"/>
  <c r="H119" i="30"/>
  <c r="K119" i="30" a="1"/>
  <c r="K119" i="30" s="1"/>
  <c r="E119" i="30" a="1"/>
  <c r="E119" i="30" s="1"/>
  <c r="Q119" i="30" s="1"/>
  <c r="S119" i="30"/>
  <c r="N56" i="30"/>
  <c r="K56" i="30" a="1"/>
  <c r="K56" i="30" s="1"/>
  <c r="E56" i="30" a="1"/>
  <c r="E56" i="30" s="1"/>
  <c r="H56" i="30"/>
  <c r="S56" i="30"/>
  <c r="N90" i="30"/>
  <c r="H90" i="30"/>
  <c r="T90" i="30" s="1"/>
  <c r="E90" i="30" a="1"/>
  <c r="E90" i="30" s="1"/>
  <c r="Q90" i="30" s="1"/>
  <c r="S90" i="30"/>
  <c r="K90" i="30" a="1"/>
  <c r="K90" i="30" s="1"/>
  <c r="N16" i="30"/>
  <c r="H16" i="30"/>
  <c r="K16" i="30" a="1"/>
  <c r="K16" i="30" s="1"/>
  <c r="S16" i="30"/>
  <c r="E16" i="30" a="1"/>
  <c r="E16" i="30" s="1"/>
  <c r="E12" i="30" a="1"/>
  <c r="E12" i="30" s="1"/>
  <c r="S12" i="30"/>
  <c r="H12" i="30"/>
  <c r="K12" i="30" a="1"/>
  <c r="K12" i="30" s="1"/>
  <c r="N12" i="30"/>
  <c r="E26" i="30" a="1"/>
  <c r="E26" i="30" s="1"/>
  <c r="S26" i="30"/>
  <c r="H26" i="30"/>
  <c r="K26" i="30" a="1"/>
  <c r="K26" i="30" s="1"/>
  <c r="N26" i="30"/>
  <c r="S71" i="30"/>
  <c r="K71" i="30" a="1"/>
  <c r="K71" i="30" s="1"/>
  <c r="Q71" i="30" s="1"/>
  <c r="E71" i="30" a="1"/>
  <c r="E71" i="30" s="1"/>
  <c r="N71" i="30"/>
  <c r="T71" i="30" s="1"/>
  <c r="H71" i="30"/>
  <c r="H10" i="30"/>
  <c r="S10" i="30"/>
  <c r="K10" i="30" a="1"/>
  <c r="K10" i="30" s="1"/>
  <c r="E10" i="30" a="1"/>
  <c r="E10" i="30" s="1"/>
  <c r="N10" i="30"/>
  <c r="E113" i="30" a="1"/>
  <c r="E113" i="30" s="1"/>
  <c r="Q113" i="30" s="1"/>
  <c r="K113" i="30" a="1"/>
  <c r="K113" i="30" s="1"/>
  <c r="N113" i="30"/>
  <c r="T113" i="30" s="1"/>
  <c r="S113" i="30"/>
  <c r="H113" i="30"/>
  <c r="K91" i="30" a="1"/>
  <c r="K91" i="30" s="1"/>
  <c r="N91" i="30"/>
  <c r="E91" i="30" a="1"/>
  <c r="E91" i="30" s="1"/>
  <c r="Q91" i="30" s="1"/>
  <c r="S91" i="30"/>
  <c r="H91" i="30"/>
  <c r="T91" i="30" s="1"/>
  <c r="E57" i="30" a="1"/>
  <c r="E57" i="30" s="1"/>
  <c r="N57" i="30"/>
  <c r="S57" i="30"/>
  <c r="K57" i="30" a="1"/>
  <c r="K57" i="30" s="1"/>
  <c r="H57" i="30"/>
  <c r="K7" i="30" a="1"/>
  <c r="K7" i="30" s="1"/>
  <c r="H7" i="30"/>
  <c r="S7" i="30"/>
  <c r="N7" i="30"/>
  <c r="E7" i="30" a="1"/>
  <c r="E7" i="30" s="1"/>
  <c r="H36" i="30"/>
  <c r="N36" i="30"/>
  <c r="E36" i="30" a="1"/>
  <c r="E36" i="30" s="1"/>
  <c r="K36" i="30" a="1"/>
  <c r="K36" i="30" s="1"/>
  <c r="S36" i="30"/>
  <c r="S111" i="30"/>
  <c r="N111" i="30"/>
  <c r="H111" i="30"/>
  <c r="K111" i="30" a="1"/>
  <c r="K111" i="30" s="1"/>
  <c r="E111" i="30" a="1"/>
  <c r="E111" i="30" s="1"/>
  <c r="Q111" i="30" s="1"/>
  <c r="T111" i="30"/>
  <c r="N93" i="30"/>
  <c r="H93" i="30"/>
  <c r="T93" i="30" s="1"/>
  <c r="S93" i="30"/>
  <c r="E93" i="30" a="1"/>
  <c r="E93" i="30" s="1"/>
  <c r="K93" i="30" a="1"/>
  <c r="K93" i="30" s="1"/>
  <c r="Q93" i="30" s="1"/>
  <c r="S104" i="30"/>
  <c r="T104" i="30"/>
  <c r="N104" i="30"/>
  <c r="K104" i="30" a="1"/>
  <c r="K104" i="30" s="1"/>
  <c r="E104" i="30" a="1"/>
  <c r="E104" i="30" s="1"/>
  <c r="Q104" i="30" s="1"/>
  <c r="H104" i="30"/>
  <c r="H86" i="30"/>
  <c r="T86" i="30" s="1"/>
  <c r="Q86" i="30"/>
  <c r="S86" i="30"/>
  <c r="N86" i="30"/>
  <c r="K86" i="30" a="1"/>
  <c r="K86" i="30" s="1"/>
  <c r="E86" i="30" a="1"/>
  <c r="E86" i="30" s="1"/>
  <c r="E88" i="30" a="1"/>
  <c r="E88" i="30" s="1"/>
  <c r="Q88" i="30" s="1"/>
  <c r="K88" i="30" a="1"/>
  <c r="K88" i="30" s="1"/>
  <c r="S88" i="30"/>
  <c r="N88" i="30"/>
  <c r="H88" i="30"/>
  <c r="T88" i="30" s="1"/>
  <c r="E41" i="30" a="1"/>
  <c r="E41" i="30" s="1"/>
  <c r="S41" i="30"/>
  <c r="K41" i="30" a="1"/>
  <c r="K41" i="30" s="1"/>
  <c r="H41" i="30"/>
  <c r="N41" i="30"/>
  <c r="K5" i="30" a="1"/>
  <c r="K5" i="30" s="1"/>
  <c r="N5" i="30"/>
  <c r="E5" i="30" a="1"/>
  <c r="E5" i="30" s="1"/>
  <c r="S5" i="30"/>
  <c r="H5" i="30"/>
  <c r="K96" i="30" a="1"/>
  <c r="K96" i="30" s="1"/>
  <c r="S96" i="30"/>
  <c r="Q96" i="30"/>
  <c r="H96" i="30"/>
  <c r="T96" i="30" s="1"/>
  <c r="E96" i="30" a="1"/>
  <c r="E96" i="30" s="1"/>
  <c r="N96" i="30"/>
  <c r="S74" i="30"/>
  <c r="K74" i="30" a="1"/>
  <c r="K74" i="30" s="1"/>
  <c r="H74" i="30"/>
  <c r="E74" i="30" a="1"/>
  <c r="E74" i="30" s="1"/>
  <c r="Q74" i="30" s="1"/>
  <c r="T74" i="30"/>
  <c r="N74" i="30"/>
  <c r="E55" i="30" a="1"/>
  <c r="E55" i="30" s="1"/>
  <c r="K55" i="30" a="1"/>
  <c r="K55" i="30" s="1"/>
  <c r="H55" i="30"/>
  <c r="S55" i="30"/>
  <c r="N55" i="30"/>
  <c r="K21" i="30" a="1"/>
  <c r="K21" i="30" s="1"/>
  <c r="H21" i="30"/>
  <c r="E21" i="30" a="1"/>
  <c r="E21" i="30" s="1"/>
  <c r="S21" i="30"/>
  <c r="N21" i="30"/>
  <c r="N34" i="30"/>
  <c r="K34" i="30" a="1"/>
  <c r="K34" i="30" s="1"/>
  <c r="S34" i="30"/>
  <c r="E34" i="30" a="1"/>
  <c r="E34" i="30" s="1"/>
  <c r="H34" i="30"/>
  <c r="K98" i="30" a="1"/>
  <c r="K98" i="30" s="1"/>
  <c r="Q98" i="30" s="1"/>
  <c r="H98" i="30"/>
  <c r="E98" i="30" a="1"/>
  <c r="E98" i="30" s="1"/>
  <c r="S98" i="30"/>
  <c r="T98" i="30"/>
  <c r="N98" i="30"/>
  <c r="E19" i="30" a="1"/>
  <c r="E19" i="30" s="1"/>
  <c r="N19" i="30"/>
  <c r="K19" i="30" a="1"/>
  <c r="K19" i="30" s="1"/>
  <c r="H19" i="30"/>
  <c r="S19" i="30"/>
  <c r="K105" i="30" a="1"/>
  <c r="K105" i="30" s="1"/>
  <c r="H105" i="30"/>
  <c r="N105" i="30"/>
  <c r="E105" i="30" a="1"/>
  <c r="E105" i="30" s="1"/>
  <c r="Q105" i="30" s="1"/>
  <c r="S105" i="30"/>
  <c r="T105" i="30"/>
  <c r="S62" i="30"/>
  <c r="H62" i="30"/>
  <c r="E62" i="30" a="1"/>
  <c r="E62" i="30" s="1"/>
  <c r="K62" i="30" a="1"/>
  <c r="K62" i="30" s="1"/>
  <c r="N62" i="30"/>
  <c r="S75" i="30"/>
  <c r="H75" i="30"/>
  <c r="T75" i="30" s="1"/>
  <c r="E75" i="30" a="1"/>
  <c r="E75" i="30" s="1"/>
  <c r="Q75" i="30" s="1"/>
  <c r="K75" i="30" a="1"/>
  <c r="K75" i="30" s="1"/>
  <c r="N75" i="30"/>
  <c r="S20" i="30"/>
  <c r="N20" i="30"/>
  <c r="K20" i="30" a="1"/>
  <c r="K20" i="30" s="1"/>
  <c r="E20" i="30" a="1"/>
  <c r="E20" i="30" s="1"/>
  <c r="H20" i="30"/>
  <c r="E51" i="30" a="1"/>
  <c r="E51" i="30" s="1"/>
  <c r="K51" i="30" a="1"/>
  <c r="K51" i="30" s="1"/>
  <c r="S51" i="30"/>
  <c r="H51" i="30"/>
  <c r="N51" i="30"/>
  <c r="K120" i="30" a="1"/>
  <c r="K120" i="30" s="1"/>
  <c r="N120" i="30"/>
  <c r="E120" i="30" a="1"/>
  <c r="E120" i="30" s="1"/>
  <c r="Q120" i="30" s="1"/>
  <c r="S120" i="30"/>
  <c r="H120" i="30"/>
  <c r="T120" i="30" s="1"/>
  <c r="E82" i="30" a="1"/>
  <c r="E82" i="30" s="1"/>
  <c r="Q82" i="30"/>
  <c r="S82" i="30"/>
  <c r="N82" i="30"/>
  <c r="K82" i="30" a="1"/>
  <c r="K82" i="30" s="1"/>
  <c r="H82" i="30"/>
  <c r="T82" i="30" s="1"/>
  <c r="N22" i="30"/>
  <c r="S22" i="30"/>
  <c r="E22" i="30" a="1"/>
  <c r="E22" i="30" s="1"/>
  <c r="K22" i="30" a="1"/>
  <c r="K22" i="30" s="1"/>
  <c r="H22" i="30"/>
  <c r="Q68" i="30"/>
  <c r="K68" i="30" a="1"/>
  <c r="K68" i="30" s="1"/>
  <c r="E68" i="30" a="1"/>
  <c r="E68" i="30" s="1"/>
  <c r="S68" i="30"/>
  <c r="N68" i="30"/>
  <c r="T68" i="30" s="1"/>
  <c r="H68" i="30"/>
  <c r="E76" i="30" a="1"/>
  <c r="E76" i="30" s="1"/>
  <c r="K76" i="30" a="1"/>
  <c r="K76" i="30" s="1"/>
  <c r="N76" i="30"/>
  <c r="T76" i="30" s="1"/>
  <c r="H76" i="30"/>
  <c r="Q76" i="30"/>
  <c r="S76" i="30"/>
  <c r="E8" i="30" a="1"/>
  <c r="E8" i="30" s="1"/>
  <c r="N8" i="30"/>
  <c r="K8" i="30" a="1"/>
  <c r="K8" i="30" s="1"/>
  <c r="H8" i="30"/>
  <c r="S8" i="30"/>
  <c r="N28" i="30"/>
  <c r="S28" i="30"/>
  <c r="E28" i="30" a="1"/>
  <c r="E28" i="30" s="1"/>
  <c r="K28" i="30" a="1"/>
  <c r="K28" i="30" s="1"/>
  <c r="H28" i="30"/>
  <c r="K46" i="30" a="1"/>
  <c r="K46" i="30" s="1"/>
  <c r="H46" i="30"/>
  <c r="E46" i="30" a="1"/>
  <c r="E46" i="30" s="1"/>
  <c r="N46" i="30"/>
  <c r="S46" i="30"/>
  <c r="S114" i="30"/>
  <c r="N114" i="30"/>
  <c r="H114" i="30"/>
  <c r="T114" i="30" s="1"/>
  <c r="E114" i="30" a="1"/>
  <c r="E114" i="30" s="1"/>
  <c r="Q114" i="30" s="1"/>
  <c r="K114" i="30" a="1"/>
  <c r="K114" i="30" s="1"/>
  <c r="E84" i="30" a="1"/>
  <c r="E84" i="30" s="1"/>
  <c r="T84" i="30"/>
  <c r="S84" i="30"/>
  <c r="H84" i="30"/>
  <c r="K84" i="30" a="1"/>
  <c r="K84" i="30" s="1"/>
  <c r="Q84" i="30" s="1"/>
  <c r="N84" i="30"/>
  <c r="K35" i="30" a="1"/>
  <c r="K35" i="30" s="1"/>
  <c r="N35" i="30"/>
  <c r="E35" i="30" a="1"/>
  <c r="E35" i="30" s="1"/>
  <c r="S35" i="30"/>
  <c r="H35" i="30"/>
  <c r="K101" i="30" a="1"/>
  <c r="K101" i="30" s="1"/>
  <c r="H101" i="30"/>
  <c r="T101" i="30" s="1"/>
  <c r="E101" i="30" a="1"/>
  <c r="E101" i="30" s="1"/>
  <c r="Q101" i="30" s="1"/>
  <c r="N101" i="30"/>
  <c r="S101" i="30"/>
  <c r="E80" i="30" a="1"/>
  <c r="E80" i="30" s="1"/>
  <c r="Q80" i="30" s="1"/>
  <c r="N80" i="30"/>
  <c r="K80" i="30" a="1"/>
  <c r="K80" i="30" s="1"/>
  <c r="H80" i="30"/>
  <c r="T80" i="30" s="1"/>
  <c r="S80" i="30"/>
  <c r="Q99" i="30"/>
  <c r="H99" i="30"/>
  <c r="T99" i="30" s="1"/>
  <c r="S99" i="30"/>
  <c r="N99" i="30"/>
  <c r="K99" i="30" a="1"/>
  <c r="K99" i="30" s="1"/>
  <c r="E99" i="30" a="1"/>
  <c r="E99" i="30" s="1"/>
  <c r="N27" i="30"/>
  <c r="K27" i="30" a="1"/>
  <c r="K27" i="30" s="1"/>
  <c r="S27" i="30"/>
  <c r="E27" i="30" a="1"/>
  <c r="E27" i="30" s="1"/>
  <c r="H27" i="30"/>
  <c r="E97" i="30" a="1"/>
  <c r="E97" i="30" s="1"/>
  <c r="Q97" i="30" s="1"/>
  <c r="S97" i="30"/>
  <c r="H97" i="30"/>
  <c r="K97" i="30" a="1"/>
  <c r="K97" i="30" s="1"/>
  <c r="N97" i="30"/>
  <c r="T97" i="30" s="1"/>
  <c r="N67" i="30"/>
  <c r="E67" i="30" a="1"/>
  <c r="E67" i="30" s="1"/>
  <c r="Q67" i="30" s="1"/>
  <c r="K67" i="30" a="1"/>
  <c r="K67" i="30" s="1"/>
  <c r="H67" i="30"/>
  <c r="T67" i="30" s="1"/>
  <c r="S67" i="30"/>
  <c r="H15" i="30"/>
  <c r="E15" i="30" a="1"/>
  <c r="E15" i="30" s="1"/>
  <c r="N15" i="30"/>
  <c r="K15" i="30" a="1"/>
  <c r="K15" i="30" s="1"/>
  <c r="S15" i="30"/>
  <c r="E110" i="30" a="1"/>
  <c r="E110" i="30" s="1"/>
  <c r="N110" i="30"/>
  <c r="Q110" i="30"/>
  <c r="S110" i="30"/>
  <c r="K110" i="30" a="1"/>
  <c r="K110" i="30" s="1"/>
  <c r="H110" i="30"/>
  <c r="T110" i="30" s="1"/>
  <c r="N94" i="30"/>
  <c r="T94" i="30"/>
  <c r="E94" i="30" a="1"/>
  <c r="E94" i="30" s="1"/>
  <c r="Q94" i="30" s="1"/>
  <c r="H94" i="30"/>
  <c r="K94" i="30" a="1"/>
  <c r="K94" i="30" s="1"/>
  <c r="S94" i="30"/>
  <c r="E60" i="30" a="1"/>
  <c r="E60" i="30" s="1"/>
  <c r="S60" i="30"/>
  <c r="N60" i="30"/>
  <c r="K60" i="30" a="1"/>
  <c r="K60" i="30" s="1"/>
  <c r="H60" i="30"/>
  <c r="S17" i="30"/>
  <c r="N17" i="30"/>
  <c r="K17" i="30" a="1"/>
  <c r="K17" i="30" s="1"/>
  <c r="E17" i="30" a="1"/>
  <c r="E17" i="30" s="1"/>
  <c r="H17" i="30"/>
  <c r="S30" i="30"/>
  <c r="K30" i="30" a="1"/>
  <c r="K30" i="30" s="1"/>
  <c r="H30" i="30"/>
  <c r="E30" i="30" a="1"/>
  <c r="E30" i="30" s="1"/>
  <c r="N30" i="30"/>
  <c r="K107" i="30" a="1"/>
  <c r="K107" i="30" s="1"/>
  <c r="H107" i="30"/>
  <c r="T107" i="30" s="1"/>
  <c r="S107" i="30"/>
  <c r="E107" i="30" a="1"/>
  <c r="E107" i="30" s="1"/>
  <c r="Q107" i="30" s="1"/>
  <c r="N107" i="30"/>
  <c r="N52" i="30"/>
  <c r="E52" i="30" a="1"/>
  <c r="E52" i="30" s="1"/>
  <c r="H52" i="30"/>
  <c r="K52" i="30" a="1"/>
  <c r="K52" i="30" s="1"/>
  <c r="S52" i="30"/>
  <c r="K103" i="30" a="1"/>
  <c r="K103" i="30" s="1"/>
  <c r="E103" i="30" a="1"/>
  <c r="E103" i="30" s="1"/>
  <c r="H103" i="30"/>
  <c r="S103" i="30"/>
  <c r="Q103" i="30"/>
  <c r="N103" i="30"/>
  <c r="T103" i="30" s="1"/>
  <c r="H92" i="30"/>
  <c r="T92" i="30" s="1"/>
  <c r="E92" i="30" a="1"/>
  <c r="E92" i="30" s="1"/>
  <c r="K92" i="30" a="1"/>
  <c r="K92" i="30" s="1"/>
  <c r="Q92" i="30" s="1"/>
  <c r="S92" i="30"/>
  <c r="N92" i="30"/>
  <c r="N61" i="30"/>
  <c r="E61" i="30" a="1"/>
  <c r="E61" i="30" s="1"/>
  <c r="S61" i="30"/>
  <c r="H61" i="30"/>
  <c r="K61" i="30" a="1"/>
  <c r="K61" i="30" s="1"/>
  <c r="K14" i="30" a="1"/>
  <c r="K14" i="30" s="1"/>
  <c r="N14" i="30"/>
  <c r="S14" i="30"/>
  <c r="E14" i="30" a="1"/>
  <c r="E14" i="30" s="1"/>
  <c r="H14" i="30"/>
  <c r="K4" i="30" a="1"/>
  <c r="K4" i="30" s="1"/>
  <c r="E4" i="30" a="1"/>
  <c r="E4" i="30" s="1"/>
  <c r="H4" i="30"/>
  <c r="N4" i="30"/>
  <c r="S4" i="30"/>
  <c r="H40" i="30"/>
  <c r="K40" i="30" a="1"/>
  <c r="K40" i="30" s="1"/>
  <c r="N40" i="30"/>
  <c r="E40" i="30" a="1"/>
  <c r="E40" i="30" s="1"/>
  <c r="S40" i="30"/>
  <c r="AA7" i="25"/>
  <c r="AA13" i="25"/>
  <c r="AA10" i="25"/>
  <c r="AA8" i="25"/>
  <c r="AA9" i="25"/>
  <c r="AA15" i="25"/>
  <c r="AA14" i="25"/>
  <c r="AA11" i="25"/>
  <c r="AA6" i="25"/>
  <c r="AA5" i="25"/>
  <c r="AA4" i="25"/>
  <c r="AA12" i="25"/>
  <c r="AA16" i="25"/>
  <c r="E69" i="30" a="1"/>
  <c r="E69" i="30" s="1"/>
  <c r="Q69" i="30" s="1"/>
  <c r="N69" i="30"/>
  <c r="K69" i="30" a="1"/>
  <c r="K69" i="30" s="1"/>
  <c r="S69" i="30"/>
  <c r="H69" i="30"/>
  <c r="T69" i="30" s="1"/>
  <c r="K13" i="30" a="1"/>
  <c r="K13" i="30" s="1"/>
  <c r="N13" i="30"/>
  <c r="E13" i="30" a="1"/>
  <c r="E13" i="30" s="1"/>
  <c r="S13" i="30"/>
  <c r="H13" i="30"/>
  <c r="K117" i="30" a="1"/>
  <c r="K117" i="30" s="1"/>
  <c r="N117" i="30"/>
  <c r="E117" i="30" a="1"/>
  <c r="E117" i="30" s="1"/>
  <c r="Q117" i="30" s="1"/>
  <c r="H117" i="30"/>
  <c r="T117" i="30" s="1"/>
  <c r="S117" i="30"/>
  <c r="K100" i="30" a="1"/>
  <c r="K100" i="30" s="1"/>
  <c r="E100" i="30" a="1"/>
  <c r="E100" i="30" s="1"/>
  <c r="S100" i="30"/>
  <c r="Q100" i="30"/>
  <c r="N100" i="30"/>
  <c r="H100" i="30"/>
  <c r="T100" i="30" s="1"/>
  <c r="K81" i="30" a="1"/>
  <c r="K81" i="30" s="1"/>
  <c r="N81" i="30"/>
  <c r="E81" i="30" a="1"/>
  <c r="E81" i="30" s="1"/>
  <c r="Q81" i="30" s="1"/>
  <c r="H81" i="30"/>
  <c r="T81" i="30"/>
  <c r="S81" i="30"/>
  <c r="E106" i="30" a="1"/>
  <c r="E106" i="30" s="1"/>
  <c r="H106" i="30"/>
  <c r="S106" i="30"/>
  <c r="T106" i="30"/>
  <c r="N106" i="30"/>
  <c r="Q106" i="30"/>
  <c r="K106" i="30" a="1"/>
  <c r="K106" i="30" s="1"/>
  <c r="E9" i="30" a="1"/>
  <c r="E9" i="30" s="1"/>
  <c r="K9" i="30" a="1"/>
  <c r="K9" i="30" s="1"/>
  <c r="H9" i="30"/>
  <c r="S9" i="30"/>
  <c r="N9" i="30"/>
  <c r="H95" i="30"/>
  <c r="Q95" i="30"/>
  <c r="K95" i="30" a="1"/>
  <c r="K95" i="30" s="1"/>
  <c r="E95" i="30" a="1"/>
  <c r="E95" i="30" s="1"/>
  <c r="S95" i="30"/>
  <c r="N95" i="30"/>
  <c r="T95" i="30" s="1"/>
  <c r="K79" i="30" a="1"/>
  <c r="K79" i="30" s="1"/>
  <c r="H79" i="30"/>
  <c r="Q79" i="30"/>
  <c r="N79" i="30"/>
  <c r="E79" i="30" a="1"/>
  <c r="E79" i="30" s="1"/>
  <c r="T79" i="30"/>
  <c r="S79" i="30"/>
  <c r="E44" i="30" a="1"/>
  <c r="E44" i="30" s="1"/>
  <c r="H44" i="30"/>
  <c r="K44" i="30" a="1"/>
  <c r="K44" i="30" s="1"/>
  <c r="N44" i="30"/>
  <c r="S44" i="30"/>
  <c r="N25" i="30"/>
  <c r="H25" i="30"/>
  <c r="E25" i="30" a="1"/>
  <c r="E25" i="30" s="1"/>
  <c r="S25" i="30"/>
  <c r="K25" i="30" a="1"/>
  <c r="K25" i="30" s="1"/>
  <c r="E48" i="30" a="1"/>
  <c r="E48" i="30" s="1"/>
  <c r="S48" i="30"/>
  <c r="H48" i="30"/>
  <c r="K48" i="30" a="1"/>
  <c r="K48" i="30" s="1"/>
  <c r="N48" i="30"/>
  <c r="K116" i="30" a="1"/>
  <c r="K116" i="30" s="1"/>
  <c r="H116" i="30"/>
  <c r="S116" i="30"/>
  <c r="Q116" i="30"/>
  <c r="E116" i="30" a="1"/>
  <c r="E116" i="30" s="1"/>
  <c r="N116" i="30"/>
  <c r="T116" i="30" s="1"/>
  <c r="S63" i="30"/>
  <c r="N63" i="30"/>
  <c r="E63" i="30" a="1"/>
  <c r="E63" i="30" s="1"/>
  <c r="K63" i="30" a="1"/>
  <c r="K63" i="30" s="1"/>
  <c r="Q63" i="30" s="1"/>
  <c r="H63" i="30"/>
  <c r="T63" i="30" s="1"/>
  <c r="E108" i="30" a="1"/>
  <c r="E108" i="30" s="1"/>
  <c r="Q108" i="30"/>
  <c r="N108" i="30"/>
  <c r="H108" i="30"/>
  <c r="T108" i="30" s="1"/>
  <c r="K108" i="30" a="1"/>
  <c r="K108" i="30" s="1"/>
  <c r="S108" i="30"/>
  <c r="H47" i="30"/>
  <c r="S47" i="30"/>
  <c r="E47" i="30" a="1"/>
  <c r="E47" i="30" s="1"/>
  <c r="K47" i="30" a="1"/>
  <c r="K47" i="30" s="1"/>
  <c r="N47" i="30"/>
  <c r="E87" i="30" a="1"/>
  <c r="E87" i="30" s="1"/>
  <c r="H87" i="30"/>
  <c r="Q87" i="30"/>
  <c r="N87" i="30"/>
  <c r="S87" i="30"/>
  <c r="K87" i="30" a="1"/>
  <c r="K87" i="30" s="1"/>
  <c r="T87" i="30"/>
  <c r="H23" i="30"/>
  <c r="N23" i="30"/>
  <c r="S23" i="30"/>
  <c r="K23" i="30" a="1"/>
  <c r="K23" i="30" s="1"/>
  <c r="E23" i="30" a="1"/>
  <c r="E23" i="30" s="1"/>
  <c r="H89" i="30"/>
  <c r="E89" i="30" a="1"/>
  <c r="E89" i="30" s="1"/>
  <c r="S89" i="30"/>
  <c r="N89" i="30"/>
  <c r="T89" i="30"/>
  <c r="K89" i="30" a="1"/>
  <c r="K89" i="30" s="1"/>
  <c r="Q89" i="30" s="1"/>
  <c r="T83" i="30"/>
  <c r="E83" i="30" a="1"/>
  <c r="E83" i="30" s="1"/>
  <c r="Q83" i="30" s="1"/>
  <c r="H83" i="30"/>
  <c r="S83" i="30"/>
  <c r="N83" i="30"/>
  <c r="K83" i="30" a="1"/>
  <c r="K83" i="30" s="1"/>
  <c r="B3" i="30"/>
  <c r="E73" i="30" a="1"/>
  <c r="E73" i="30" s="1"/>
  <c r="Q73" i="30" s="1"/>
  <c r="H73" i="30"/>
  <c r="S73" i="30"/>
  <c r="K73" i="30" a="1"/>
  <c r="K73" i="30" s="1"/>
  <c r="T73" i="30"/>
  <c r="N73" i="30"/>
  <c r="E54" i="30" a="1"/>
  <c r="E54" i="30" s="1"/>
  <c r="N54" i="30"/>
  <c r="S54" i="30"/>
  <c r="K54" i="30" a="1"/>
  <c r="K54" i="30" s="1"/>
  <c r="H54" i="30"/>
  <c r="N29" i="30"/>
  <c r="S29" i="30"/>
  <c r="E29" i="30" a="1"/>
  <c r="E29" i="30" s="1"/>
  <c r="K29" i="30" a="1"/>
  <c r="K29" i="30" s="1"/>
  <c r="H29" i="30"/>
  <c r="E118" i="30" a="1"/>
  <c r="E118" i="30" s="1"/>
  <c r="Q118" i="30" s="1"/>
  <c r="S118" i="30"/>
  <c r="K118" i="30" a="1"/>
  <c r="K118" i="30" s="1"/>
  <c r="N118" i="30"/>
  <c r="T118" i="30" s="1"/>
  <c r="H118" i="30"/>
  <c r="K85" i="30" a="1"/>
  <c r="K85" i="30" s="1"/>
  <c r="N85" i="30"/>
  <c r="E85" i="30" a="1"/>
  <c r="E85" i="30" s="1"/>
  <c r="Q85" i="30" s="1"/>
  <c r="H85" i="30"/>
  <c r="T85" i="30" s="1"/>
  <c r="S85" i="30"/>
  <c r="N66" i="30"/>
  <c r="T66" i="30" s="1"/>
  <c r="H66" i="30"/>
  <c r="E66" i="30" a="1"/>
  <c r="E66" i="30" s="1"/>
  <c r="Q66" i="30" s="1"/>
  <c r="K66" i="30" a="1"/>
  <c r="K66" i="30" s="1"/>
  <c r="S66" i="30"/>
  <c r="H33" i="30"/>
  <c r="K33" i="30" a="1"/>
  <c r="K33" i="30" s="1"/>
  <c r="E33" i="30" a="1"/>
  <c r="E33" i="30" s="1"/>
  <c r="N33" i="30"/>
  <c r="S33" i="30"/>
  <c r="N115" i="30"/>
  <c r="T115" i="30" s="1"/>
  <c r="H115" i="30"/>
  <c r="S115" i="30"/>
  <c r="K115" i="30" a="1"/>
  <c r="K115" i="30" s="1"/>
  <c r="E115" i="30" a="1"/>
  <c r="E115" i="30" s="1"/>
  <c r="Q115" i="30" s="1"/>
  <c r="K78" i="30" a="1"/>
  <c r="K78" i="30" s="1"/>
  <c r="S78" i="30"/>
  <c r="N78" i="30"/>
  <c r="E78" i="30" a="1"/>
  <c r="E78" i="30" s="1"/>
  <c r="Q78" i="30" s="1"/>
  <c r="H78" i="30"/>
  <c r="T78" i="30" s="1"/>
  <c r="N109" i="30"/>
  <c r="E109" i="30" a="1"/>
  <c r="E109" i="30" s="1"/>
  <c r="Q109" i="30" s="1"/>
  <c r="S109" i="30"/>
  <c r="K109" i="30" a="1"/>
  <c r="K109" i="30" s="1"/>
  <c r="H109" i="30"/>
  <c r="T109" i="30"/>
  <c r="N50" i="30"/>
  <c r="S50" i="30"/>
  <c r="K50" i="30" a="1"/>
  <c r="K50" i="30" s="1"/>
  <c r="E50" i="30" a="1"/>
  <c r="E50" i="30" s="1"/>
  <c r="H50" i="30"/>
  <c r="N64" i="30"/>
  <c r="H64" i="30"/>
  <c r="S64" i="30"/>
  <c r="E64" i="30" a="1"/>
  <c r="E64" i="30" s="1"/>
  <c r="Q64" i="30" s="1"/>
  <c r="K64" i="30" a="1"/>
  <c r="K64" i="30" s="1"/>
  <c r="T64" i="30"/>
  <c r="S37" i="30"/>
  <c r="H37" i="30"/>
  <c r="E37" i="30" a="1"/>
  <c r="E37" i="30" s="1"/>
  <c r="K37" i="30" a="1"/>
  <c r="K37" i="30" s="1"/>
  <c r="N37" i="30"/>
  <c r="E18" i="30" a="1"/>
  <c r="E18" i="30" s="1"/>
  <c r="S18" i="30"/>
  <c r="H18" i="30"/>
  <c r="K18" i="30" a="1"/>
  <c r="K18" i="30" s="1"/>
  <c r="N18" i="30"/>
  <c r="S49" i="30"/>
  <c r="E49" i="30" a="1"/>
  <c r="E49" i="30" s="1"/>
  <c r="H49" i="30"/>
  <c r="K49" i="30" a="1"/>
  <c r="K49" i="30" s="1"/>
  <c r="N49" i="30"/>
  <c r="E77" i="30" a="1"/>
  <c r="E77" i="30" s="1"/>
  <c r="Q77" i="30" s="1"/>
  <c r="S77" i="30"/>
  <c r="K77" i="30" a="1"/>
  <c r="K77" i="30" s="1"/>
  <c r="H77" i="30"/>
  <c r="T77" i="30" s="1"/>
  <c r="N77" i="30"/>
  <c r="E39" i="30" a="1"/>
  <c r="E39" i="30" s="1"/>
  <c r="H39" i="30"/>
  <c r="N39" i="30"/>
  <c r="K39" i="30" a="1"/>
  <c r="K39" i="30" s="1"/>
  <c r="S39" i="30"/>
  <c r="Q102" i="30"/>
  <c r="K102" i="30" a="1"/>
  <c r="K102" i="30" s="1"/>
  <c r="E102" i="30" a="1"/>
  <c r="E102" i="30" s="1"/>
  <c r="H102" i="30"/>
  <c r="T102" i="30" s="1"/>
  <c r="N102" i="30"/>
  <c r="S102" i="30"/>
  <c r="K53" i="30" a="1"/>
  <c r="K53" i="30" s="1"/>
  <c r="S53" i="30"/>
  <c r="H53" i="30"/>
  <c r="E53" i="30" a="1"/>
  <c r="E53" i="30" s="1"/>
  <c r="N53" i="30"/>
  <c r="H72" i="30"/>
  <c r="K72" i="30" a="1"/>
  <c r="K72" i="30" s="1"/>
  <c r="Q72" i="30"/>
  <c r="E72" i="30" a="1"/>
  <c r="E72" i="30" s="1"/>
  <c r="S72" i="30"/>
  <c r="N72" i="30"/>
  <c r="T72" i="30" s="1"/>
  <c r="K24" i="30" a="1"/>
  <c r="K24" i="30" s="1"/>
  <c r="N24" i="30"/>
  <c r="E24" i="30" a="1"/>
  <c r="E24" i="30" s="1"/>
  <c r="S24" i="30"/>
  <c r="H24" i="30"/>
  <c r="H121" i="30"/>
  <c r="K121" i="30" a="1"/>
  <c r="K121" i="30" s="1"/>
  <c r="Q121" i="30" s="1"/>
  <c r="E121" i="30" a="1"/>
  <c r="E121" i="30" s="1"/>
  <c r="K32" i="30" a="1"/>
  <c r="K32" i="30" s="1"/>
  <c r="H32" i="30"/>
  <c r="N32" i="30"/>
  <c r="E32" i="30" a="1"/>
  <c r="E32" i="30" s="1"/>
  <c r="S32" i="30"/>
  <c r="T17" i="30" l="1"/>
  <c r="Q62" i="30"/>
  <c r="T60" i="30"/>
  <c r="T62" i="30"/>
  <c r="T61" i="30"/>
  <c r="Q60" i="30"/>
  <c r="T13" i="30"/>
  <c r="Q61" i="30"/>
  <c r="T57" i="30"/>
  <c r="T59" i="30"/>
  <c r="Q59" i="30"/>
  <c r="A54" i="30"/>
  <c r="S3" i="30"/>
  <c r="R3" i="30"/>
  <c r="O3" i="30"/>
  <c r="U3" i="30" s="1"/>
  <c r="A60" i="30"/>
  <c r="A106" i="30"/>
  <c r="A112" i="30"/>
  <c r="A82" i="30"/>
  <c r="A95" i="30"/>
  <c r="A66" i="30"/>
  <c r="A83" i="30"/>
  <c r="A108" i="30"/>
  <c r="A62" i="30"/>
  <c r="A81" i="30"/>
  <c r="A69" i="30"/>
  <c r="A91" i="30"/>
  <c r="A77" i="30"/>
  <c r="A115" i="30"/>
  <c r="A84" i="30"/>
  <c r="T56" i="30"/>
  <c r="Q45" i="30"/>
  <c r="A87" i="30"/>
  <c r="A79" i="30"/>
  <c r="A80" i="30"/>
  <c r="A121" i="30"/>
  <c r="A107" i="30"/>
  <c r="A109" i="30"/>
  <c r="A70" i="30"/>
  <c r="A104" i="30"/>
  <c r="A71" i="30"/>
  <c r="A110" i="30"/>
  <c r="A85" i="30"/>
  <c r="A73" i="30"/>
  <c r="A68" i="30"/>
  <c r="A64" i="30"/>
  <c r="A99" i="30"/>
  <c r="A88" i="30"/>
  <c r="A113" i="30"/>
  <c r="A119" i="30"/>
  <c r="A117" i="30"/>
  <c r="A61" i="30"/>
  <c r="A75" i="30"/>
  <c r="A98" i="30"/>
  <c r="A74" i="30"/>
  <c r="A76" i="30"/>
  <c r="A120" i="30"/>
  <c r="A78" i="30"/>
  <c r="A59" i="30"/>
  <c r="A89" i="30"/>
  <c r="A103" i="30"/>
  <c r="A105" i="30"/>
  <c r="A100" i="30"/>
  <c r="A114" i="30"/>
  <c r="A116" i="30"/>
  <c r="A67" i="30"/>
  <c r="A86" i="30"/>
  <c r="A102" i="30"/>
  <c r="A94" i="30"/>
  <c r="A97" i="30"/>
  <c r="A101" i="30"/>
  <c r="A92" i="30"/>
  <c r="A90" i="30"/>
  <c r="A65" i="30"/>
  <c r="A96" i="30"/>
  <c r="A72" i="30"/>
  <c r="A63" i="30"/>
  <c r="A93" i="30"/>
  <c r="A118" i="30"/>
  <c r="A111" i="30"/>
  <c r="T28" i="30"/>
  <c r="Q22" i="30"/>
  <c r="T58" i="30"/>
  <c r="T16" i="30"/>
  <c r="Q56" i="30"/>
  <c r="T15" i="30"/>
  <c r="T53" i="30"/>
  <c r="Q37" i="30"/>
  <c r="Q50" i="30"/>
  <c r="Q7" i="30"/>
  <c r="Q32" i="30"/>
  <c r="T33" i="30"/>
  <c r="Q29" i="30"/>
  <c r="Q13" i="30"/>
  <c r="T27" i="30"/>
  <c r="Q28" i="30"/>
  <c r="T22" i="30"/>
  <c r="T10" i="30"/>
  <c r="T26" i="30"/>
  <c r="T39" i="30"/>
  <c r="T50" i="30"/>
  <c r="Q47" i="30"/>
  <c r="T25" i="30"/>
  <c r="T40" i="30"/>
  <c r="T34" i="30"/>
  <c r="Q26" i="30"/>
  <c r="Q49" i="30"/>
  <c r="Q35" i="30"/>
  <c r="Q46" i="30"/>
  <c r="Q51" i="30"/>
  <c r="Q41" i="30"/>
  <c r="T7" i="30"/>
  <c r="Q57" i="30"/>
  <c r="Q10" i="30"/>
  <c r="Q39" i="30"/>
  <c r="T54" i="30"/>
  <c r="Q54" i="30"/>
  <c r="T4" i="30"/>
  <c r="Q17" i="30"/>
  <c r="Q20" i="30"/>
  <c r="T21" i="30"/>
  <c r="T41" i="30"/>
  <c r="Q12" i="30"/>
  <c r="T43" i="30"/>
  <c r="A57" i="30"/>
  <c r="A48" i="30"/>
  <c r="A56" i="30"/>
  <c r="A13" i="30"/>
  <c r="A39" i="30"/>
  <c r="A9" i="30"/>
  <c r="A32" i="30"/>
  <c r="A24" i="30"/>
  <c r="A51" i="30"/>
  <c r="A6" i="30"/>
  <c r="A5" i="30"/>
  <c r="A26" i="30"/>
  <c r="A34" i="30"/>
  <c r="T45" i="30"/>
  <c r="T11" i="30"/>
  <c r="A40" i="30"/>
  <c r="A53" i="30"/>
  <c r="A12" i="30"/>
  <c r="A19" i="30"/>
  <c r="A45" i="30"/>
  <c r="A30" i="30"/>
  <c r="A11" i="30"/>
  <c r="A46" i="30"/>
  <c r="A8" i="30"/>
  <c r="A25" i="30"/>
  <c r="A27" i="30"/>
  <c r="A58" i="30"/>
  <c r="A18" i="30"/>
  <c r="A42" i="30"/>
  <c r="Q24" i="30"/>
  <c r="Q18" i="30"/>
  <c r="T51" i="30"/>
  <c r="T20" i="30"/>
  <c r="Q6" i="30"/>
  <c r="Q43" i="30"/>
  <c r="A28" i="30"/>
  <c r="A10" i="30"/>
  <c r="A17" i="30"/>
  <c r="A33" i="30"/>
  <c r="A43" i="30"/>
  <c r="A20" i="30"/>
  <c r="A35" i="30"/>
  <c r="A36" i="30"/>
  <c r="A22" i="30"/>
  <c r="A16" i="30"/>
  <c r="A55" i="30"/>
  <c r="A7" i="30"/>
  <c r="A44" i="30"/>
  <c r="A31" i="30"/>
  <c r="T49" i="30"/>
  <c r="T48" i="30"/>
  <c r="Q40" i="30"/>
  <c r="W40" i="30" s="1"/>
  <c r="T52" i="30"/>
  <c r="Q27" i="30"/>
  <c r="Q8" i="30"/>
  <c r="Q19" i="30"/>
  <c r="Q21" i="30"/>
  <c r="Q36" i="30"/>
  <c r="T42" i="30"/>
  <c r="A23" i="30"/>
  <c r="A52" i="30"/>
  <c r="A37" i="30"/>
  <c r="A21" i="30"/>
  <c r="A14" i="30"/>
  <c r="A50" i="30"/>
  <c r="A41" i="30"/>
  <c r="A4" i="30"/>
  <c r="A49" i="30"/>
  <c r="A15" i="30"/>
  <c r="A29" i="30"/>
  <c r="A47" i="30"/>
  <c r="A38" i="30"/>
  <c r="T32" i="30"/>
  <c r="T24" i="30"/>
  <c r="T18" i="30"/>
  <c r="Q25" i="30"/>
  <c r="Q44" i="30"/>
  <c r="Q9" i="30"/>
  <c r="C3" i="33" a="1"/>
  <c r="C3" i="33" s="1"/>
  <c r="E3" i="33" s="1" a="1"/>
  <c r="E3" i="33" s="1"/>
  <c r="T14" i="30"/>
  <c r="Q30" i="30"/>
  <c r="T46" i="30"/>
  <c r="Q34" i="30"/>
  <c r="T5" i="30"/>
  <c r="T36" i="30"/>
  <c r="T38" i="30"/>
  <c r="Q11" i="30"/>
  <c r="Q53" i="30"/>
  <c r="Q23" i="30"/>
  <c r="T23" i="30"/>
  <c r="Q48" i="30"/>
  <c r="W48" i="30" s="1"/>
  <c r="T44" i="30"/>
  <c r="T9" i="30"/>
  <c r="Q14" i="30"/>
  <c r="Q52" i="30"/>
  <c r="T30" i="30"/>
  <c r="Q15" i="30"/>
  <c r="T35" i="30"/>
  <c r="T19" i="30"/>
  <c r="T55" i="30"/>
  <c r="Q55" i="30"/>
  <c r="T12" i="30"/>
  <c r="Q38" i="30"/>
  <c r="T6" i="30"/>
  <c r="Q42" i="30"/>
  <c r="T31" i="30"/>
  <c r="Q31" i="30"/>
  <c r="Q5" i="30"/>
  <c r="W5" i="30" s="1"/>
  <c r="Q16" i="30"/>
  <c r="T37" i="30"/>
  <c r="Q33" i="30"/>
  <c r="T29" i="30"/>
  <c r="T47" i="30"/>
  <c r="Q4" i="30"/>
  <c r="T8" i="30"/>
  <c r="Q58" i="30"/>
  <c r="A3" i="30"/>
  <c r="H3" i="30"/>
  <c r="N3" i="30"/>
  <c r="K3" i="30" a="1"/>
  <c r="K3" i="30" s="1"/>
  <c r="E3" i="30" a="1"/>
  <c r="E3" i="30" s="1"/>
  <c r="W13" i="30" l="1"/>
  <c r="W15" i="30"/>
  <c r="W52" i="30"/>
  <c r="W33" i="30"/>
  <c r="W57" i="30"/>
  <c r="W16" i="30"/>
  <c r="W38" i="30"/>
  <c r="W53" i="30"/>
  <c r="W25" i="30"/>
  <c r="W17" i="30"/>
  <c r="W27" i="30"/>
  <c r="W43" i="30"/>
  <c r="W60" i="30"/>
  <c r="W61" i="30"/>
  <c r="W4" i="30"/>
  <c r="W58" i="30"/>
  <c r="W62" i="30"/>
  <c r="W28" i="30"/>
  <c r="W14" i="30"/>
  <c r="W39" i="30"/>
  <c r="W11" i="30"/>
  <c r="W21" i="30"/>
  <c r="W59" i="30"/>
  <c r="W56" i="30"/>
  <c r="W6" i="30"/>
  <c r="W34" i="30"/>
  <c r="W54" i="30"/>
  <c r="W10" i="30"/>
  <c r="W41" i="30"/>
  <c r="W20" i="30"/>
  <c r="W23" i="30"/>
  <c r="W26" i="30"/>
  <c r="W19" i="30"/>
  <c r="W36" i="30"/>
  <c r="W31" i="30"/>
  <c r="W55" i="30"/>
  <c r="W44" i="30"/>
  <c r="W24" i="30"/>
  <c r="W46" i="30"/>
  <c r="W32" i="30"/>
  <c r="W37" i="30"/>
  <c r="W22" i="30"/>
  <c r="W12" i="30"/>
  <c r="W35" i="30"/>
  <c r="W47" i="30"/>
  <c r="W29" i="30"/>
  <c r="W7" i="30"/>
  <c r="W8" i="30"/>
  <c r="W42" i="30"/>
  <c r="W30" i="30"/>
  <c r="W9" i="30"/>
  <c r="W18" i="30"/>
  <c r="W51" i="30"/>
  <c r="W49" i="30"/>
  <c r="W50" i="30"/>
  <c r="W45" i="30"/>
  <c r="Q3" i="30"/>
  <c r="T3" i="30"/>
  <c r="W3" i="30" l="1"/>
  <c r="A32" i="36" l="1"/>
  <c r="R3" i="25" a="1"/>
  <c r="R3" i="25" s="1"/>
  <c r="F3" i="25" a="1"/>
  <c r="F3" i="25" s="1"/>
  <c r="I3" i="25" a="1"/>
  <c r="I3" i="25" s="1"/>
  <c r="H3" i="25" a="1"/>
  <c r="H3" i="25" s="1"/>
  <c r="G3" i="25" a="1"/>
  <c r="G3" i="25" s="1"/>
</calcChain>
</file>

<file path=xl/metadata.xml><?xml version="1.0" encoding="utf-8"?>
<metadata xmlns="http://schemas.openxmlformats.org/spreadsheetml/2006/main" xmlns:xlrd="http://schemas.microsoft.com/office/spreadsheetml/2017/richdata" xmlns:xda="http://schemas.microsoft.com/office/spreadsheetml/2017/dynamicarray">
  <metadataTypes count="2">
    <metadataType name="XLDAPR" minSupportedVersion="120000" copy="1" pasteAll="1" pasteValues="1" merge="1" splitFirst="1" rowColShift="1" clearFormats="1" clearComments="1" assign="1" coerce="1" cellMeta="1"/>
    <metadataType name="XLRICHVALUE" minSupportedVersion="120000" copy="1" pasteAll="1" pasteValues="1" merge="1" splitFirst="1" rowColShift="1" clearFormats="1" clearComments="1" assign="1" coerce="1"/>
  </metadataTypes>
  <futureMetadata name="XLDAPR" count="1">
    <bk>
      <extLst>
        <ext uri="{bdbb8cdc-fa1e-496e-a857-3c3f30c029c3}">
          <xda:dynamicArrayProperties fDynamic="1" fCollapsed="0"/>
        </ext>
      </extLst>
    </bk>
  </futureMetadata>
  <futureMetadata name="XLRICHVALUE" count="5">
    <bk>
      <extLst>
        <ext uri="{3e2802c4-a4d2-4d8b-9148-e3be6c30e623}">
          <xlrd:rvb i="0"/>
        </ext>
      </extLst>
    </bk>
    <bk>
      <extLst>
        <ext uri="{3e2802c4-a4d2-4d8b-9148-e3be6c30e623}">
          <xlrd:rvb i="1"/>
        </ext>
      </extLst>
    </bk>
    <bk>
      <extLst>
        <ext uri="{3e2802c4-a4d2-4d8b-9148-e3be6c30e623}">
          <xlrd:rvb i="2"/>
        </ext>
      </extLst>
    </bk>
    <bk>
      <extLst>
        <ext uri="{3e2802c4-a4d2-4d8b-9148-e3be6c30e623}">
          <xlrd:rvb i="3"/>
        </ext>
      </extLst>
    </bk>
    <bk>
      <extLst>
        <ext uri="{3e2802c4-a4d2-4d8b-9148-e3be6c30e623}">
          <xlrd:rvb i="4"/>
        </ext>
      </extLst>
    </bk>
  </futureMetadata>
  <cellMetadata count="1">
    <bk>
      <rc t="1" v="0"/>
    </bk>
  </cellMetadata>
  <valueMetadata count="5">
    <bk>
      <rc t="2" v="0"/>
    </bk>
    <bk>
      <rc t="2" v="1"/>
    </bk>
    <bk>
      <rc t="2" v="2"/>
    </bk>
    <bk>
      <rc t="2" v="3"/>
    </bk>
    <bk>
      <rc t="2" v="4"/>
    </bk>
  </valueMetadata>
</metadata>
</file>

<file path=xl/sharedStrings.xml><?xml version="1.0" encoding="utf-8"?>
<sst xmlns="http://schemas.openxmlformats.org/spreadsheetml/2006/main" count="285" uniqueCount="138">
  <si>
    <t>⚠️ STOP! DO NOT ENTER DATA UNTIL YOU HAVE SAVED A COPY ⚠️</t>
  </si>
  <si>
    <r>
      <t>Instruction:</t>
    </r>
    <r>
      <rPr>
        <sz val="16"/>
        <color rgb="FF000000"/>
        <rFont val="Arial"/>
        <scheme val="minor"/>
      </rPr>
      <t xml:space="preserve"> </t>
    </r>
    <r>
      <rPr>
        <i/>
        <sz val="16"/>
        <color rgb="FF000000"/>
        <rFont val="Arial"/>
        <scheme val="minor"/>
      </rPr>
      <t xml:space="preserve">"This is a Read-Only Template. To start a new competition, go to </t>
    </r>
    <r>
      <rPr>
        <b/>
        <i/>
        <sz val="16"/>
        <color rgb="FF000000"/>
        <rFont val="Arial"/>
        <scheme val="minor"/>
      </rPr>
      <t>FILE &gt; CREATE A COPY &gt; SAVE A COPY ONLINE</t>
    </r>
    <r>
      <rPr>
        <i/>
        <sz val="16"/>
        <color rgb="FF000000"/>
        <rFont val="Arial"/>
        <scheme val="minor"/>
      </rPr>
      <t xml:space="preserve"> and name it after today's match."</t>
    </r>
  </si>
  <si>
    <t>To start a new match, select File &gt;Open&gt;View all files&gt; Open the copy you names as above . This keeps the template clean for next time.</t>
  </si>
  <si>
    <t>General Rule for Data Entry</t>
  </si>
  <si>
    <t>Don't Change any boxes with Red Background</t>
  </si>
  <si>
    <t xml:space="preserve"> 1. PRE-MATCH (Registration Tab)</t>
  </si>
  <si>
    <r>
      <rPr>
        <b/>
        <sz val="16"/>
        <color rgb="FF000000"/>
        <rFont val="Arial"/>
        <scheme val="minor"/>
      </rPr>
      <t>Complete Early Before competition Starts:</t>
    </r>
    <r>
      <rPr>
        <sz val="16"/>
        <color rgb="FF000000"/>
        <rFont val="Arial"/>
        <scheme val="minor"/>
      </rPr>
      <t xml:space="preserve"> Complete Name and Angler  and opt in to Secret Pairs (Yes or No) columns only. You can ignore the other columns at the right side of the sheet at this time.</t>
    </r>
  </si>
  <si>
    <r>
      <rPr>
        <b/>
        <sz val="16"/>
        <color rgb="FF000000"/>
        <rFont val="Arial"/>
        <scheme val="minor"/>
      </rPr>
      <t>Team Grouping:</t>
    </r>
    <r>
      <rPr>
        <sz val="16"/>
        <color rgb="FF000000"/>
        <rFont val="Arial"/>
        <scheme val="minor"/>
      </rPr>
      <t xml:space="preserve"> List team members in blocks of four (e.g., Rows 1-4 = Team A).</t>
    </r>
  </si>
  <si>
    <r>
      <t>The Spelling Rule:</t>
    </r>
    <r>
      <rPr>
        <sz val="16"/>
        <color rgb="FF000000"/>
        <rFont val="Arial"/>
        <scheme val="minor"/>
      </rPr>
      <t xml:space="preserve"> Names must match catch cards exactly. "Chris" is not "Christopher" to a computer!</t>
    </r>
  </si>
  <si>
    <r>
      <rPr>
        <b/>
        <sz val="16"/>
        <color rgb="FF000000"/>
        <rFont val="Arial"/>
        <scheme val="minor"/>
      </rPr>
      <t>Late Entries:</t>
    </r>
    <r>
      <rPr>
        <sz val="16"/>
        <color rgb="FF000000"/>
        <rFont val="Arial"/>
        <scheme val="minor"/>
      </rPr>
      <t xml:space="preserve"> Add new anglers to the next empty row and assign their Team Name immediately. </t>
    </r>
  </si>
  <si>
    <t xml:space="preserve"> 2. DURING MATCH (Day 1 &amp; Day 2 Tab)</t>
  </si>
  <si>
    <r>
      <rPr>
        <b/>
        <sz val="16"/>
        <color rgb="FF000000"/>
        <rFont val="Arial"/>
        <scheme val="minor"/>
      </rPr>
      <t>Data Entry:</t>
    </r>
    <r>
      <rPr>
        <sz val="16"/>
        <color rgb="FF000000"/>
        <rFont val="Arial"/>
        <scheme val="minor"/>
      </rPr>
      <t xml:space="preserve">     You only need to enter data in zone, length, species, fish count and biggest fish.    Do not change name or points they are placed there automatically.  </t>
    </r>
  </si>
  <si>
    <r>
      <rPr>
        <b/>
        <sz val="16"/>
        <color rgb="FF000000"/>
        <rFont val="Arial"/>
        <scheme val="minor"/>
      </rPr>
      <t>Safety First:</t>
    </r>
    <r>
      <rPr>
        <sz val="16"/>
        <color rgb="FF000000"/>
        <rFont val="Arial"/>
        <scheme val="minor"/>
      </rPr>
      <t xml:space="preserve">   Never change the order of names or delete rows here. If you notice a discrepancy with any individuals or team names do not change it on the Scores Sheets. Return to the Registration tab and make changes there. It will then automatically resolve the name issue throughout the rest of the tables.   </t>
    </r>
  </si>
  <si>
    <r>
      <rPr>
        <b/>
        <sz val="16"/>
        <color rgb="FF000000"/>
        <rFont val="Arial"/>
        <scheme val="minor"/>
      </rPr>
      <t>Finding Anglers:</t>
    </r>
    <r>
      <rPr>
        <sz val="16"/>
        <color rgb="FF000000"/>
        <rFont val="Arial"/>
        <scheme val="minor"/>
      </rPr>
      <t xml:space="preserve"> If its along list of anglers use the search box at the top of the sheet. It will highlight the name on the list. Scroll down to see it.</t>
    </r>
  </si>
  <si>
    <r>
      <t>Recording Blanks:</t>
    </r>
    <r>
      <rPr>
        <sz val="16"/>
        <color rgb="FF000000"/>
        <rFont val="Arial"/>
        <scheme val="minor"/>
      </rPr>
      <t xml:space="preserve"> Always enter a </t>
    </r>
    <r>
      <rPr>
        <b/>
        <sz val="16"/>
        <color rgb="FF000000"/>
        <rFont val="Arial"/>
        <scheme val="minor"/>
      </rPr>
      <t>0</t>
    </r>
    <r>
      <rPr>
        <sz val="16"/>
        <color rgb="FF000000"/>
        <rFont val="Arial"/>
        <scheme val="minor"/>
      </rPr>
      <t xml:space="preserve"> for a blank card; do not leave it empty.</t>
    </r>
  </si>
  <si>
    <r>
      <rPr>
        <b/>
        <sz val="16"/>
        <color rgb="FF000000"/>
        <rFont val="Arial"/>
        <scheme val="minor"/>
      </rPr>
      <t>Safety First:</t>
    </r>
    <r>
      <rPr>
        <sz val="16"/>
        <color rgb="FF000000"/>
        <rFont val="Arial"/>
        <scheme val="minor"/>
      </rPr>
      <t xml:space="preserve"> Never change the order of names or delete rows here. If you notice a discrepancy with any individuals or team names do not change it on the Scores Sheets. Return to the Registration tab and make changes there. It will then automatically resolve the name issue throughout the rest of the tables.</t>
    </r>
  </si>
  <si>
    <r>
      <t>Zone Colors:</t>
    </r>
    <r>
      <rPr>
        <sz val="16"/>
        <color rgb="FF000000"/>
        <rFont val="Arial"/>
        <scheme val="minor"/>
      </rPr>
      <t xml:space="preserve"> Use the dropdowns to mark the fishing zone for each angler.</t>
    </r>
  </si>
  <si>
    <t xml:space="preserve"> 3. RESULTS (Leaderboard &amp; Team Standings)</t>
  </si>
  <si>
    <r>
      <t>Automated Results:</t>
    </r>
    <r>
      <rPr>
        <sz val="18"/>
        <color rgb="FF000000"/>
        <rFont val="Arial"/>
        <scheme val="minor"/>
      </rPr>
      <t xml:space="preserve"> These sheets are locked. If a number looks wrong, go back to the Day 1/Day 2 tabs and check your entry.</t>
    </r>
  </si>
  <si>
    <t>4. Locked Tabs ( Day 1 Zone, Day 2 Zone, Team Standings, Biggest Fish, Secret Pairs, Charts)</t>
  </si>
  <si>
    <t>These tabs show data only. You can safely view them.</t>
  </si>
  <si>
    <t>The tabs automatically update during the course of the competition.</t>
  </si>
  <si>
    <t>5) Secret Pairs ( Optional)</t>
  </si>
  <si>
    <t xml:space="preserve">These instuctions should only be completed once all the data has been entered,and competition is closed.       Go to Registration page and follow instructions on the page. You can click the randomiser button more than once but once you are happy that its random you need to lock the results so winners are locked in. Follow the instructions to lock selection.   To see the winners go to the secret Pairs Tab. </t>
  </si>
  <si>
    <t>📤 5. SHARING &amp; PUBLISHING</t>
  </si>
  <si>
    <t>To Publish Full tables from Excell</t>
  </si>
  <si>
    <t xml:space="preserve"> Use File menu in Excell &gt; Export &gt; Save as PDF.  You can then dpownload and share the pdf as normal via Whatsapp or other alternative.</t>
  </si>
  <si>
    <t>ID</t>
  </si>
  <si>
    <t>ANGLER NAME</t>
  </si>
  <si>
    <t>TEAM</t>
  </si>
  <si>
    <t xml:space="preserve"> OPT IN</t>
  </si>
  <si>
    <t>SEED</t>
  </si>
  <si>
    <t xml:space="preserve"> ORDER</t>
  </si>
  <si>
    <t>No</t>
  </si>
  <si>
    <t xml:space="preserve">Click Red Box Below to Randomise Random Pairs. You can click as many times as you want. Once tick is missing from the box winners are ready. </t>
  </si>
  <si>
    <t>Yes</t>
  </si>
  <si>
    <t xml:space="preserve">                                                                                                                                                                                                                                                                                TO REVEAL WINNERS: Go to the SECRET PAIRS FINAL tab.                                    
</t>
  </si>
  <si>
    <t>For Admin Only:       To Unlock Randomiser</t>
  </si>
  <si>
    <t xml:space="preserve">Paste this formula into cell N2  =$Q$4 + RAND()                                                                            
</t>
  </si>
  <si>
    <t>Click the cell where you just pasted the formula (e.g., N2).</t>
  </si>
  <si>
    <t>Grab the tiny green square (the fill handle) in the bottom-right corner.</t>
  </si>
  <si>
    <t>Drag it down to the bottom of your angler list.</t>
  </si>
  <si>
    <t>Randomiser is working again</t>
  </si>
  <si>
    <t>DAY 1 SCORES</t>
  </si>
  <si>
    <t>SEARCH</t>
  </si>
  <si>
    <t>NAME</t>
  </si>
  <si>
    <t>ZONE</t>
  </si>
  <si>
    <t>LENGTH</t>
  </si>
  <si>
    <t>SPECIES</t>
  </si>
  <si>
    <t>FISH COUNT</t>
  </si>
  <si>
    <t>BIGGEST FISH</t>
  </si>
  <si>
    <t>POINTS</t>
  </si>
  <si>
    <t>MASTER SCORE</t>
  </si>
  <si>
    <t>DAY 2 SCORES</t>
  </si>
  <si>
    <t>ZONE RESULTS - DAY 1</t>
  </si>
  <si>
    <t>POS</t>
  </si>
  <si>
    <t>P.N.B.S</t>
  </si>
  <si>
    <t xml:space="preserve"> PT</t>
  </si>
  <si>
    <t>PT</t>
  </si>
  <si>
    <t>ZONE RESULTS - DAY 2</t>
  </si>
  <si>
    <t xml:space="preserve"> PTS</t>
  </si>
  <si>
    <r>
      <rPr>
        <b/>
        <sz val="10"/>
        <color rgb="FF000000"/>
        <rFont val="Arial"/>
        <scheme val="minor"/>
      </rPr>
      <t xml:space="preserve">TO GET FINAL STANDINGS.               1 Sort </t>
    </r>
    <r>
      <rPr>
        <b/>
        <sz val="10"/>
        <color rgb="FFFF0000"/>
        <rFont val="Arial"/>
        <scheme val="minor"/>
      </rPr>
      <t>TOTAL LENGTH</t>
    </r>
    <r>
      <rPr>
        <b/>
        <sz val="10"/>
        <color rgb="FF000000"/>
        <rFont val="Arial"/>
        <scheme val="minor"/>
      </rPr>
      <t xml:space="preserve"> ( Largest - Smallest)         then          2 Sort </t>
    </r>
    <r>
      <rPr>
        <b/>
        <sz val="10"/>
        <color rgb="FFFF0000"/>
        <rFont val="Arial"/>
        <scheme val="minor"/>
      </rPr>
      <t>TOTAL POINTS</t>
    </r>
    <r>
      <rPr>
        <b/>
        <sz val="10"/>
        <color rgb="FF000000"/>
        <rFont val="Arial"/>
        <scheme val="minor"/>
      </rPr>
      <t xml:space="preserve"> (Smallest to Largest)</t>
    </r>
  </si>
  <si>
    <t>RANK</t>
  </si>
  <si>
    <t>TEAM NAME</t>
  </si>
  <si>
    <t>D1 SPEC</t>
  </si>
  <si>
    <t>D1 FISH CT</t>
  </si>
  <si>
    <t>D2 SPEC</t>
  </si>
  <si>
    <t>D2 FISH CT</t>
  </si>
  <si>
    <t>LENGTH D1</t>
  </si>
  <si>
    <t>LENGTH D2</t>
  </si>
  <si>
    <t>TOTAL LENGTH</t>
  </si>
  <si>
    <t>D1 PTS</t>
  </si>
  <si>
    <t>D2 PTS</t>
  </si>
  <si>
    <t>TOTAL POINTS</t>
  </si>
  <si>
    <t>D2 Fish CT</t>
  </si>
  <si>
    <t>Day 2 PTS</t>
  </si>
  <si>
    <r>
      <t>RANKING LOGIC:</t>
    </r>
    <r>
      <rPr>
        <sz val="10"/>
        <color theme="0"/>
        <rFont val="Arial"/>
        <scheme val="minor"/>
      </rPr>
      <t xml:space="preserve"> 1st: Lowest Zone Total</t>
    </r>
  </si>
  <si>
    <r>
      <rPr>
        <b/>
        <sz val="11"/>
        <color rgb="FFFFFFFF"/>
        <rFont val="Arial"/>
        <scheme val="minor"/>
      </rPr>
      <t>TIE-BREAK KEY/ORDER:</t>
    </r>
    <r>
      <rPr>
        <sz val="11"/>
        <color rgb="FF000000"/>
        <rFont val="Arial"/>
        <scheme val="minor"/>
      </rPr>
      <t xml:space="preserve"> </t>
    </r>
    <r>
      <rPr>
        <sz val="11"/>
        <color rgb="FFFFFFFF"/>
        <rFont val="Arial"/>
        <scheme val="minor"/>
      </rPr>
      <t xml:space="preserve">L = Total Length (cm) | N = Total Number of Fish | B = Overall Biggest Fish | </t>
    </r>
    <r>
      <rPr>
        <b/>
        <sz val="11"/>
        <color rgb="FFFFFFFF"/>
        <rFont val="Arial"/>
        <scheme val="minor"/>
      </rPr>
      <t>S = Total Daily Species Variety</t>
    </r>
  </si>
  <si>
    <t>Note: Species Variety is the sum of unique species caught each day (e.g., 2 species Day 1 + 3 species Day 2 = 5 points).</t>
  </si>
  <si>
    <t>ZONE TOTAL</t>
  </si>
  <si>
    <t>TIE-BREAKERS</t>
  </si>
  <si>
    <t>TOTAL FISH</t>
  </si>
  <si>
    <t>TOTAL SPECIES</t>
  </si>
  <si>
    <t>TEAM TOTALS</t>
  </si>
  <si>
    <t>ANGLER CONTRIBUTION TO TEAM</t>
  </si>
  <si>
    <t>CM</t>
  </si>
  <si>
    <t>FISH CT</t>
  </si>
  <si>
    <t>1st Contributer</t>
  </si>
  <si>
    <t>2nd Contributer</t>
  </si>
  <si>
    <t>3rd Contributer</t>
  </si>
  <si>
    <t>4th Contributer</t>
  </si>
  <si>
    <t xml:space="preserve">  </t>
  </si>
  <si>
    <t xml:space="preserve">DAY 1 </t>
  </si>
  <si>
    <t>DAY2</t>
  </si>
  <si>
    <t>COMBINED TOTALS</t>
  </si>
  <si>
    <t>angler name</t>
  </si>
  <si>
    <t>Team</t>
  </si>
  <si>
    <t>1 spec</t>
  </si>
  <si>
    <t>1 fish ct</t>
  </si>
  <si>
    <t>2 spec</t>
  </si>
  <si>
    <t>2 fish count</t>
  </si>
  <si>
    <t>1 length</t>
  </si>
  <si>
    <t>2 length</t>
  </si>
  <si>
    <t>total length</t>
  </si>
  <si>
    <t>1 pts</t>
  </si>
  <si>
    <t>2 pts</t>
  </si>
  <si>
    <t>points total</t>
  </si>
  <si>
    <t>PTS</t>
  </si>
  <si>
    <t>BIG</t>
  </si>
  <si>
    <t>SPEC</t>
  </si>
  <si>
    <t xml:space="preserve"> POINTS</t>
  </si>
  <si>
    <t>FINAL MASTER SCORE</t>
  </si>
  <si>
    <t xml:space="preserve">updates when </t>
  </si>
  <si>
    <t>ANGLER NAMES</t>
  </si>
  <si>
    <t>DAY 1 POINTS</t>
  </si>
  <si>
    <t>DAY 2 POINTS</t>
  </si>
  <si>
    <t>TOTAL LENGTH CM</t>
  </si>
  <si>
    <t>Biggest Fish (Top 10)</t>
  </si>
  <si>
    <t>SECRET PAIRS</t>
  </si>
  <si>
    <t>INSTRUCTIONS</t>
  </si>
  <si>
    <t xml:space="preserve"> Go to File &gt; Export &gt; Download PDF and download a digital record of  the Final Placings which locks the winners</t>
  </si>
  <si>
    <t>POSITION</t>
  </si>
  <si>
    <t>ANGLER</t>
  </si>
  <si>
    <t>LENGTH DIFFERENCE</t>
  </si>
  <si>
    <t>Day 1</t>
  </si>
  <si>
    <t>Day 2</t>
  </si>
  <si>
    <t>Overall</t>
  </si>
  <si>
    <t>Zone</t>
  </si>
  <si>
    <t>Day 1 Fish</t>
  </si>
  <si>
    <t>Day 1 Length (m)</t>
  </si>
  <si>
    <t>Day 2 Fish</t>
  </si>
  <si>
    <t>Day 2 Length (m)</t>
  </si>
  <si>
    <t>Total Fish Caught</t>
  </si>
  <si>
    <t>Red</t>
  </si>
  <si>
    <t>Total Length (meters)</t>
  </si>
  <si>
    <t>Blue</t>
  </si>
  <si>
    <t>Green</t>
  </si>
  <si>
    <t>Yellow</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</si>
</sst>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71">
    <font>
      <sz val="10"/>
      <color rgb="FF000000"/>
      <name val="Arial"/>
      <scheme val="minor"/>
    </font>
    <font>
      <sz val="12"/>
      <color theme="1"/>
      <name val="Arial"/>
      <scheme val="minor"/>
    </font>
    <font>
      <sz val="12"/>
      <color rgb="FF000000"/>
      <name val="Arial"/>
      <scheme val="minor"/>
    </font>
    <font>
      <b/>
      <sz val="12"/>
      <color rgb="FF000000"/>
      <name val="Arial"/>
      <scheme val="minor"/>
    </font>
    <font>
      <b/>
      <sz val="10"/>
      <color rgb="FF1F1F1F"/>
      <name val="Google Sans Text"/>
      <family val="2"/>
      <charset val="1"/>
    </font>
    <font>
      <sz val="10"/>
      <color rgb="FF1F1F1F"/>
      <name val="Google Sans Text"/>
      <family val="2"/>
      <charset val="1"/>
    </font>
    <font>
      <sz val="10"/>
      <color rgb="FF444746"/>
      <name val="Google Sans Text"/>
      <family val="2"/>
      <charset val="1"/>
    </font>
    <font>
      <sz val="12"/>
      <color rgb="FF00B050"/>
      <name val="Arial"/>
      <scheme val="minor"/>
    </font>
    <font>
      <b/>
      <sz val="10"/>
      <color rgb="FF000000"/>
      <name val="Arial"/>
      <scheme val="minor"/>
    </font>
    <font>
      <b/>
      <sz val="10"/>
      <color rgb="FFFF0000"/>
      <name val="Arial"/>
      <scheme val="minor"/>
    </font>
    <font>
      <sz val="16"/>
      <color rgb="FF000000"/>
      <name val="Arial"/>
      <scheme val="minor"/>
    </font>
    <font>
      <sz val="16"/>
      <color rgb="FFFF0000"/>
      <name val="Arial"/>
      <scheme val="minor"/>
    </font>
    <font>
      <b/>
      <sz val="16"/>
      <color rgb="FF000000"/>
      <name val="Arial"/>
      <scheme val="minor"/>
    </font>
    <font>
      <b/>
      <sz val="16"/>
      <color rgb="FFFF0000"/>
      <name val="Arial"/>
      <scheme val="minor"/>
    </font>
    <font>
      <b/>
      <sz val="11"/>
      <color rgb="FF000000"/>
      <name val="Arial"/>
      <family val="2"/>
      <charset val="1"/>
    </font>
    <font>
      <b/>
      <sz val="18"/>
      <color rgb="FF000000"/>
      <name val="Arial"/>
      <scheme val="minor"/>
    </font>
    <font>
      <b/>
      <sz val="11"/>
      <color rgb="FF000000"/>
      <name val="Arial"/>
    </font>
    <font>
      <sz val="11"/>
      <color rgb="FF000000"/>
      <name val="Arial"/>
      <family val="2"/>
      <charset val="1"/>
    </font>
    <font>
      <sz val="18"/>
      <color rgb="FF000000"/>
      <name val="Arial"/>
      <family val="2"/>
      <charset val="1"/>
    </font>
    <font>
      <sz val="18"/>
      <color rgb="FF000000"/>
      <name val="Arial"/>
      <scheme val="minor"/>
    </font>
    <font>
      <sz val="14"/>
      <color rgb="FF000000"/>
      <name val="Arial"/>
      <scheme val="minor"/>
    </font>
    <font>
      <sz val="24"/>
      <color rgb="FF000000"/>
      <name val="Arial"/>
      <scheme val="minor"/>
    </font>
    <font>
      <sz val="12"/>
      <color theme="0"/>
      <name val="Arial"/>
      <scheme val="minor"/>
    </font>
    <font>
      <b/>
      <sz val="12"/>
      <color theme="0"/>
      <name val="Arial"/>
      <scheme val="minor"/>
    </font>
    <font>
      <b/>
      <sz val="10"/>
      <color theme="0"/>
      <name val="Google Sans Text"/>
      <family val="2"/>
      <charset val="1"/>
    </font>
    <font>
      <sz val="16"/>
      <color theme="0"/>
      <name val="Arial"/>
      <scheme val="minor"/>
    </font>
    <font>
      <sz val="14"/>
      <color theme="0"/>
      <name val="Arial"/>
      <scheme val="minor"/>
    </font>
    <font>
      <sz val="16"/>
      <color theme="1"/>
      <name val="Arial"/>
      <scheme val="minor"/>
    </font>
    <font>
      <sz val="16"/>
      <color rgb="FF1F1F1F"/>
      <name val="Arial"/>
      <scheme val="minor"/>
    </font>
    <font>
      <sz val="12"/>
      <color rgb="FFFF0000"/>
      <name val="Arial"/>
      <scheme val="minor"/>
    </font>
    <font>
      <sz val="20"/>
      <color rgb="FFFFFFFF"/>
      <name val="Arial"/>
      <scheme val="minor"/>
    </font>
    <font>
      <sz val="20"/>
      <color theme="0"/>
      <name val="Arial"/>
      <scheme val="minor"/>
    </font>
    <font>
      <sz val="11"/>
      <color rgb="FF3F3F76"/>
      <name val="Calibri"/>
      <scheme val="minor"/>
    </font>
    <font>
      <b/>
      <sz val="14"/>
      <color theme="0"/>
      <name val="Calibri"/>
      <scheme val="minor"/>
    </font>
    <font>
      <b/>
      <sz val="12"/>
      <color rgb="FFFFFFFF"/>
      <name val="Arial"/>
      <scheme val="minor"/>
    </font>
    <font>
      <sz val="18"/>
      <color theme="0"/>
      <name val="Arial"/>
      <scheme val="minor"/>
    </font>
    <font>
      <sz val="16"/>
      <color theme="0" tint="-0.14999847407452621"/>
      <name val="Arial"/>
      <scheme val="minor"/>
    </font>
    <font>
      <sz val="12"/>
      <color theme="0" tint="-0.14999847407452621"/>
      <name val="Arial"/>
      <scheme val="minor"/>
    </font>
    <font>
      <sz val="16"/>
      <color theme="0" tint="-4.9989318521683403E-2"/>
      <name val="Arial"/>
      <scheme val="minor"/>
    </font>
    <font>
      <sz val="12"/>
      <color theme="8" tint="-0.249977111117893"/>
      <name val="Arial"/>
      <scheme val="minor"/>
    </font>
    <font>
      <sz val="12"/>
      <color rgb="FF000000"/>
      <name val="Arial"/>
    </font>
    <font>
      <sz val="12"/>
      <color rgb="FF000000"/>
      <name val="Arial"/>
      <family val="2"/>
      <charset val="1"/>
    </font>
    <font>
      <sz val="12"/>
      <color rgb="FF000000"/>
      <name val="Arial"/>
      <charset val="1"/>
    </font>
    <font>
      <b/>
      <sz val="14"/>
      <color theme="0"/>
      <name val="Arial"/>
      <scheme val="minor"/>
    </font>
    <font>
      <i/>
      <sz val="16"/>
      <color rgb="FF000000"/>
      <name val="Arial"/>
      <scheme val="minor"/>
    </font>
    <font>
      <b/>
      <i/>
      <sz val="16"/>
      <color rgb="FF000000"/>
      <name val="Arial"/>
      <scheme val="minor"/>
    </font>
    <font>
      <b/>
      <sz val="11"/>
      <color theme="0" tint="-0.14999847407452621"/>
      <name val="Arial"/>
      <family val="2"/>
      <charset val="1"/>
    </font>
    <font>
      <sz val="18"/>
      <color theme="0" tint="-0.14999847407452621"/>
      <name val="Arial"/>
      <family val="2"/>
      <charset val="1"/>
    </font>
    <font>
      <sz val="18"/>
      <color theme="0" tint="-0.14999847407452621"/>
      <name val="Arial"/>
      <scheme val="minor"/>
    </font>
    <font>
      <sz val="14"/>
      <color theme="1"/>
      <name val="Arial"/>
      <scheme val="minor"/>
    </font>
    <font>
      <sz val="12"/>
      <color rgb="FFFF0000"/>
      <name val="Arial"/>
    </font>
    <font>
      <sz val="36"/>
      <color theme="5"/>
      <name val="Arial"/>
      <scheme val="minor"/>
    </font>
    <font>
      <sz val="14"/>
      <color rgb="FF000000"/>
      <name val="Arial"/>
      <family val="2"/>
      <charset val="1"/>
    </font>
    <font>
      <sz val="12"/>
      <color rgb="FFFFFFFF"/>
      <name val="Arial"/>
      <scheme val="minor"/>
    </font>
    <font>
      <sz val="18"/>
      <color theme="1"/>
      <name val="Arial"/>
      <scheme val="minor"/>
    </font>
    <font>
      <sz val="18"/>
      <color rgb="FFFF0000"/>
      <name val="Arial"/>
      <scheme val="minor"/>
    </font>
    <font>
      <b/>
      <sz val="14"/>
      <color theme="1" tint="4.9989318521683403E-2"/>
      <name val="Arial"/>
      <scheme val="minor"/>
    </font>
    <font>
      <b/>
      <sz val="12"/>
      <color theme="1" tint="4.9989318521683403E-2"/>
      <name val="Arial"/>
      <scheme val="minor"/>
    </font>
    <font>
      <sz val="14"/>
      <color rgb="FF00B050"/>
      <name val="Arial"/>
      <scheme val="minor"/>
    </font>
    <font>
      <sz val="14"/>
      <color rgb="FF000000"/>
      <name val="Google Sans Text"/>
      <family val="2"/>
      <charset val="1"/>
    </font>
    <font>
      <strike/>
      <sz val="14"/>
      <color theme="1"/>
      <name val="Arial"/>
      <scheme val="minor"/>
    </font>
    <font>
      <sz val="10"/>
      <color theme="0"/>
      <name val="Arial"/>
      <scheme val="minor"/>
    </font>
    <font>
      <b/>
      <sz val="10"/>
      <color theme="0"/>
      <name val="Arial"/>
      <scheme val="minor"/>
    </font>
    <font>
      <b/>
      <sz val="11"/>
      <color theme="0"/>
      <name val="Arial"/>
      <scheme val="minor"/>
    </font>
    <font>
      <b/>
      <sz val="11"/>
      <color rgb="FFFFFFFF"/>
      <name val="Arial"/>
      <scheme val="minor"/>
    </font>
    <font>
      <sz val="11"/>
      <color rgb="FF000000"/>
      <name val="Arial"/>
      <scheme val="minor"/>
    </font>
    <font>
      <sz val="11"/>
      <color rgb="FFFFFFFF"/>
      <name val="Arial"/>
      <scheme val="minor"/>
    </font>
    <font>
      <sz val="11"/>
      <color theme="0"/>
      <name val="Arial"/>
      <scheme val="minor"/>
    </font>
    <font>
      <strike/>
      <sz val="18"/>
      <color rgb="FF000000"/>
      <name val="Arial"/>
      <scheme val="minor"/>
    </font>
    <font>
      <strike/>
      <sz val="14"/>
      <color rgb="FF000000"/>
      <name val="Arial"/>
      <scheme val="minor"/>
    </font>
    <font>
      <strike/>
      <sz val="12"/>
      <color rgb="FF000000"/>
      <name val="Arial"/>
      <scheme val="minor"/>
    </font>
  </fonts>
  <fills count="33">
    <fill>
      <patternFill patternType="none"/>
    </fill>
    <fill>
      <patternFill patternType="gray125"/>
    </fill>
    <fill>
      <patternFill patternType="solid">
        <fgColor rgb="FFE8E7FC"/>
        <bgColor rgb="FFE8E7FC"/>
      </patternFill>
    </fill>
    <fill>
      <patternFill patternType="solid">
        <fgColor rgb="FF8989EB"/>
        <bgColor rgb="FF8989EB"/>
      </patternFill>
    </fill>
    <fill>
      <patternFill patternType="solid">
        <fgColor rgb="FFE8F0FE"/>
        <bgColor rgb="FFE8F0FE"/>
      </patternFill>
    </fill>
    <fill>
      <patternFill patternType="solid">
        <fgColor theme="4" tint="0.79998168889431442"/>
        <bgColor indexed="64"/>
      </patternFill>
    </fill>
    <fill>
      <patternFill patternType="solid">
        <fgColor theme="7" tint="0.79998168889431442"/>
        <bgColor indexed="64"/>
      </patternFill>
    </fill>
    <fill>
      <patternFill patternType="solid">
        <fgColor theme="5" tint="0.79998168889431442"/>
        <bgColor indexed="64"/>
      </patternFill>
    </fill>
    <fill>
      <patternFill patternType="solid">
        <fgColor theme="6" tint="0.79998168889431442"/>
        <bgColor indexed="64"/>
      </patternFill>
    </fill>
    <fill>
      <patternFill patternType="solid">
        <fgColor theme="0" tint="-4.9989318521683403E-2"/>
        <bgColor indexed="64"/>
      </patternFill>
    </fill>
    <fill>
      <patternFill patternType="solid">
        <fgColor rgb="FFFF0000"/>
        <bgColor indexed="64"/>
      </patternFill>
    </fill>
    <fill>
      <patternFill patternType="solid">
        <fgColor theme="4" tint="0.39997558519241921"/>
        <bgColor indexed="64"/>
      </patternFill>
    </fill>
    <fill>
      <patternFill patternType="solid">
        <fgColor theme="9" tint="0.59999389629810485"/>
        <bgColor indexed="64"/>
      </patternFill>
    </fill>
    <fill>
      <patternFill patternType="solid">
        <fgColor theme="7" tint="0.59999389629810485"/>
        <bgColor indexed="64"/>
      </patternFill>
    </fill>
    <fill>
      <patternFill patternType="solid">
        <fgColor theme="6" tint="0.39997558519241921"/>
        <bgColor indexed="64"/>
      </patternFill>
    </fill>
    <fill>
      <patternFill patternType="solid">
        <fgColor rgb="FFFFFF00"/>
        <bgColor indexed="64"/>
      </patternFill>
    </fill>
    <fill>
      <patternFill patternType="solid">
        <fgColor theme="4" tint="-0.499984740745262"/>
        <bgColor indexed="64"/>
      </patternFill>
    </fill>
    <fill>
      <patternFill patternType="solid">
        <fgColor theme="4" tint="-0.249977111117893"/>
        <bgColor indexed="64"/>
      </patternFill>
    </fill>
    <fill>
      <patternFill patternType="solid">
        <fgColor theme="4" tint="0.59999389629810485"/>
        <bgColor indexed="64"/>
      </patternFill>
    </fill>
    <fill>
      <patternFill patternType="solid">
        <fgColor rgb="FF00B050"/>
        <bgColor indexed="64"/>
      </patternFill>
    </fill>
    <fill>
      <patternFill patternType="solid">
        <fgColor theme="7" tint="-0.249977111117893"/>
        <bgColor indexed="64"/>
      </patternFill>
    </fill>
    <fill>
      <patternFill patternType="solid">
        <fgColor theme="1" tint="0.34998626667073579"/>
        <bgColor indexed="64"/>
      </patternFill>
    </fill>
    <fill>
      <patternFill patternType="solid">
        <fgColor theme="5" tint="0.39997558519241921"/>
        <bgColor indexed="64"/>
      </patternFill>
    </fill>
    <fill>
      <patternFill patternType="solid">
        <fgColor theme="0"/>
        <bgColor indexed="64"/>
      </patternFill>
    </fill>
    <fill>
      <patternFill patternType="solid">
        <fgColor rgb="FFFFCC99"/>
      </patternFill>
    </fill>
    <fill>
      <patternFill patternType="solid">
        <fgColor rgb="FFEBEFF1"/>
        <bgColor rgb="FFEBEFF1"/>
      </patternFill>
    </fill>
    <fill>
      <patternFill patternType="solid">
        <fgColor theme="5"/>
        <bgColor indexed="64"/>
      </patternFill>
    </fill>
    <fill>
      <patternFill patternType="solid">
        <fgColor rgb="FF7030A0"/>
        <bgColor indexed="64"/>
      </patternFill>
    </fill>
    <fill>
      <patternFill patternType="solid">
        <fgColor theme="0" tint="-0.14999847407452621"/>
        <bgColor indexed="64"/>
      </patternFill>
    </fill>
    <fill>
      <patternFill patternType="solid">
        <fgColor theme="7"/>
        <bgColor indexed="64"/>
      </patternFill>
    </fill>
    <fill>
      <patternFill patternType="solid">
        <fgColor theme="7" tint="0.39997558519241921"/>
        <bgColor indexed="64"/>
      </patternFill>
    </fill>
    <fill>
      <patternFill patternType="solid">
        <fgColor theme="9" tint="0.39997558519241921"/>
        <bgColor indexed="64"/>
      </patternFill>
    </fill>
    <fill>
      <patternFill patternType="solid">
        <fgColor theme="9" tint="-0.249977111117893"/>
        <bgColor indexed="64"/>
      </patternFill>
    </fill>
  </fills>
  <borders count="32">
    <border>
      <left/>
      <right/>
      <top/>
      <bottom/>
      <diagonal/>
    </border>
    <border>
      <left/>
      <right/>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style="thin">
        <color rgb="FF000000"/>
      </right>
      <top/>
      <bottom style="thin">
        <color rgb="FF000000"/>
      </bottom>
      <diagonal/>
    </border>
    <border>
      <left style="thin">
        <color rgb="FF000000"/>
      </left>
      <right style="thin">
        <color rgb="FF000000"/>
      </right>
      <top style="thin">
        <color rgb="FF000000"/>
      </top>
      <bottom/>
      <diagonal/>
    </border>
    <border>
      <left/>
      <right style="thin">
        <color rgb="FF000000"/>
      </right>
      <top style="thin">
        <color rgb="FF000000"/>
      </top>
      <bottom style="thin">
        <color rgb="FF000000"/>
      </bottom>
      <diagonal/>
    </border>
    <border>
      <left style="thin">
        <color rgb="FF000000"/>
      </left>
      <right/>
      <top/>
      <bottom style="thin">
        <color rgb="FF000000"/>
      </bottom>
      <diagonal/>
    </border>
    <border>
      <left style="thin">
        <color rgb="FF000000"/>
      </left>
      <right/>
      <top style="thin">
        <color rgb="FF000000"/>
      </top>
      <bottom style="thin">
        <color rgb="FF000000"/>
      </bottom>
      <diagonal/>
    </border>
    <border>
      <left style="thin">
        <color rgb="FF000000"/>
      </left>
      <right/>
      <top style="thin">
        <color rgb="FF000000"/>
      </top>
      <bottom/>
      <diagonal/>
    </border>
    <border>
      <left style="thin">
        <color rgb="FF1F1F1F"/>
      </left>
      <right style="thin">
        <color rgb="FF1F1F1F"/>
      </right>
      <top style="thin">
        <color rgb="FF1F1F1F"/>
      </top>
      <bottom style="thin">
        <color rgb="FF1F1F1F"/>
      </bottom>
      <diagonal/>
    </border>
    <border>
      <left style="thin">
        <color rgb="FF1F1F1F"/>
      </left>
      <right style="thin">
        <color rgb="FF1F1F1F"/>
      </right>
      <top/>
      <bottom/>
      <diagonal/>
    </border>
    <border>
      <left style="medium">
        <color rgb="FF000000"/>
      </left>
      <right style="thin">
        <color rgb="FF000000"/>
      </right>
      <top style="medium">
        <color rgb="FF000000"/>
      </top>
      <bottom style="thin">
        <color rgb="FF000000"/>
      </bottom>
      <diagonal/>
    </border>
    <border>
      <left style="thin">
        <color rgb="FF000000"/>
      </left>
      <right style="thin">
        <color rgb="FF000000"/>
      </right>
      <top style="medium">
        <color rgb="FF000000"/>
      </top>
      <bottom style="thin">
        <color rgb="FF000000"/>
      </bottom>
      <diagonal/>
    </border>
    <border>
      <left style="thin">
        <color rgb="FF000000"/>
      </left>
      <right style="medium">
        <color rgb="FF000000"/>
      </right>
      <top style="medium">
        <color rgb="FF000000"/>
      </top>
      <bottom style="thin">
        <color rgb="FF000000"/>
      </bottom>
      <diagonal/>
    </border>
    <border>
      <left style="medium">
        <color rgb="FF000000"/>
      </left>
      <right style="thin">
        <color rgb="FF000000"/>
      </right>
      <top style="thin">
        <color rgb="FF000000"/>
      </top>
      <bottom style="thin">
        <color rgb="FF000000"/>
      </bottom>
      <diagonal/>
    </border>
    <border>
      <left style="thin">
        <color rgb="FF000000"/>
      </left>
      <right style="medium">
        <color rgb="FF000000"/>
      </right>
      <top style="thin">
        <color rgb="FF000000"/>
      </top>
      <bottom style="thin">
        <color rgb="FF000000"/>
      </bottom>
      <diagonal/>
    </border>
    <border>
      <left/>
      <right/>
      <top style="thin">
        <color rgb="FF000000"/>
      </top>
      <bottom style="thin">
        <color rgb="FF000000"/>
      </bottom>
      <diagonal/>
    </border>
    <border>
      <left style="medium">
        <color rgb="FF000000"/>
      </left>
      <right style="medium">
        <color rgb="FF000000"/>
      </right>
      <top style="medium">
        <color rgb="FF000000"/>
      </top>
      <bottom style="thin">
        <color rgb="FF000000"/>
      </bottom>
      <diagonal/>
    </border>
    <border>
      <left style="medium">
        <color rgb="FF000000"/>
      </left>
      <right style="medium">
        <color rgb="FF000000"/>
      </right>
      <top style="thin">
        <color rgb="FF000000"/>
      </top>
      <bottom style="thin">
        <color rgb="FF000000"/>
      </bottom>
      <diagonal/>
    </border>
    <border>
      <left style="medium">
        <color rgb="FF000000"/>
      </left>
      <right style="medium">
        <color rgb="FF000000"/>
      </right>
      <top/>
      <bottom/>
      <diagonal/>
    </border>
    <border>
      <left/>
      <right/>
      <top style="thin">
        <color rgb="FF000000"/>
      </top>
      <bottom/>
      <diagonal/>
    </border>
    <border>
      <left/>
      <right style="thin">
        <color rgb="FF000000"/>
      </right>
      <top/>
      <bottom/>
      <diagonal/>
    </border>
    <border>
      <left style="medium">
        <color rgb="FF000000"/>
      </left>
      <right/>
      <top style="thin">
        <color rgb="FF000000"/>
      </top>
      <bottom style="thin">
        <color rgb="FF000000"/>
      </bottom>
      <diagonal/>
    </border>
    <border>
      <left/>
      <right style="medium">
        <color rgb="FF000000"/>
      </right>
      <top/>
      <bottom/>
      <diagonal/>
    </border>
    <border>
      <left style="thin">
        <color rgb="FF000000"/>
      </left>
      <right/>
      <top/>
      <bottom/>
      <diagonal/>
    </border>
    <border>
      <left style="medium">
        <color rgb="FF000000"/>
      </left>
      <right style="medium">
        <color rgb="FF000000"/>
      </right>
      <top style="medium">
        <color rgb="FF000000"/>
      </top>
      <bottom style="medium">
        <color rgb="FF000000"/>
      </bottom>
      <diagonal/>
    </border>
    <border>
      <left style="thin">
        <color rgb="FF7F7F7F"/>
      </left>
      <right style="thin">
        <color rgb="FF7F7F7F"/>
      </right>
      <top style="thin">
        <color rgb="FF7F7F7F"/>
      </top>
      <bottom style="thin">
        <color rgb="FF7F7F7F"/>
      </bottom>
      <diagonal/>
    </border>
    <border>
      <left style="medium">
        <color rgb="FF000000"/>
      </left>
      <right/>
      <top style="medium">
        <color rgb="FF000000"/>
      </top>
      <bottom/>
      <diagonal/>
    </border>
    <border>
      <left style="medium">
        <color rgb="FF000000"/>
      </left>
      <right/>
      <top style="thin">
        <color rgb="FF000000"/>
      </top>
      <bottom/>
      <diagonal/>
    </border>
    <border>
      <left style="thin">
        <color rgb="FF000000"/>
      </left>
      <right style="thin">
        <color rgb="FF000000"/>
      </right>
      <top style="medium">
        <color rgb="FF000000"/>
      </top>
      <bottom/>
      <diagonal/>
    </border>
    <border>
      <left/>
      <right style="medium">
        <color rgb="FF000000"/>
      </right>
      <top style="medium">
        <color rgb="FF000000"/>
      </top>
      <bottom/>
      <diagonal/>
    </border>
    <border>
      <left/>
      <right style="thin">
        <color rgb="FF000000"/>
      </right>
      <top style="thin">
        <color rgb="FF000000"/>
      </top>
      <bottom/>
      <diagonal/>
    </border>
  </borders>
  <cellStyleXfs count="2">
    <xf numFmtId="0" fontId="0" fillId="0" borderId="0"/>
    <xf numFmtId="0" fontId="32" fillId="24" borderId="26" applyNumberFormat="0" applyAlignment="0" applyProtection="0"/>
  </cellStyleXfs>
  <cellXfs count="348">
    <xf numFmtId="0" fontId="0" fillId="0" borderId="0" xfId="0" applyFont="1" applyAlignment="1"/>
    <xf numFmtId="0" fontId="2" fillId="0" borderId="2" xfId="0" applyFont="1" applyBorder="1" applyAlignment="1">
      <alignment vertical="center"/>
    </xf>
    <xf numFmtId="0" fontId="2" fillId="7" borderId="2" xfId="0" applyFont="1" applyFill="1" applyBorder="1" applyAlignment="1">
      <alignment horizontal="center" vertical="center"/>
    </xf>
    <xf numFmtId="0" fontId="2" fillId="0" borderId="2" xfId="0" applyFont="1" applyBorder="1" applyAlignment="1">
      <alignment horizontal="center" vertical="center"/>
    </xf>
    <xf numFmtId="0" fontId="2" fillId="0" borderId="0" xfId="0" applyFont="1" applyAlignment="1">
      <alignment horizontal="center" vertical="center"/>
    </xf>
    <xf numFmtId="0" fontId="2" fillId="0" borderId="0" xfId="0" applyFont="1" applyAlignment="1">
      <alignment horizontal="center" vertical="center" wrapText="1"/>
    </xf>
    <xf numFmtId="0" fontId="4" fillId="0" borderId="9" xfId="0" applyFont="1" applyBorder="1" applyAlignment="1">
      <alignment readingOrder="1"/>
    </xf>
    <xf numFmtId="0" fontId="0" fillId="0" borderId="0" xfId="0" applyFont="1" applyAlignment="1">
      <alignment horizontal="center" vertical="center"/>
    </xf>
    <xf numFmtId="0" fontId="2" fillId="6" borderId="0" xfId="0" applyFont="1" applyFill="1" applyAlignment="1">
      <alignment horizontal="center" vertical="center"/>
    </xf>
    <xf numFmtId="11" fontId="2" fillId="0" borderId="0" xfId="0" applyNumberFormat="1" applyFont="1" applyAlignment="1">
      <alignment horizontal="center" vertical="center" wrapText="1"/>
    </xf>
    <xf numFmtId="0" fontId="1" fillId="0" borderId="2" xfId="0" applyFont="1" applyBorder="1" applyAlignment="1">
      <alignment horizontal="center" vertical="center"/>
    </xf>
    <xf numFmtId="0" fontId="1" fillId="4" borderId="2" xfId="0" applyFont="1" applyFill="1" applyBorder="1" applyAlignment="1">
      <alignment horizontal="center" vertical="center"/>
    </xf>
    <xf numFmtId="0" fontId="1" fillId="0" borderId="7" xfId="0" applyFont="1" applyBorder="1" applyAlignment="1">
      <alignment horizontal="center" vertical="center"/>
    </xf>
    <xf numFmtId="0" fontId="1" fillId="4" borderId="0" xfId="0" applyFont="1" applyFill="1" applyAlignment="1">
      <alignment horizontal="center" vertical="center"/>
    </xf>
    <xf numFmtId="0" fontId="1" fillId="0" borderId="0" xfId="0" applyFont="1" applyAlignment="1">
      <alignment horizontal="center" vertical="center"/>
    </xf>
    <xf numFmtId="0" fontId="1" fillId="0" borderId="2" xfId="0" applyFont="1" applyBorder="1"/>
    <xf numFmtId="0" fontId="0" fillId="5" borderId="0" xfId="0" applyFont="1" applyFill="1" applyAlignment="1"/>
    <xf numFmtId="0" fontId="5" fillId="0" borderId="9" xfId="0" applyFont="1" applyBorder="1" applyAlignment="1">
      <alignment readingOrder="1"/>
    </xf>
    <xf numFmtId="0" fontId="0" fillId="0" borderId="0" xfId="0" applyFont="1" applyAlignment="1">
      <alignment horizontal="center" vertical="center" wrapText="1"/>
    </xf>
    <xf numFmtId="0" fontId="7" fillId="6" borderId="2" xfId="0" applyFont="1" applyFill="1" applyBorder="1" applyAlignment="1">
      <alignment horizontal="center" vertical="center"/>
    </xf>
    <xf numFmtId="0" fontId="3" fillId="7" borderId="7" xfId="0" applyFont="1" applyFill="1" applyBorder="1" applyAlignment="1">
      <alignment horizontal="center" vertical="center"/>
    </xf>
    <xf numFmtId="0" fontId="2" fillId="7" borderId="7" xfId="0" applyFont="1" applyFill="1" applyBorder="1" applyAlignment="1">
      <alignment horizontal="center" vertical="center"/>
    </xf>
    <xf numFmtId="0" fontId="6" fillId="0" borderId="9" xfId="0" applyFont="1" applyBorder="1" applyAlignment="1">
      <alignment readingOrder="1"/>
    </xf>
    <xf numFmtId="0" fontId="0" fillId="0" borderId="0" xfId="0" applyFont="1" applyBorder="1" applyAlignment="1"/>
    <xf numFmtId="0" fontId="0" fillId="0" borderId="0" xfId="0" applyFont="1" applyAlignment="1">
      <alignment horizontal="center" vertical="center"/>
    </xf>
    <xf numFmtId="0" fontId="2" fillId="0" borderId="2" xfId="0" applyFont="1" applyBorder="1" applyAlignment="1"/>
    <xf numFmtId="0" fontId="12" fillId="13" borderId="0" xfId="0" applyFont="1" applyFill="1" applyAlignment="1"/>
    <xf numFmtId="0" fontId="12" fillId="15" borderId="0" xfId="0" applyFont="1" applyFill="1" applyAlignment="1"/>
    <xf numFmtId="0" fontId="15" fillId="15" borderId="0" xfId="0" applyFont="1" applyFill="1" applyAlignment="1"/>
    <xf numFmtId="0" fontId="12" fillId="12" borderId="0" xfId="0" applyFont="1" applyFill="1" applyAlignment="1"/>
    <xf numFmtId="0" fontId="10" fillId="12" borderId="0" xfId="0" applyFont="1" applyFill="1" applyAlignment="1"/>
    <xf numFmtId="0" fontId="21" fillId="6" borderId="0" xfId="0" applyFont="1" applyFill="1" applyAlignment="1"/>
    <xf numFmtId="0" fontId="2" fillId="18" borderId="2" xfId="0" applyFont="1" applyFill="1" applyBorder="1" applyAlignment="1"/>
    <xf numFmtId="0" fontId="1" fillId="18" borderId="2" xfId="0" applyFont="1" applyFill="1" applyBorder="1" applyAlignment="1">
      <alignment horizontal="center" vertical="center"/>
    </xf>
    <xf numFmtId="0" fontId="1" fillId="11" borderId="5" xfId="0" applyFont="1" applyFill="1" applyBorder="1" applyAlignment="1">
      <alignment horizontal="center" vertical="center"/>
    </xf>
    <xf numFmtId="0" fontId="4" fillId="16" borderId="10" xfId="0" applyFont="1" applyFill="1" applyBorder="1" applyAlignment="1">
      <alignment horizontal="center" vertical="center" readingOrder="1"/>
    </xf>
    <xf numFmtId="0" fontId="4" fillId="16" borderId="10" xfId="0" applyFont="1" applyFill="1" applyBorder="1" applyAlignment="1">
      <alignment horizontal="center" vertical="center" wrapText="1" readingOrder="1"/>
    </xf>
    <xf numFmtId="0" fontId="24" fillId="16" borderId="10" xfId="0" applyFont="1" applyFill="1" applyBorder="1" applyAlignment="1">
      <alignment horizontal="center" vertical="center" readingOrder="1"/>
    </xf>
    <xf numFmtId="0" fontId="24" fillId="10" borderId="10" xfId="0" applyFont="1" applyFill="1" applyBorder="1" applyAlignment="1">
      <alignment horizontal="center" vertical="center" readingOrder="1"/>
    </xf>
    <xf numFmtId="0" fontId="24" fillId="10" borderId="10" xfId="0" applyFont="1" applyFill="1" applyBorder="1" applyAlignment="1">
      <alignment horizontal="center" vertical="center" wrapText="1" readingOrder="1"/>
    </xf>
    <xf numFmtId="0" fontId="0" fillId="18" borderId="2" xfId="0" applyFont="1" applyFill="1" applyBorder="1" applyAlignment="1">
      <alignment horizontal="center"/>
    </xf>
    <xf numFmtId="0" fontId="0" fillId="18" borderId="0" xfId="0" applyFont="1" applyFill="1" applyBorder="1" applyAlignment="1"/>
    <xf numFmtId="0" fontId="11" fillId="18" borderId="0" xfId="0" applyFont="1" applyFill="1" applyAlignment="1">
      <alignment horizontal="center"/>
    </xf>
    <xf numFmtId="0" fontId="12" fillId="18" borderId="0" xfId="0" applyFont="1" applyFill="1" applyAlignment="1"/>
    <xf numFmtId="0" fontId="13" fillId="18" borderId="0" xfId="0" applyFont="1" applyFill="1" applyAlignment="1">
      <alignment wrapText="1"/>
    </xf>
    <xf numFmtId="0" fontId="10" fillId="18" borderId="0" xfId="0" applyFont="1" applyFill="1" applyAlignment="1">
      <alignment horizontal="center" vertical="center"/>
    </xf>
    <xf numFmtId="0" fontId="14" fillId="18" borderId="0" xfId="0" applyFont="1" applyFill="1" applyAlignment="1">
      <alignment readingOrder="1"/>
    </xf>
    <xf numFmtId="0" fontId="16" fillId="18" borderId="0" xfId="0" applyFont="1" applyFill="1" applyAlignment="1">
      <alignment readingOrder="1"/>
    </xf>
    <xf numFmtId="0" fontId="17" fillId="18" borderId="0" xfId="0" applyFont="1" applyFill="1" applyAlignment="1">
      <alignment readingOrder="1"/>
    </xf>
    <xf numFmtId="0" fontId="18" fillId="18" borderId="0" xfId="0" applyFont="1" applyFill="1" applyAlignment="1">
      <alignment wrapText="1" readingOrder="1"/>
    </xf>
    <xf numFmtId="0" fontId="8" fillId="18" borderId="0" xfId="0" applyFont="1" applyFill="1" applyAlignment="1"/>
    <xf numFmtId="0" fontId="20" fillId="18" borderId="0" xfId="0" applyFont="1" applyFill="1" applyAlignment="1">
      <alignment horizontal="left" vertical="center" wrapText="1"/>
    </xf>
    <xf numFmtId="0" fontId="0" fillId="0" borderId="2" xfId="0" applyFont="1" applyBorder="1" applyAlignment="1"/>
    <xf numFmtId="0" fontId="0" fillId="11" borderId="2" xfId="0" applyFont="1" applyFill="1" applyBorder="1" applyAlignment="1"/>
    <xf numFmtId="0" fontId="10" fillId="8" borderId="2" xfId="0" applyFont="1" applyFill="1" applyBorder="1" applyAlignment="1">
      <alignment horizontal="center" vertical="center"/>
    </xf>
    <xf numFmtId="0" fontId="10" fillId="5" borderId="2" xfId="0" applyFont="1" applyFill="1" applyBorder="1" applyAlignment="1">
      <alignment horizontal="center" vertical="center"/>
    </xf>
    <xf numFmtId="0" fontId="10" fillId="0" borderId="2" xfId="0" applyFont="1" applyBorder="1" applyAlignment="1">
      <alignment horizontal="center" vertical="center"/>
    </xf>
    <xf numFmtId="0" fontId="20" fillId="0" borderId="2" xfId="0" applyFont="1" applyBorder="1" applyAlignment="1">
      <alignment horizontal="center" vertical="center"/>
    </xf>
    <xf numFmtId="0" fontId="10" fillId="11" borderId="2" xfId="0" applyFont="1" applyFill="1" applyBorder="1" applyAlignment="1">
      <alignment horizontal="center" vertical="center"/>
    </xf>
    <xf numFmtId="0" fontId="10" fillId="9" borderId="2" xfId="0" applyFont="1" applyFill="1" applyBorder="1" applyAlignment="1">
      <alignment horizontal="center" vertical="center"/>
    </xf>
    <xf numFmtId="0" fontId="10" fillId="11" borderId="4" xfId="0" applyFont="1" applyFill="1" applyBorder="1" applyAlignment="1">
      <alignment horizontal="center" vertical="center"/>
    </xf>
    <xf numFmtId="0" fontId="10" fillId="5" borderId="4" xfId="0" applyFont="1" applyFill="1" applyBorder="1" applyAlignment="1">
      <alignment horizontal="center" vertical="center"/>
    </xf>
    <xf numFmtId="0" fontId="10" fillId="0" borderId="4" xfId="0" applyFont="1" applyBorder="1" applyAlignment="1">
      <alignment horizontal="center" vertical="center"/>
    </xf>
    <xf numFmtId="0" fontId="10" fillId="8" borderId="4" xfId="0" applyFont="1" applyFill="1" applyBorder="1" applyAlignment="1">
      <alignment horizontal="center" vertical="center"/>
    </xf>
    <xf numFmtId="0" fontId="10" fillId="11" borderId="2" xfId="0" applyFont="1" applyFill="1" applyBorder="1" applyAlignment="1"/>
    <xf numFmtId="0" fontId="25" fillId="16" borderId="2" xfId="0" applyFont="1" applyFill="1" applyBorder="1" applyAlignment="1">
      <alignment horizontal="center" vertical="center" wrapText="1"/>
    </xf>
    <xf numFmtId="0" fontId="25" fillId="16" borderId="2" xfId="0" applyFont="1" applyFill="1" applyBorder="1" applyAlignment="1">
      <alignment horizontal="center" vertical="center"/>
    </xf>
    <xf numFmtId="0" fontId="10" fillId="11" borderId="2" xfId="0" applyFont="1" applyFill="1" applyBorder="1" applyAlignment="1">
      <alignment horizontal="center" vertical="center" wrapText="1"/>
    </xf>
    <xf numFmtId="0" fontId="10" fillId="18" borderId="2" xfId="0" applyFont="1" applyFill="1" applyBorder="1" applyAlignment="1">
      <alignment horizontal="center" vertical="center" wrapText="1"/>
    </xf>
    <xf numFmtId="0" fontId="1" fillId="18" borderId="7" xfId="0" applyFont="1" applyFill="1" applyBorder="1" applyAlignment="1">
      <alignment horizontal="center" vertical="center"/>
    </xf>
    <xf numFmtId="0" fontId="1" fillId="4" borderId="7" xfId="0" applyFont="1" applyFill="1" applyBorder="1" applyAlignment="1">
      <alignment horizontal="center" vertical="center"/>
    </xf>
    <xf numFmtId="0" fontId="2" fillId="0" borderId="7" xfId="0" applyFont="1" applyBorder="1" applyAlignment="1">
      <alignment horizontal="center" vertical="center"/>
    </xf>
    <xf numFmtId="0" fontId="27" fillId="11" borderId="18" xfId="0" applyFont="1" applyFill="1" applyBorder="1" applyAlignment="1">
      <alignment horizontal="center" vertical="center"/>
    </xf>
    <xf numFmtId="0" fontId="1" fillId="0" borderId="18" xfId="0" applyFont="1" applyBorder="1" applyAlignment="1">
      <alignment horizontal="center" vertical="center"/>
    </xf>
    <xf numFmtId="0" fontId="1" fillId="3" borderId="18" xfId="0" applyFont="1" applyFill="1" applyBorder="1" applyAlignment="1">
      <alignment horizontal="center" vertical="center"/>
    </xf>
    <xf numFmtId="0" fontId="2" fillId="0" borderId="18" xfId="0" applyFont="1" applyBorder="1" applyAlignment="1">
      <alignment horizontal="center" vertical="center"/>
    </xf>
    <xf numFmtId="0" fontId="2" fillId="0" borderId="5" xfId="0" applyFont="1" applyBorder="1" applyAlignment="1">
      <alignment horizontal="center" vertical="center"/>
    </xf>
    <xf numFmtId="0" fontId="1" fillId="6" borderId="1" xfId="0" applyFont="1" applyFill="1" applyBorder="1" applyAlignment="1">
      <alignment horizontal="center" vertical="center"/>
    </xf>
    <xf numFmtId="0" fontId="1" fillId="0" borderId="16" xfId="0" applyFont="1" applyBorder="1" applyAlignment="1">
      <alignment horizontal="center" vertical="center"/>
    </xf>
    <xf numFmtId="0" fontId="1" fillId="11" borderId="19" xfId="0" applyFont="1" applyFill="1" applyBorder="1" applyAlignment="1">
      <alignment horizontal="center" vertical="center"/>
    </xf>
    <xf numFmtId="0" fontId="2" fillId="11" borderId="19" xfId="0" applyFont="1" applyFill="1" applyBorder="1" applyAlignment="1">
      <alignment horizontal="center" vertical="center"/>
    </xf>
    <xf numFmtId="0" fontId="0" fillId="0" borderId="0" xfId="0" applyFont="1" applyAlignment="1">
      <alignment wrapText="1"/>
    </xf>
    <xf numFmtId="0" fontId="7" fillId="6" borderId="5" xfId="0" applyFont="1" applyFill="1" applyBorder="1" applyAlignment="1">
      <alignment horizontal="center" vertical="center"/>
    </xf>
    <xf numFmtId="0" fontId="10" fillId="0" borderId="2" xfId="0" applyFont="1" applyBorder="1" applyAlignment="1">
      <alignment horizontal="center"/>
    </xf>
    <xf numFmtId="0" fontId="10" fillId="6" borderId="2" xfId="0" applyFont="1" applyFill="1" applyBorder="1" applyAlignment="1">
      <alignment horizontal="center"/>
    </xf>
    <xf numFmtId="0" fontId="10" fillId="0" borderId="2" xfId="0" applyFont="1" applyBorder="1" applyAlignment="1">
      <alignment horizontal="center" wrapText="1"/>
    </xf>
    <xf numFmtId="0" fontId="0" fillId="11" borderId="2" xfId="0" applyFont="1" applyFill="1" applyBorder="1" applyAlignment="1">
      <alignment horizontal="center"/>
    </xf>
    <xf numFmtId="0" fontId="0" fillId="0" borderId="2" xfId="0" applyFont="1" applyBorder="1" applyAlignment="1">
      <alignment horizontal="center"/>
    </xf>
    <xf numFmtId="0" fontId="1" fillId="16" borderId="2" xfId="0" applyFont="1" applyFill="1" applyBorder="1" applyAlignment="1"/>
    <xf numFmtId="0" fontId="0" fillId="0" borderId="0" xfId="0" applyNumberFormat="1" applyFont="1" applyAlignment="1"/>
    <xf numFmtId="0" fontId="0" fillId="0" borderId="0" xfId="0" applyNumberFormat="1" applyFont="1" applyAlignment="1">
      <alignment wrapText="1"/>
    </xf>
    <xf numFmtId="0" fontId="20" fillId="0" borderId="0" xfId="0" applyNumberFormat="1" applyFont="1" applyAlignment="1"/>
    <xf numFmtId="0" fontId="20" fillId="17" borderId="0" xfId="0" applyNumberFormat="1" applyFont="1" applyFill="1" applyAlignment="1">
      <alignment horizontal="center" vertical="center"/>
    </xf>
    <xf numFmtId="0" fontId="20" fillId="18" borderId="2" xfId="0" applyNumberFormat="1" applyFont="1" applyFill="1" applyBorder="1" applyAlignment="1">
      <alignment horizontal="center"/>
    </xf>
    <xf numFmtId="0" fontId="2" fillId="0" borderId="4" xfId="0" applyFont="1" applyBorder="1" applyAlignment="1">
      <alignment horizontal="center" vertical="center"/>
    </xf>
    <xf numFmtId="0" fontId="2" fillId="25" borderId="29" xfId="0" applyFont="1" applyFill="1" applyBorder="1" applyAlignment="1">
      <alignment horizontal="center" vertical="center"/>
    </xf>
    <xf numFmtId="0" fontId="1" fillId="18" borderId="8" xfId="0" applyFont="1" applyFill="1" applyBorder="1" applyAlignment="1">
      <alignment horizontal="center" vertical="center"/>
    </xf>
    <xf numFmtId="0" fontId="2" fillId="0" borderId="8" xfId="0" applyFont="1" applyBorder="1" applyAlignment="1">
      <alignment horizontal="center" vertical="center"/>
    </xf>
    <xf numFmtId="0" fontId="7" fillId="5" borderId="30" xfId="0" applyFont="1" applyFill="1" applyBorder="1" applyAlignment="1">
      <alignment horizontal="center" vertical="center"/>
    </xf>
    <xf numFmtId="0" fontId="2" fillId="25" borderId="24" xfId="0" applyFont="1" applyFill="1" applyBorder="1" applyAlignment="1">
      <alignment horizontal="center" vertical="center"/>
    </xf>
    <xf numFmtId="0" fontId="2" fillId="0" borderId="0" xfId="0" applyFont="1" applyBorder="1" applyAlignment="1">
      <alignment horizontal="center" vertical="center"/>
    </xf>
    <xf numFmtId="0" fontId="34" fillId="16" borderId="24" xfId="0" applyFont="1" applyFill="1" applyBorder="1" applyAlignment="1">
      <alignment horizontal="center" vertical="center"/>
    </xf>
    <xf numFmtId="0" fontId="12" fillId="13" borderId="0" xfId="0" applyFont="1" applyFill="1" applyAlignment="1">
      <alignment vertical="center" wrapText="1"/>
    </xf>
    <xf numFmtId="0" fontId="12" fillId="13" borderId="0" xfId="0" applyFont="1" applyFill="1" applyAlignment="1">
      <alignment vertical="center"/>
    </xf>
    <xf numFmtId="0" fontId="12" fillId="15" borderId="0" xfId="0" applyFont="1" applyFill="1" applyAlignment="1">
      <alignment vertical="center"/>
    </xf>
    <xf numFmtId="0" fontId="0" fillId="0" borderId="0" xfId="0" applyFont="1" applyBorder="1" applyAlignment="1">
      <alignment vertical="center"/>
    </xf>
    <xf numFmtId="0" fontId="18" fillId="6" borderId="0" xfId="0" applyFont="1" applyFill="1" applyAlignment="1">
      <alignment vertical="center" wrapText="1" readingOrder="1"/>
    </xf>
    <xf numFmtId="0" fontId="12" fillId="15" borderId="0" xfId="0" applyFont="1" applyFill="1" applyAlignment="1">
      <alignment vertical="center" wrapText="1"/>
    </xf>
    <xf numFmtId="0" fontId="36" fillId="10" borderId="8" xfId="0" applyFont="1" applyFill="1" applyBorder="1" applyAlignment="1">
      <alignment horizontal="center" vertical="center"/>
    </xf>
    <xf numFmtId="0" fontId="36" fillId="10" borderId="28" xfId="0" applyFont="1" applyFill="1" applyBorder="1" applyAlignment="1">
      <alignment horizontal="center" vertical="center"/>
    </xf>
    <xf numFmtId="0" fontId="37" fillId="10" borderId="2" xfId="0" applyFont="1" applyFill="1" applyBorder="1" applyAlignment="1">
      <alignment horizontal="center"/>
    </xf>
    <xf numFmtId="0" fontId="38" fillId="10" borderId="18" xfId="0" applyFont="1" applyFill="1" applyBorder="1" applyAlignment="1">
      <alignment horizontal="center" vertical="center"/>
    </xf>
    <xf numFmtId="0" fontId="27" fillId="23" borderId="2" xfId="0" applyFont="1" applyFill="1" applyBorder="1" applyAlignment="1">
      <alignment horizontal="center" vertical="center"/>
    </xf>
    <xf numFmtId="0" fontId="27" fillId="23" borderId="8" xfId="0" applyFont="1" applyFill="1" applyBorder="1" applyAlignment="1">
      <alignment horizontal="center" vertical="center"/>
    </xf>
    <xf numFmtId="0" fontId="27" fillId="23" borderId="5" xfId="0" applyFont="1" applyFill="1" applyBorder="1" applyAlignment="1">
      <alignment horizontal="center" vertical="center"/>
    </xf>
    <xf numFmtId="0" fontId="10" fillId="23" borderId="8" xfId="0" applyFont="1" applyFill="1" applyBorder="1" applyAlignment="1">
      <alignment horizontal="center" vertical="center"/>
    </xf>
    <xf numFmtId="0" fontId="20" fillId="19" borderId="2" xfId="0" applyFont="1" applyFill="1" applyBorder="1" applyAlignment="1">
      <alignment horizontal="center" vertical="center"/>
    </xf>
    <xf numFmtId="0" fontId="26" fillId="16" borderId="2" xfId="0" applyFont="1" applyFill="1" applyBorder="1" applyAlignment="1">
      <alignment horizontal="center" vertical="center" wrapText="1"/>
    </xf>
    <xf numFmtId="0" fontId="2" fillId="19" borderId="2" xfId="0" applyFont="1" applyFill="1" applyBorder="1" applyAlignment="1">
      <alignment horizontal="center" vertical="center"/>
    </xf>
    <xf numFmtId="0" fontId="20" fillId="5" borderId="2" xfId="0" applyFont="1" applyFill="1" applyBorder="1" applyAlignment="1">
      <alignment horizontal="center" wrapText="1"/>
    </xf>
    <xf numFmtId="0" fontId="20" fillId="18" borderId="2" xfId="0" applyFont="1" applyFill="1" applyBorder="1" applyAlignment="1">
      <alignment horizontal="center" wrapText="1"/>
    </xf>
    <xf numFmtId="0" fontId="19" fillId="6" borderId="2" xfId="0" applyFont="1" applyFill="1" applyBorder="1" applyAlignment="1">
      <alignment horizontal="center"/>
    </xf>
    <xf numFmtId="0" fontId="19" fillId="0" borderId="2" xfId="0" applyFont="1" applyBorder="1" applyAlignment="1">
      <alignment horizontal="center"/>
    </xf>
    <xf numFmtId="0" fontId="19" fillId="0" borderId="7" xfId="0" applyFont="1" applyBorder="1" applyAlignment="1">
      <alignment horizontal="center" vertical="center"/>
    </xf>
    <xf numFmtId="0" fontId="19" fillId="0" borderId="2" xfId="0" applyFont="1" applyBorder="1" applyAlignment="1">
      <alignment vertical="center"/>
    </xf>
    <xf numFmtId="0" fontId="15" fillId="7" borderId="7" xfId="0" applyFont="1" applyFill="1" applyBorder="1" applyAlignment="1">
      <alignment horizontal="center" vertical="center"/>
    </xf>
    <xf numFmtId="0" fontId="19" fillId="7" borderId="7" xfId="0" applyFont="1" applyFill="1" applyBorder="1" applyAlignment="1">
      <alignment horizontal="center" vertical="center"/>
    </xf>
    <xf numFmtId="0" fontId="19" fillId="0" borderId="2" xfId="0" applyFont="1" applyBorder="1" applyAlignment="1">
      <alignment horizontal="center" vertical="center"/>
    </xf>
    <xf numFmtId="0" fontId="2" fillId="16" borderId="2" xfId="0" applyFont="1" applyFill="1" applyBorder="1" applyAlignment="1"/>
    <xf numFmtId="0" fontId="2" fillId="18" borderId="2" xfId="0" applyFont="1" applyFill="1" applyBorder="1" applyAlignment="1">
      <alignment horizontal="center"/>
    </xf>
    <xf numFmtId="0" fontId="22" fillId="11" borderId="2" xfId="0" applyFont="1" applyFill="1" applyBorder="1" applyAlignment="1">
      <alignment horizontal="center"/>
    </xf>
    <xf numFmtId="0" fontId="1" fillId="2" borderId="2" xfId="0" applyFont="1" applyFill="1" applyBorder="1"/>
    <xf numFmtId="0" fontId="1" fillId="0" borderId="2" xfId="0" applyFont="1" applyBorder="1" applyAlignment="1">
      <alignment horizontal="center"/>
    </xf>
    <xf numFmtId="0" fontId="2" fillId="0" borderId="2" xfId="0" applyFont="1" applyBorder="1" applyAlignment="1">
      <alignment horizontal="center"/>
    </xf>
    <xf numFmtId="0" fontId="22" fillId="16" borderId="2" xfId="0" applyFont="1" applyFill="1" applyBorder="1" applyAlignment="1">
      <alignment horizontal="center"/>
    </xf>
    <xf numFmtId="0" fontId="22" fillId="16" borderId="2" xfId="0" applyFont="1" applyFill="1" applyBorder="1" applyAlignment="1">
      <alignment horizontal="center" wrapText="1"/>
    </xf>
    <xf numFmtId="0" fontId="22" fillId="16" borderId="2" xfId="0" applyFont="1" applyFill="1" applyBorder="1" applyAlignment="1"/>
    <xf numFmtId="0" fontId="22" fillId="26" borderId="2" xfId="0" applyFont="1" applyFill="1" applyBorder="1" applyAlignment="1">
      <alignment horizontal="center"/>
    </xf>
    <xf numFmtId="0" fontId="2" fillId="0" borderId="2" xfId="0" applyFont="1" applyBorder="1" applyAlignment="1">
      <alignment horizontal="center" wrapText="1"/>
    </xf>
    <xf numFmtId="0" fontId="2" fillId="18" borderId="2" xfId="0" applyFont="1" applyFill="1" applyBorder="1" applyAlignment="1">
      <alignment horizontal="center" vertical="center" wrapText="1"/>
    </xf>
    <xf numFmtId="0" fontId="42" fillId="18" borderId="2" xfId="0" applyFont="1" applyFill="1" applyBorder="1" applyAlignment="1">
      <alignment horizontal="center" vertical="center"/>
    </xf>
    <xf numFmtId="0" fontId="2" fillId="18" borderId="2" xfId="0" applyFont="1" applyFill="1" applyBorder="1" applyAlignment="1">
      <alignment horizontal="center" vertical="center"/>
    </xf>
    <xf numFmtId="0" fontId="20" fillId="0" borderId="2" xfId="0" applyFont="1" applyBorder="1" applyAlignment="1">
      <alignment vertical="center"/>
    </xf>
    <xf numFmtId="0" fontId="27" fillId="23" borderId="2" xfId="0" applyFont="1" applyFill="1" applyBorder="1" applyAlignment="1">
      <alignment horizontal="center"/>
    </xf>
    <xf numFmtId="0" fontId="2" fillId="8" borderId="2" xfId="0" applyFont="1" applyFill="1" applyBorder="1" applyAlignment="1">
      <alignment horizontal="center" vertical="center"/>
    </xf>
    <xf numFmtId="0" fontId="2" fillId="6" borderId="2" xfId="0" applyFont="1" applyFill="1" applyBorder="1" applyAlignment="1">
      <alignment horizontal="center" vertical="center"/>
    </xf>
    <xf numFmtId="0" fontId="2" fillId="5" borderId="2" xfId="0" applyFont="1" applyFill="1" applyBorder="1" applyAlignment="1">
      <alignment horizontal="center" vertical="center"/>
    </xf>
    <xf numFmtId="0" fontId="10" fillId="13" borderId="0" xfId="0" applyFont="1" applyFill="1" applyAlignment="1"/>
    <xf numFmtId="0" fontId="13" fillId="18" borderId="0" xfId="0" applyFont="1" applyFill="1" applyAlignment="1">
      <alignment horizontal="center" vertical="center"/>
    </xf>
    <xf numFmtId="0" fontId="12" fillId="18" borderId="0" xfId="0" applyFont="1" applyFill="1" applyAlignment="1">
      <alignment horizontal="center" wrapText="1"/>
    </xf>
    <xf numFmtId="0" fontId="18" fillId="27" borderId="0" xfId="0" applyFont="1" applyFill="1" applyAlignment="1">
      <alignment vertical="center" readingOrder="1"/>
    </xf>
    <xf numFmtId="0" fontId="46" fillId="18" borderId="0" xfId="0" applyFont="1" applyFill="1" applyAlignment="1">
      <alignment readingOrder="1"/>
    </xf>
    <xf numFmtId="0" fontId="47" fillId="27" borderId="0" xfId="0" applyFont="1" applyFill="1" applyAlignment="1">
      <alignment vertical="center" readingOrder="1"/>
    </xf>
    <xf numFmtId="0" fontId="48" fillId="27" borderId="0" xfId="0" applyFont="1" applyFill="1" applyAlignment="1">
      <alignment vertical="center"/>
    </xf>
    <xf numFmtId="0" fontId="20" fillId="22" borderId="14" xfId="0" applyFont="1" applyFill="1" applyBorder="1" applyAlignment="1">
      <alignment horizontal="center" vertical="center"/>
    </xf>
    <xf numFmtId="0" fontId="20" fillId="22" borderId="2" xfId="0" applyFont="1" applyFill="1" applyBorder="1" applyAlignment="1">
      <alignment horizontal="center" vertical="center"/>
    </xf>
    <xf numFmtId="0" fontId="20" fillId="22" borderId="15" xfId="0" applyFont="1" applyFill="1" applyBorder="1" applyAlignment="1">
      <alignment horizontal="center" vertical="center"/>
    </xf>
    <xf numFmtId="0" fontId="20" fillId="8" borderId="5" xfId="0" applyFont="1" applyFill="1" applyBorder="1" applyAlignment="1">
      <alignment horizontal="center" vertical="center"/>
    </xf>
    <xf numFmtId="0" fontId="20" fillId="15" borderId="2" xfId="0" applyFont="1" applyFill="1" applyBorder="1" applyAlignment="1">
      <alignment horizontal="center" vertical="center" wrapText="1"/>
    </xf>
    <xf numFmtId="0" fontId="20" fillId="15" borderId="2" xfId="0" applyFont="1" applyFill="1" applyBorder="1" applyAlignment="1">
      <alignment horizontal="center" vertical="center"/>
    </xf>
    <xf numFmtId="0" fontId="20" fillId="6" borderId="7" xfId="0" applyFont="1" applyFill="1" applyBorder="1" applyAlignment="1">
      <alignment horizontal="center" vertical="center"/>
    </xf>
    <xf numFmtId="0" fontId="20" fillId="5" borderId="5" xfId="0" applyFont="1" applyFill="1" applyBorder="1" applyAlignment="1">
      <alignment horizontal="center" vertical="center"/>
    </xf>
    <xf numFmtId="0" fontId="20" fillId="18" borderId="2" xfId="0" applyFont="1" applyFill="1" applyBorder="1" applyAlignment="1">
      <alignment horizontal="center" vertical="center"/>
    </xf>
    <xf numFmtId="0" fontId="49" fillId="22" borderId="14" xfId="0" applyFont="1" applyFill="1" applyBorder="1" applyAlignment="1">
      <alignment horizontal="center" vertical="center" wrapText="1"/>
    </xf>
    <xf numFmtId="0" fontId="40" fillId="8" borderId="2" xfId="0" applyFont="1" applyFill="1" applyBorder="1" applyAlignment="1">
      <alignment horizontal="center" vertical="center"/>
    </xf>
    <xf numFmtId="0" fontId="40" fillId="6" borderId="2" xfId="0" applyFont="1" applyFill="1" applyBorder="1" applyAlignment="1">
      <alignment horizontal="center" vertical="center"/>
    </xf>
    <xf numFmtId="0" fontId="40" fillId="5" borderId="2" xfId="0" applyFont="1" applyFill="1" applyBorder="1" applyAlignment="1">
      <alignment horizontal="center" vertical="center"/>
    </xf>
    <xf numFmtId="0" fontId="40" fillId="17" borderId="2" xfId="0" applyFont="1" applyFill="1" applyBorder="1" applyAlignment="1">
      <alignment horizontal="center" vertical="center"/>
    </xf>
    <xf numFmtId="0" fontId="50" fillId="17" borderId="2" xfId="0" applyFont="1" applyFill="1" applyBorder="1" applyAlignment="1">
      <alignment horizontal="center" vertical="center"/>
    </xf>
    <xf numFmtId="0" fontId="49" fillId="8" borderId="5" xfId="0" applyFont="1" applyFill="1" applyBorder="1" applyAlignment="1">
      <alignment horizontal="center" vertical="center"/>
    </xf>
    <xf numFmtId="2" fontId="49" fillId="15" borderId="2" xfId="0" applyNumberFormat="1" applyFont="1" applyFill="1" applyBorder="1" applyAlignment="1">
      <alignment horizontal="center" vertical="center"/>
    </xf>
    <xf numFmtId="0" fontId="49" fillId="6" borderId="7" xfId="0" applyFont="1" applyFill="1" applyBorder="1" applyAlignment="1">
      <alignment horizontal="center" vertical="center"/>
    </xf>
    <xf numFmtId="0" fontId="49" fillId="5" borderId="5" xfId="0" applyFont="1" applyFill="1" applyBorder="1" applyAlignment="1">
      <alignment horizontal="center" vertical="center"/>
    </xf>
    <xf numFmtId="0" fontId="49" fillId="18" borderId="2" xfId="0" applyFont="1" applyFill="1" applyBorder="1" applyAlignment="1">
      <alignment horizontal="center" vertical="center"/>
    </xf>
    <xf numFmtId="0" fontId="41" fillId="11" borderId="2" xfId="0" applyFont="1" applyFill="1" applyBorder="1" applyAlignment="1">
      <alignment horizontal="center" vertical="top" wrapText="1" readingOrder="1"/>
    </xf>
    <xf numFmtId="0" fontId="29" fillId="18" borderId="2" xfId="0" applyFont="1" applyFill="1" applyBorder="1" applyAlignment="1">
      <alignment horizontal="center"/>
    </xf>
    <xf numFmtId="0" fontId="29" fillId="18" borderId="2" xfId="0" applyFont="1" applyFill="1" applyBorder="1" applyAlignment="1"/>
    <xf numFmtId="0" fontId="2" fillId="0" borderId="20" xfId="0" applyFont="1" applyBorder="1" applyAlignment="1">
      <alignment horizontal="center" vertical="center"/>
    </xf>
    <xf numFmtId="0" fontId="2" fillId="0" borderId="16" xfId="0" applyFont="1" applyBorder="1" applyAlignment="1">
      <alignment horizontal="center" vertical="center"/>
    </xf>
    <xf numFmtId="0" fontId="2" fillId="16" borderId="24" xfId="0" applyFont="1" applyFill="1" applyBorder="1" applyAlignment="1">
      <alignment horizontal="center" vertical="center"/>
    </xf>
    <xf numFmtId="0" fontId="2" fillId="16" borderId="0" xfId="0" applyFont="1" applyFill="1" applyAlignment="1">
      <alignment horizontal="center" vertical="center"/>
    </xf>
    <xf numFmtId="0" fontId="38" fillId="10" borderId="2" xfId="0" applyFont="1" applyFill="1" applyBorder="1" applyAlignment="1">
      <alignment horizontal="center" vertical="center"/>
    </xf>
    <xf numFmtId="0" fontId="50" fillId="11" borderId="2" xfId="0" applyFont="1" applyFill="1" applyBorder="1" applyAlignment="1">
      <alignment horizontal="center" vertical="top" wrapText="1" readingOrder="1"/>
    </xf>
    <xf numFmtId="0" fontId="19" fillId="17" borderId="0" xfId="0" applyNumberFormat="1" applyFont="1" applyFill="1" applyAlignment="1">
      <alignment horizontal="center"/>
    </xf>
    <xf numFmtId="0" fontId="0" fillId="16" borderId="0" xfId="0" applyNumberFormat="1" applyFont="1" applyFill="1" applyAlignment="1"/>
    <xf numFmtId="0" fontId="0" fillId="18" borderId="0" xfId="0" applyNumberFormat="1" applyFont="1" applyFill="1" applyAlignment="1"/>
    <xf numFmtId="0" fontId="2" fillId="11" borderId="2" xfId="0" applyFont="1" applyFill="1" applyBorder="1" applyAlignment="1"/>
    <xf numFmtId="0" fontId="23" fillId="17" borderId="2" xfId="0" applyFont="1" applyFill="1" applyBorder="1" applyAlignment="1">
      <alignment horizontal="center"/>
    </xf>
    <xf numFmtId="0" fontId="25" fillId="17" borderId="2" xfId="0" applyFont="1" applyFill="1" applyBorder="1" applyAlignment="1">
      <alignment horizontal="center"/>
    </xf>
    <xf numFmtId="0" fontId="53" fillId="17" borderId="0" xfId="0" applyFont="1" applyFill="1" applyAlignment="1">
      <alignment horizontal="center" vertical="center"/>
    </xf>
    <xf numFmtId="0" fontId="22" fillId="17" borderId="21" xfId="0" applyFont="1" applyFill="1" applyBorder="1" applyAlignment="1">
      <alignment horizontal="center" vertical="center"/>
    </xf>
    <xf numFmtId="0" fontId="22" fillId="17" borderId="3" xfId="0" applyFont="1" applyFill="1" applyBorder="1" applyAlignment="1">
      <alignment horizontal="center" vertical="center"/>
    </xf>
    <xf numFmtId="0" fontId="22" fillId="17" borderId="6" xfId="0" applyFont="1" applyFill="1" applyBorder="1" applyAlignment="1">
      <alignment horizontal="center" vertical="center"/>
    </xf>
    <xf numFmtId="0" fontId="22" fillId="17" borderId="17" xfId="0" applyFont="1" applyFill="1" applyBorder="1" applyAlignment="1">
      <alignment horizontal="center" vertical="center"/>
    </xf>
    <xf numFmtId="0" fontId="29" fillId="9" borderId="25" xfId="0" applyFont="1" applyFill="1" applyBorder="1" applyAlignment="1">
      <alignment horizontal="center" vertical="center"/>
    </xf>
    <xf numFmtId="0" fontId="53" fillId="17" borderId="8" xfId="0" applyFont="1" applyFill="1" applyBorder="1" applyAlignment="1">
      <alignment horizontal="center" vertical="center"/>
    </xf>
    <xf numFmtId="0" fontId="22" fillId="17" borderId="8" xfId="0" applyFont="1" applyFill="1" applyBorder="1" applyAlignment="1">
      <alignment horizontal="center" vertical="center"/>
    </xf>
    <xf numFmtId="0" fontId="22" fillId="17" borderId="24" xfId="0" applyFont="1" applyFill="1" applyBorder="1" applyAlignment="1">
      <alignment horizontal="center" vertical="center"/>
    </xf>
    <xf numFmtId="0" fontId="22" fillId="17" borderId="27" xfId="0" applyFont="1" applyFill="1" applyBorder="1" applyAlignment="1">
      <alignment horizontal="center" vertical="center"/>
    </xf>
    <xf numFmtId="0" fontId="11" fillId="9" borderId="25" xfId="0" applyFont="1" applyFill="1" applyBorder="1" applyAlignment="1">
      <alignment horizontal="center" vertical="center"/>
    </xf>
    <xf numFmtId="0" fontId="43" fillId="17" borderId="5" xfId="0" applyFont="1" applyFill="1" applyBorder="1" applyAlignment="1">
      <alignment horizontal="center" vertical="center"/>
    </xf>
    <xf numFmtId="0" fontId="20" fillId="30" borderId="14" xfId="0" applyFont="1" applyFill="1" applyBorder="1" applyAlignment="1">
      <alignment horizontal="center" vertical="center"/>
    </xf>
    <xf numFmtId="0" fontId="20" fillId="30" borderId="2" xfId="0" applyFont="1" applyFill="1" applyBorder="1" applyAlignment="1">
      <alignment horizontal="center" vertical="center"/>
    </xf>
    <xf numFmtId="0" fontId="20" fillId="30" borderId="15" xfId="0" applyFont="1" applyFill="1" applyBorder="1" applyAlignment="1">
      <alignment horizontal="center" vertical="center"/>
    </xf>
    <xf numFmtId="0" fontId="56" fillId="10" borderId="11" xfId="0" applyFont="1" applyFill="1" applyBorder="1" applyAlignment="1">
      <alignment horizontal="center" vertical="center"/>
    </xf>
    <xf numFmtId="0" fontId="56" fillId="10" borderId="12" xfId="0" applyFont="1" applyFill="1" applyBorder="1" applyAlignment="1">
      <alignment horizontal="center" vertical="center"/>
    </xf>
    <xf numFmtId="0" fontId="56" fillId="10" borderId="13" xfId="0" applyFont="1" applyFill="1" applyBorder="1" applyAlignment="1">
      <alignment horizontal="center" vertical="center" wrapText="1"/>
    </xf>
    <xf numFmtId="0" fontId="56" fillId="15" borderId="2" xfId="0" applyFont="1" applyFill="1" applyBorder="1" applyAlignment="1">
      <alignment horizontal="center" vertical="center"/>
    </xf>
    <xf numFmtId="0" fontId="56" fillId="15" borderId="2" xfId="0" applyFont="1" applyFill="1" applyBorder="1" applyAlignment="1">
      <alignment horizontal="center" vertical="center" wrapText="1"/>
    </xf>
    <xf numFmtId="0" fontId="56" fillId="17" borderId="7" xfId="0" applyFont="1" applyFill="1" applyBorder="1" applyAlignment="1">
      <alignment horizontal="center" vertical="center"/>
    </xf>
    <xf numFmtId="0" fontId="56" fillId="17" borderId="5" xfId="0" applyFont="1" applyFill="1" applyBorder="1" applyAlignment="1">
      <alignment horizontal="center" vertical="center"/>
    </xf>
    <xf numFmtId="0" fontId="56" fillId="17" borderId="2" xfId="0" applyFont="1" applyFill="1" applyBorder="1" applyAlignment="1">
      <alignment horizontal="center" vertical="center"/>
    </xf>
    <xf numFmtId="0" fontId="56" fillId="17" borderId="2" xfId="0" applyFont="1" applyFill="1" applyBorder="1" applyAlignment="1">
      <alignment horizontal="center" vertical="center" wrapText="1"/>
    </xf>
    <xf numFmtId="0" fontId="56" fillId="29" borderId="11" xfId="0" applyFont="1" applyFill="1" applyBorder="1" applyAlignment="1">
      <alignment horizontal="center" vertical="center"/>
    </xf>
    <xf numFmtId="0" fontId="56" fillId="29" borderId="12" xfId="0" applyFont="1" applyFill="1" applyBorder="1" applyAlignment="1">
      <alignment horizontal="center" vertical="center"/>
    </xf>
    <xf numFmtId="0" fontId="56" fillId="29" borderId="13" xfId="0" applyFont="1" applyFill="1" applyBorder="1" applyAlignment="1">
      <alignment horizontal="center" vertical="center"/>
    </xf>
    <xf numFmtId="0" fontId="49" fillId="30" borderId="14" xfId="0" applyFont="1" applyFill="1" applyBorder="1" applyAlignment="1">
      <alignment horizontal="center" vertical="center"/>
    </xf>
    <xf numFmtId="0" fontId="40" fillId="30" borderId="2" xfId="0" applyFont="1" applyFill="1" applyBorder="1" applyAlignment="1">
      <alignment horizontal="center" vertical="center"/>
    </xf>
    <xf numFmtId="0" fontId="50" fillId="30" borderId="2" xfId="0" applyFont="1" applyFill="1" applyBorder="1" applyAlignment="1">
      <alignment horizontal="center" vertical="center"/>
    </xf>
    <xf numFmtId="0" fontId="2" fillId="30" borderId="2" xfId="0" applyFont="1" applyFill="1" applyBorder="1" applyAlignment="1">
      <alignment horizontal="center" vertical="center"/>
    </xf>
    <xf numFmtId="0" fontId="57" fillId="10" borderId="11" xfId="0" applyFont="1" applyFill="1" applyBorder="1" applyAlignment="1">
      <alignment horizontal="center" vertical="center"/>
    </xf>
    <xf numFmtId="0" fontId="57" fillId="10" borderId="12" xfId="0" applyFont="1" applyFill="1" applyBorder="1" applyAlignment="1">
      <alignment horizontal="center" vertical="center"/>
    </xf>
    <xf numFmtId="0" fontId="57" fillId="10" borderId="13" xfId="0" applyFont="1" applyFill="1" applyBorder="1" applyAlignment="1">
      <alignment horizontal="left" vertical="center" wrapText="1"/>
    </xf>
    <xf numFmtId="0" fontId="57" fillId="17" borderId="5" xfId="0" applyFont="1" applyFill="1" applyBorder="1" applyAlignment="1">
      <alignment horizontal="center" vertical="center"/>
    </xf>
    <xf numFmtId="0" fontId="57" fillId="15" borderId="2" xfId="0" applyFont="1" applyFill="1" applyBorder="1" applyAlignment="1">
      <alignment horizontal="center" vertical="center"/>
    </xf>
    <xf numFmtId="0" fontId="57" fillId="17" borderId="7" xfId="0" applyFont="1" applyFill="1" applyBorder="1" applyAlignment="1">
      <alignment horizontal="center" vertical="center"/>
    </xf>
    <xf numFmtId="0" fontId="57" fillId="19" borderId="11" xfId="0" applyFont="1" applyFill="1" applyBorder="1" applyAlignment="1">
      <alignment horizontal="center" vertical="center"/>
    </xf>
    <xf numFmtId="0" fontId="57" fillId="19" borderId="12" xfId="0" applyFont="1" applyFill="1" applyBorder="1" applyAlignment="1">
      <alignment horizontal="center" vertical="center"/>
    </xf>
    <xf numFmtId="0" fontId="57" fillId="19" borderId="13" xfId="0" applyFont="1" applyFill="1" applyBorder="1" applyAlignment="1">
      <alignment vertical="center"/>
    </xf>
    <xf numFmtId="0" fontId="57" fillId="17" borderId="2" xfId="0" applyFont="1" applyFill="1" applyBorder="1" applyAlignment="1">
      <alignment horizontal="center" vertical="center"/>
    </xf>
    <xf numFmtId="0" fontId="57" fillId="17" borderId="2" xfId="0" applyFont="1" applyFill="1" applyBorder="1" applyAlignment="1">
      <alignment horizontal="center" vertical="center" wrapText="1"/>
    </xf>
    <xf numFmtId="0" fontId="19" fillId="28" borderId="2" xfId="0" applyFont="1" applyFill="1" applyBorder="1" applyAlignment="1">
      <alignment horizontal="center" wrapText="1"/>
    </xf>
    <xf numFmtId="0" fontId="19" fillId="28" borderId="2" xfId="0" applyFont="1" applyFill="1" applyBorder="1" applyAlignment="1">
      <alignment horizontal="center"/>
    </xf>
    <xf numFmtId="0" fontId="55" fillId="31" borderId="2" xfId="0" applyFont="1" applyFill="1" applyBorder="1" applyAlignment="1">
      <alignment horizontal="center"/>
    </xf>
    <xf numFmtId="0" fontId="26" fillId="32" borderId="2" xfId="0" applyFont="1" applyFill="1" applyBorder="1" applyAlignment="1">
      <alignment horizontal="center" vertical="center"/>
    </xf>
    <xf numFmtId="0" fontId="28" fillId="11" borderId="2" xfId="0" applyFont="1" applyFill="1" applyBorder="1" applyAlignment="1">
      <alignment horizontal="center" wrapText="1" readingOrder="1"/>
    </xf>
    <xf numFmtId="0" fontId="28" fillId="11" borderId="2" xfId="0" applyFont="1" applyFill="1" applyBorder="1" applyAlignment="1">
      <alignment horizontal="center" readingOrder="1"/>
    </xf>
    <xf numFmtId="0" fontId="10" fillId="11" borderId="2" xfId="0" applyFont="1" applyFill="1" applyBorder="1" applyAlignment="1">
      <alignment horizontal="center"/>
    </xf>
    <xf numFmtId="0" fontId="33" fillId="23" borderId="25" xfId="1" applyFont="1" applyFill="1" applyBorder="1" applyAlignment="1">
      <alignment horizontal="center" vertical="center" wrapText="1"/>
    </xf>
    <xf numFmtId="0" fontId="20" fillId="23" borderId="2" xfId="0" applyFont="1" applyFill="1" applyBorder="1" applyAlignment="1">
      <alignment horizontal="center" vertical="center"/>
    </xf>
    <xf numFmtId="0" fontId="20" fillId="23" borderId="8" xfId="0" applyFont="1" applyFill="1" applyBorder="1" applyAlignment="1">
      <alignment horizontal="center" vertical="center"/>
    </xf>
    <xf numFmtId="0" fontId="58" fillId="23" borderId="8" xfId="0" applyFont="1" applyFill="1" applyBorder="1" applyAlignment="1">
      <alignment horizontal="center" vertical="center"/>
    </xf>
    <xf numFmtId="0" fontId="59" fillId="0" borderId="0" xfId="0" applyFont="1" applyAlignment="1">
      <alignment wrapText="1"/>
    </xf>
    <xf numFmtId="0" fontId="49" fillId="23" borderId="28" xfId="0" applyFont="1" applyFill="1" applyBorder="1" applyAlignment="1">
      <alignment horizontal="center" vertical="center"/>
    </xf>
    <xf numFmtId="0" fontId="49" fillId="23" borderId="22" xfId="0" applyFont="1" applyFill="1" applyBorder="1" applyAlignment="1">
      <alignment horizontal="center" vertical="center"/>
    </xf>
    <xf numFmtId="0" fontId="49" fillId="23" borderId="5" xfId="0" applyFont="1" applyFill="1" applyBorder="1" applyAlignment="1">
      <alignment horizontal="center" vertical="center"/>
    </xf>
    <xf numFmtId="0" fontId="20" fillId="23" borderId="5" xfId="0" applyFont="1" applyFill="1" applyBorder="1" applyAlignment="1">
      <alignment horizontal="center" vertical="center"/>
    </xf>
    <xf numFmtId="0" fontId="2" fillId="6" borderId="3" xfId="0" applyFont="1" applyFill="1" applyBorder="1" applyAlignment="1">
      <alignment horizontal="center" vertical="center"/>
    </xf>
    <xf numFmtId="0" fontId="60" fillId="22" borderId="14" xfId="0" applyFont="1" applyFill="1" applyBorder="1" applyAlignment="1">
      <alignment horizontal="center" vertical="center" wrapText="1"/>
    </xf>
    <xf numFmtId="2" fontId="57" fillId="15" borderId="2" xfId="0" applyNumberFormat="1" applyFont="1" applyFill="1" applyBorder="1" applyAlignment="1">
      <alignment horizontal="center" vertical="center"/>
    </xf>
    <xf numFmtId="2" fontId="40" fillId="15" borderId="2" xfId="0" applyNumberFormat="1" applyFont="1" applyFill="1" applyBorder="1" applyAlignment="1">
      <alignment horizontal="center" vertical="center"/>
    </xf>
    <xf numFmtId="2" fontId="2" fillId="15" borderId="2" xfId="0" applyNumberFormat="1" applyFont="1" applyFill="1" applyBorder="1" applyAlignment="1">
      <alignment horizontal="center" vertical="center"/>
    </xf>
    <xf numFmtId="2" fontId="2" fillId="8" borderId="2" xfId="0" applyNumberFormat="1" applyFont="1" applyFill="1" applyBorder="1" applyAlignment="1">
      <alignment horizontal="center" vertical="center"/>
    </xf>
    <xf numFmtId="2" fontId="2" fillId="0" borderId="2" xfId="0" applyNumberFormat="1" applyFont="1" applyBorder="1" applyAlignment="1">
      <alignment horizontal="center" vertical="center"/>
    </xf>
    <xf numFmtId="0" fontId="49" fillId="15" borderId="14" xfId="0" applyFont="1" applyFill="1" applyBorder="1" applyAlignment="1">
      <alignment horizontal="center" vertical="center" wrapText="1"/>
    </xf>
    <xf numFmtId="0" fontId="26" fillId="16" borderId="2" xfId="0" applyFont="1" applyFill="1" applyBorder="1" applyAlignment="1">
      <alignment horizontal="center" vertical="center"/>
    </xf>
    <xf numFmtId="0" fontId="26" fillId="20" borderId="2" xfId="0" applyFont="1" applyFill="1" applyBorder="1" applyAlignment="1">
      <alignment horizontal="center" vertical="center"/>
    </xf>
    <xf numFmtId="0" fontId="26" fillId="32" borderId="7" xfId="0" applyFont="1" applyFill="1" applyBorder="1" applyAlignment="1">
      <alignment horizontal="center" vertical="center"/>
    </xf>
    <xf numFmtId="0" fontId="26" fillId="32" borderId="5" xfId="0" applyFont="1" applyFill="1" applyBorder="1" applyAlignment="1">
      <alignment horizontal="center" vertical="center"/>
    </xf>
    <xf numFmtId="0" fontId="0" fillId="0" borderId="0" xfId="0" applyFont="1" applyAlignment="1">
      <alignment horizontal="center"/>
    </xf>
    <xf numFmtId="0" fontId="0" fillId="0" borderId="0" xfId="0" applyFont="1" applyAlignment="1">
      <alignment horizontal="left"/>
    </xf>
    <xf numFmtId="0" fontId="61" fillId="17" borderId="0" xfId="0" applyFont="1" applyFill="1" applyAlignment="1">
      <alignment vertical="center"/>
    </xf>
    <xf numFmtId="0" fontId="61" fillId="17" borderId="0" xfId="0" applyFont="1" applyFill="1" applyAlignment="1">
      <alignment horizontal="center" vertical="center"/>
    </xf>
    <xf numFmtId="0" fontId="0" fillId="11" borderId="0" xfId="0" applyFont="1" applyFill="1" applyAlignment="1"/>
    <xf numFmtId="0" fontId="0" fillId="17" borderId="2" xfId="0" applyFont="1" applyFill="1" applyBorder="1" applyAlignment="1">
      <alignment horizontal="center" vertical="center"/>
    </xf>
    <xf numFmtId="0" fontId="0" fillId="0" borderId="2" xfId="0" applyFont="1" applyBorder="1" applyAlignment="1">
      <alignment horizontal="center" vertical="center"/>
    </xf>
    <xf numFmtId="0" fontId="1" fillId="11" borderId="5" xfId="0" applyFont="1" applyFill="1" applyBorder="1" applyAlignment="1">
      <alignment horizontal="center"/>
    </xf>
    <xf numFmtId="0" fontId="2" fillId="11" borderId="2" xfId="0" applyFont="1" applyFill="1" applyBorder="1" applyAlignment="1">
      <alignment horizontal="center"/>
    </xf>
    <xf numFmtId="0" fontId="1" fillId="11" borderId="7" xfId="0" applyFont="1" applyFill="1" applyBorder="1" applyAlignment="1">
      <alignment horizontal="center"/>
    </xf>
    <xf numFmtId="0" fontId="0" fillId="0" borderId="4" xfId="0" applyFont="1" applyBorder="1" applyAlignment="1">
      <alignment horizontal="center" vertical="center"/>
    </xf>
    <xf numFmtId="0" fontId="1" fillId="11" borderId="31" xfId="0" applyFont="1" applyFill="1" applyBorder="1" applyAlignment="1">
      <alignment horizontal="center"/>
    </xf>
    <xf numFmtId="0" fontId="1" fillId="11" borderId="8" xfId="0" applyFont="1" applyFill="1" applyBorder="1" applyAlignment="1">
      <alignment horizontal="center"/>
    </xf>
    <xf numFmtId="0" fontId="2" fillId="18" borderId="4" xfId="0" applyFont="1" applyFill="1" applyBorder="1" applyAlignment="1">
      <alignment horizontal="center"/>
    </xf>
    <xf numFmtId="0" fontId="2" fillId="11" borderId="4" xfId="0" applyFont="1" applyFill="1" applyBorder="1" applyAlignment="1">
      <alignment horizontal="center"/>
    </xf>
    <xf numFmtId="0" fontId="26" fillId="23" borderId="8" xfId="0" applyFont="1" applyFill="1" applyBorder="1" applyAlignment="1">
      <alignment horizontal="center" vertical="center"/>
    </xf>
    <xf numFmtId="0" fontId="26" fillId="23" borderId="3" xfId="0" applyFont="1" applyFill="1" applyBorder="1" applyAlignment="1">
      <alignment horizontal="center" vertical="center"/>
    </xf>
    <xf numFmtId="0" fontId="19" fillId="23" borderId="2" xfId="0" applyFont="1" applyFill="1" applyBorder="1" applyAlignment="1">
      <alignment horizontal="center" wrapText="1"/>
    </xf>
    <xf numFmtId="0" fontId="19" fillId="23" borderId="2" xfId="0" applyFont="1" applyFill="1" applyBorder="1" applyAlignment="1">
      <alignment horizontal="center"/>
    </xf>
    <xf numFmtId="0" fontId="10" fillId="23" borderId="2" xfId="0" applyFont="1" applyFill="1" applyBorder="1" applyAlignment="1">
      <alignment horizontal="center"/>
    </xf>
    <xf numFmtId="0" fontId="26" fillId="23" borderId="16" xfId="0" applyFont="1" applyFill="1" applyBorder="1" applyAlignment="1">
      <alignment horizontal="center" vertical="center"/>
    </xf>
    <xf numFmtId="0" fontId="26" fillId="23" borderId="2" xfId="0" applyFont="1" applyFill="1" applyBorder="1" applyAlignment="1">
      <alignment horizontal="center" vertical="center" wrapText="1"/>
    </xf>
    <xf numFmtId="0" fontId="26" fillId="23" borderId="5" xfId="0" applyFont="1" applyFill="1" applyBorder="1" applyAlignment="1">
      <alignment horizontal="center" vertical="center"/>
    </xf>
    <xf numFmtId="0" fontId="25" fillId="23" borderId="2" xfId="0" applyFont="1" applyFill="1" applyBorder="1" applyAlignment="1">
      <alignment horizontal="center" wrapText="1"/>
    </xf>
    <xf numFmtId="0" fontId="54" fillId="11" borderId="2" xfId="0" applyFont="1" applyFill="1" applyBorder="1" applyAlignment="1">
      <alignment horizontal="center"/>
    </xf>
    <xf numFmtId="0" fontId="19" fillId="11" borderId="2" xfId="0" applyFont="1" applyFill="1" applyBorder="1" applyAlignment="1">
      <alignment horizontal="center" wrapText="1"/>
    </xf>
    <xf numFmtId="0" fontId="19" fillId="11" borderId="2" xfId="0" applyFont="1" applyFill="1" applyBorder="1" applyAlignment="1">
      <alignment horizontal="center"/>
    </xf>
    <xf numFmtId="0" fontId="10" fillId="32" borderId="2" xfId="0" applyFont="1" applyFill="1" applyBorder="1" applyAlignment="1">
      <alignment horizontal="center"/>
    </xf>
    <xf numFmtId="0" fontId="10" fillId="31" borderId="2" xfId="0" applyFont="1" applyFill="1" applyBorder="1" applyAlignment="1">
      <alignment horizontal="center"/>
    </xf>
    <xf numFmtId="0" fontId="25" fillId="20" borderId="2" xfId="0" applyFont="1" applyFill="1" applyBorder="1" applyAlignment="1">
      <alignment horizontal="center" vertical="center" wrapText="1"/>
    </xf>
    <xf numFmtId="0" fontId="25" fillId="32" borderId="2" xfId="0" applyFont="1" applyFill="1" applyBorder="1" applyAlignment="1">
      <alignment horizontal="center" vertical="center" wrapText="1"/>
    </xf>
    <xf numFmtId="0" fontId="68" fillId="11" borderId="2" xfId="0" applyFont="1" applyFill="1" applyBorder="1" applyAlignment="1">
      <alignment horizontal="center" wrapText="1"/>
    </xf>
    <xf numFmtId="0" fontId="25" fillId="32" borderId="2" xfId="0" applyFont="1" applyFill="1" applyBorder="1" applyAlignment="1">
      <alignment horizontal="center" vertical="center"/>
    </xf>
    <xf numFmtId="0" fontId="23" fillId="17" borderId="2" xfId="0" applyFont="1" applyFill="1" applyBorder="1" applyAlignment="1">
      <alignment horizontal="center" wrapText="1"/>
    </xf>
    <xf numFmtId="0" fontId="2" fillId="5" borderId="2" xfId="0" applyFont="1" applyFill="1" applyBorder="1" applyAlignment="1">
      <alignment horizontal="center" vertical="center" wrapText="1"/>
    </xf>
    <xf numFmtId="0" fontId="20" fillId="5" borderId="2" xfId="0" applyFont="1" applyFill="1" applyBorder="1" applyAlignment="1">
      <alignment horizontal="center" vertical="center" wrapText="1"/>
    </xf>
    <xf numFmtId="0" fontId="20" fillId="18" borderId="2" xfId="0" applyFont="1" applyFill="1" applyBorder="1" applyAlignment="1">
      <alignment horizontal="center" vertical="center" wrapText="1"/>
    </xf>
    <xf numFmtId="0" fontId="69" fillId="18" borderId="2" xfId="0" applyFont="1" applyFill="1" applyBorder="1" applyAlignment="1">
      <alignment horizontal="center" vertical="center"/>
    </xf>
    <xf numFmtId="0" fontId="27" fillId="15" borderId="8" xfId="0" applyFont="1" applyFill="1" applyBorder="1" applyAlignment="1">
      <alignment horizontal="center" vertical="center"/>
    </xf>
    <xf numFmtId="0" fontId="27" fillId="15" borderId="2" xfId="0" applyFont="1" applyFill="1" applyBorder="1" applyAlignment="1">
      <alignment horizontal="center" vertical="center"/>
    </xf>
    <xf numFmtId="0" fontId="25" fillId="16" borderId="0" xfId="0" applyFont="1" applyFill="1" applyBorder="1" applyAlignment="1">
      <alignment horizontal="center" vertical="center" wrapText="1"/>
    </xf>
    <xf numFmtId="0" fontId="70" fillId="0" borderId="0" xfId="0" applyFont="1" applyAlignment="1">
      <alignment horizontal="center" vertical="center" wrapText="1"/>
    </xf>
    <xf numFmtId="0" fontId="10" fillId="18" borderId="7" xfId="0" applyFont="1" applyFill="1" applyBorder="1" applyAlignment="1">
      <alignment horizontal="center" vertical="center" wrapText="1"/>
    </xf>
    <xf numFmtId="0" fontId="0" fillId="15" borderId="2" xfId="0" applyFont="1" applyFill="1" applyBorder="1" applyAlignment="1"/>
    <xf numFmtId="0" fontId="27" fillId="15" borderId="2" xfId="0" applyFont="1" applyFill="1" applyBorder="1" applyAlignment="1">
      <alignment horizontal="center"/>
    </xf>
    <xf numFmtId="0" fontId="2" fillId="15" borderId="2" xfId="0" applyFont="1" applyFill="1" applyBorder="1" applyAlignment="1">
      <alignment horizontal="center"/>
    </xf>
    <xf numFmtId="0" fontId="5" fillId="15" borderId="9" xfId="0" applyFont="1" applyFill="1" applyBorder="1" applyAlignment="1">
      <alignment readingOrder="1"/>
    </xf>
    <xf numFmtId="0" fontId="4" fillId="15" borderId="9" xfId="0" applyFont="1" applyFill="1" applyBorder="1" applyAlignment="1">
      <alignment readingOrder="1"/>
    </xf>
    <xf numFmtId="0" fontId="4" fillId="18" borderId="9" xfId="0" applyFont="1" applyFill="1" applyBorder="1" applyAlignment="1">
      <alignment readingOrder="1"/>
    </xf>
    <xf numFmtId="0" fontId="22" fillId="16" borderId="0" xfId="0" applyFont="1" applyFill="1" applyAlignment="1">
      <alignment horizontal="center" vertical="center"/>
    </xf>
    <xf numFmtId="0" fontId="22" fillId="16" borderId="23" xfId="0" applyFont="1" applyFill="1" applyBorder="1" applyAlignment="1">
      <alignment horizontal="center" vertical="center"/>
    </xf>
    <xf numFmtId="0" fontId="2" fillId="16" borderId="0" xfId="0" applyFont="1" applyFill="1" applyBorder="1" applyAlignment="1">
      <alignment horizontal="center" vertical="center"/>
    </xf>
    <xf numFmtId="0" fontId="22" fillId="16" borderId="0" xfId="0" applyFont="1" applyFill="1" applyBorder="1" applyAlignment="1">
      <alignment horizontal="center" vertical="center"/>
    </xf>
    <xf numFmtId="0" fontId="35" fillId="16" borderId="16" xfId="0" applyFont="1" applyFill="1" applyBorder="1" applyAlignment="1">
      <alignment horizontal="center"/>
    </xf>
    <xf numFmtId="0" fontId="26" fillId="20" borderId="5" xfId="0" applyFont="1" applyFill="1" applyBorder="1" applyAlignment="1">
      <alignment horizontal="center" vertical="center"/>
    </xf>
    <xf numFmtId="0" fontId="31" fillId="16" borderId="0" xfId="0" applyFont="1" applyFill="1" applyAlignment="1">
      <alignment horizontal="center" vertical="center"/>
    </xf>
    <xf numFmtId="0" fontId="22" fillId="16" borderId="0" xfId="0" applyFont="1" applyFill="1" applyAlignment="1">
      <alignment horizontal="center" vertical="center"/>
    </xf>
    <xf numFmtId="0" fontId="22" fillId="16" borderId="23" xfId="0" applyFont="1" applyFill="1" applyBorder="1" applyAlignment="1">
      <alignment horizontal="center" vertical="center"/>
    </xf>
    <xf numFmtId="0" fontId="51" fillId="14" borderId="2" xfId="0" applyFont="1" applyFill="1" applyBorder="1" applyAlignment="1">
      <alignment vertical="center"/>
      <extLst>
        <ext xmlns:xfpb="http://schemas.microsoft.com/office/spreadsheetml/2022/featurepropertybag" uri="{C7286773-470A-42A8-94C5-96B5CB345126}">
          <xfpb:xfComplement i="0"/>
        </ext>
      </extLst>
    </xf>
    <xf numFmtId="0" fontId="39" fillId="18" borderId="2" xfId="0" applyFont="1" applyFill="1" applyBorder="1" applyAlignment="1">
      <alignment horizontal="center" vertical="center" wrapText="1"/>
    </xf>
    <xf numFmtId="0" fontId="30" fillId="16" borderId="24" xfId="0" applyFont="1" applyFill="1" applyBorder="1" applyAlignment="1">
      <alignment horizontal="center" vertical="center"/>
    </xf>
    <xf numFmtId="0" fontId="2" fillId="16" borderId="0" xfId="0" applyFont="1" applyFill="1" applyBorder="1" applyAlignment="1">
      <alignment horizontal="center" vertical="center"/>
    </xf>
    <xf numFmtId="0" fontId="25" fillId="16" borderId="0" xfId="0" applyFont="1" applyFill="1" applyBorder="1" applyAlignment="1">
      <alignment horizontal="center" vertical="center"/>
    </xf>
    <xf numFmtId="0" fontId="25" fillId="16" borderId="21" xfId="0" applyFont="1" applyFill="1" applyBorder="1" applyAlignment="1">
      <alignment horizontal="center" vertical="center"/>
    </xf>
    <xf numFmtId="0" fontId="22" fillId="16" borderId="0" xfId="0" applyFont="1" applyFill="1" applyBorder="1" applyAlignment="1">
      <alignment horizontal="center" vertical="center"/>
    </xf>
    <xf numFmtId="0" fontId="22" fillId="16" borderId="21" xfId="0" applyFont="1" applyFill="1" applyBorder="1" applyAlignment="1">
      <alignment horizontal="center" vertical="center"/>
    </xf>
    <xf numFmtId="0" fontId="8" fillId="18" borderId="0" xfId="0" applyFont="1" applyFill="1" applyAlignment="1">
      <alignment horizontal="center" vertical="center"/>
    </xf>
    <xf numFmtId="0" fontId="0" fillId="18" borderId="0" xfId="0" applyFont="1" applyFill="1" applyAlignment="1">
      <alignment horizontal="center" vertical="center"/>
    </xf>
    <xf numFmtId="0" fontId="63" fillId="17" borderId="0" xfId="0" applyFont="1" applyFill="1" applyAlignment="1">
      <alignment horizontal="center"/>
    </xf>
    <xf numFmtId="0" fontId="67" fillId="17" borderId="0" xfId="0" applyFont="1" applyFill="1" applyAlignment="1">
      <alignment horizontal="center"/>
    </xf>
    <xf numFmtId="0" fontId="62" fillId="17" borderId="0" xfId="0" applyFont="1" applyFill="1" applyAlignment="1">
      <alignment horizontal="center" vertical="center"/>
    </xf>
    <xf numFmtId="0" fontId="65" fillId="11" borderId="0" xfId="0" applyFont="1" applyFill="1" applyAlignment="1">
      <alignment horizontal="center" vertical="center"/>
    </xf>
    <xf numFmtId="0" fontId="35" fillId="16" borderId="7" xfId="0" applyFont="1" applyFill="1" applyBorder="1" applyAlignment="1">
      <alignment horizontal="center"/>
    </xf>
    <xf numFmtId="0" fontId="35" fillId="16" borderId="16" xfId="0" applyFont="1" applyFill="1" applyBorder="1" applyAlignment="1">
      <alignment horizontal="center"/>
    </xf>
    <xf numFmtId="0" fontId="35" fillId="16" borderId="5" xfId="0" applyFont="1" applyFill="1" applyBorder="1" applyAlignment="1">
      <alignment horizontal="center"/>
    </xf>
    <xf numFmtId="0" fontId="26" fillId="20" borderId="7" xfId="0" applyFont="1" applyFill="1" applyBorder="1" applyAlignment="1">
      <alignment horizontal="center" vertical="center"/>
    </xf>
    <xf numFmtId="0" fontId="26" fillId="20" borderId="16" xfId="0" applyFont="1" applyFill="1" applyBorder="1" applyAlignment="1">
      <alignment horizontal="center" vertical="center"/>
    </xf>
    <xf numFmtId="0" fontId="26" fillId="20" borderId="5" xfId="0" applyFont="1" applyFill="1" applyBorder="1" applyAlignment="1">
      <alignment horizontal="center" vertical="center"/>
    </xf>
    <xf numFmtId="0" fontId="26" fillId="21" borderId="4" xfId="0" applyFont="1" applyFill="1" applyBorder="1" applyAlignment="1">
      <alignment horizontal="center" vertical="center" wrapText="1"/>
    </xf>
    <xf numFmtId="0" fontId="26" fillId="21" borderId="3" xfId="0" applyFont="1" applyFill="1" applyBorder="1" applyAlignment="1">
      <alignment horizontal="center" vertical="center" wrapText="1"/>
    </xf>
    <xf numFmtId="0" fontId="26" fillId="21" borderId="4" xfId="0" applyFont="1" applyFill="1" applyBorder="1" applyAlignment="1">
      <alignment horizontal="center" vertical="center"/>
    </xf>
    <xf numFmtId="0" fontId="26" fillId="21" borderId="3" xfId="0" applyFont="1" applyFill="1" applyBorder="1" applyAlignment="1">
      <alignment horizontal="center" vertical="center"/>
    </xf>
    <xf numFmtId="0" fontId="26" fillId="16" borderId="7" xfId="0" applyFont="1" applyFill="1" applyBorder="1" applyAlignment="1">
      <alignment horizontal="center" vertical="center"/>
    </xf>
    <xf numFmtId="0" fontId="26" fillId="16" borderId="16" xfId="0" applyFont="1" applyFill="1" applyBorder="1" applyAlignment="1">
      <alignment horizontal="center" vertical="center"/>
    </xf>
    <xf numFmtId="0" fontId="26" fillId="16" borderId="5" xfId="0" applyFont="1" applyFill="1" applyBorder="1" applyAlignment="1">
      <alignment horizontal="center" vertical="center"/>
    </xf>
    <xf numFmtId="0" fontId="22" fillId="16" borderId="1" xfId="0" applyFont="1" applyFill="1" applyBorder="1" applyAlignment="1">
      <alignment horizontal="center" vertical="center"/>
    </xf>
    <xf numFmtId="0" fontId="25" fillId="16" borderId="0" xfId="0" applyNumberFormat="1" applyFont="1" applyFill="1" applyAlignment="1">
      <alignment horizontal="center" vertical="center"/>
    </xf>
    <xf numFmtId="0" fontId="52" fillId="11" borderId="4" xfId="0" applyFont="1" applyFill="1" applyBorder="1" applyAlignment="1">
      <alignment horizontal="center" vertical="center" wrapText="1" readingOrder="1"/>
    </xf>
    <xf numFmtId="0" fontId="52" fillId="11" borderId="3" xfId="0" applyFont="1" applyFill="1" applyBorder="1" applyAlignment="1">
      <alignment horizontal="center" vertical="center" wrapText="1" readingOrder="1"/>
    </xf>
  </cellXfs>
  <cellStyles count="2">
    <cellStyle name="Input" xfId="1" builtinId="20"/>
    <cellStyle name="Normal" xfId="0" builtinId="0"/>
  </cellStyles>
  <dxfs count="130">
    <dxf>
      <font>
        <b val="0"/>
        <i val="0"/>
        <strike val="0"/>
        <condense val="0"/>
        <extend val="0"/>
        <outline val="0"/>
        <shadow val="0"/>
        <u val="none"/>
        <vertAlign val="baseline"/>
        <sz val="12"/>
        <color rgb="FF000000"/>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rgb="FF000000"/>
        <name val="Arial"/>
        <scheme val="minor"/>
      </font>
      <fill>
        <patternFill patternType="solid">
          <fgColor indexed="64"/>
          <bgColor theme="4" tint="0.59999389629810485"/>
        </patternFill>
      </fill>
      <alignment horizontal="center" vertical="bottom"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style="thin">
          <color rgb="FF000000"/>
        </left>
        <right/>
        <top style="thin">
          <color rgb="FF000000"/>
        </top>
        <bottom style="thin">
          <color rgb="FF000000"/>
        </bottom>
        <vertical/>
        <horizontal/>
      </border>
    </dxf>
    <dxf>
      <font>
        <b val="0"/>
        <i val="0"/>
        <strike val="0"/>
        <condense val="0"/>
        <extend val="0"/>
        <outline val="0"/>
        <shadow val="0"/>
        <u val="none"/>
        <vertAlign val="baseline"/>
        <sz val="12"/>
        <color theme="1"/>
        <name val="Arial"/>
        <scheme val="minor"/>
      </font>
      <fill>
        <patternFill patternType="solid">
          <fgColor indexed="64"/>
          <bgColor theme="4" tint="0.39997558519241921"/>
        </patternFill>
      </fill>
      <alignment horizontal="center" vertical="bottom" textRotation="0" wrapText="0" indent="0" justifyLastLine="0" shrinkToFit="0" readingOrder="0"/>
      <border diagonalUp="0" diagonalDown="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bottom style="thin">
          <color rgb="FF000000"/>
        </bottom>
      </border>
    </dxf>
    <dxf>
      <font>
        <b val="0"/>
        <i val="0"/>
        <strike val="0"/>
        <condense val="0"/>
        <extend val="0"/>
        <outline val="0"/>
        <shadow val="0"/>
        <u val="none"/>
        <vertAlign val="baseline"/>
        <sz val="10"/>
        <color theme="0"/>
        <name val="Arial"/>
        <scheme val="minor"/>
      </font>
      <fill>
        <patternFill patternType="solid">
          <fgColor indexed="64"/>
          <bgColor theme="4" tint="-0.249977111117893"/>
        </patternFill>
      </fill>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0" indent="0" justifyLastLine="0" shrinkToFit="0" readingOrder="0"/>
    </dxf>
    <dxf>
      <font>
        <b val="0"/>
        <i val="0"/>
        <strike val="0"/>
        <condense val="0"/>
        <extend val="0"/>
        <outline val="0"/>
        <shadow val="0"/>
        <u val="none"/>
        <vertAlign val="baseline"/>
        <sz val="10"/>
        <color rgb="FF000000"/>
        <name val="Arial"/>
        <scheme val="minor"/>
      </font>
      <alignment horizontal="center" vertical="center" textRotation="0" wrapText="1" indent="0" justifyLastLine="0" shrinkToFit="0" readingOrder="0"/>
    </dxf>
    <dxf>
      <font>
        <b val="0"/>
        <i val="0"/>
        <strike val="0"/>
        <condense val="0"/>
        <extend val="0"/>
        <outline val="0"/>
        <shadow val="0"/>
        <u val="none"/>
        <vertAlign val="baseline"/>
        <sz val="16"/>
        <color rgb="FF000000"/>
        <name val="Arial"/>
        <scheme val="minor"/>
      </font>
      <fill>
        <patternFill patternType="solid">
          <fgColor indexed="64"/>
          <bgColor theme="6"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7999816888943144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numFmt numFmtId="0" formatCode="General"/>
      <fill>
        <patternFill patternType="solid">
          <fgColor indexed="64"/>
          <bgColor theme="0" tint="-4.9989318521683403E-2"/>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font>
        <b val="0"/>
        <i val="0"/>
        <strike val="0"/>
        <condense val="0"/>
        <extend val="0"/>
        <outline val="0"/>
        <shadow val="0"/>
        <u val="none"/>
        <vertAlign val="baseline"/>
        <sz val="16"/>
        <color rgb="FF000000"/>
        <name val="Arial"/>
        <scheme val="minor"/>
      </font>
      <fill>
        <patternFill patternType="solid">
          <fgColor indexed="64"/>
          <bgColor theme="4" tint="0.39997558519241921"/>
        </patternFill>
      </fill>
      <alignment horizontal="center" vertical="center" textRotation="0" wrapText="0" indent="0" justifyLastLine="0" shrinkToFit="0" readingOrder="0"/>
      <border diagonalUp="0" diagonalDown="0">
        <left style="thin">
          <color rgb="FF000000"/>
        </left>
        <right style="thin">
          <color rgb="FF000000"/>
        </right>
        <top style="thin">
          <color rgb="FF000000"/>
        </top>
        <bottom style="thin">
          <color rgb="FF000000"/>
        </bottom>
        <vertical/>
        <horizontal/>
      </border>
    </dxf>
    <dxf>
      <border outline="0">
        <top style="thin">
          <color rgb="FF1F1F1F"/>
        </top>
        <bottom style="thin">
          <color rgb="FF000000"/>
        </bottom>
      </border>
    </dxf>
    <dxf>
      <font>
        <sz val="16"/>
      </font>
    </dxf>
    <dxf>
      <font>
        <b/>
        <i val="0"/>
        <strike val="0"/>
        <condense val="0"/>
        <extend val="0"/>
        <outline val="0"/>
        <shadow val="0"/>
        <u val="none"/>
        <vertAlign val="baseline"/>
        <sz val="10"/>
        <color rgb="FF1F1F1F"/>
        <name val="Google Sans Text"/>
        <family val="2"/>
        <charset val="1"/>
        <scheme val="none"/>
      </font>
      <fill>
        <patternFill patternType="solid">
          <fgColor indexed="64"/>
          <bgColor theme="7" tint="0.79998168889431442"/>
        </patternFill>
      </fill>
      <alignment horizontal="center" vertical="center" textRotation="0" wrapText="0" indent="0" justifyLastLine="0" shrinkToFit="0" readingOrder="1"/>
      <border diagonalUp="0" diagonalDown="0" outline="0">
        <left style="thin">
          <color rgb="FF1F1F1F"/>
        </left>
        <right style="thin">
          <color rgb="FF1F1F1F"/>
        </right>
        <top/>
        <bottom/>
      </border>
    </dxf>
    <dxf>
      <font>
        <sz val="12"/>
      </font>
      <alignment horizontal="center" vertical="center"/>
    </dxf>
    <dxf>
      <font>
        <sz val="12"/>
      </font>
      <fill>
        <patternFill patternType="solid">
          <fgColor indexed="64"/>
          <bgColor theme="4" tint="0.39997558519241921"/>
        </patternFill>
      </fill>
      <alignment horizontal="center" vertical="center"/>
      <border>
        <left style="medium">
          <color rgb="FF000000"/>
        </left>
        <right style="medium">
          <color rgb="FF000000"/>
        </right>
      </bord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numFmt numFmtId="0" formatCode="General"/>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outline="0">
        <left style="thin">
          <color rgb="FF000000"/>
        </left>
        <right style="thin">
          <color rgb="FF000000"/>
        </right>
        <top/>
        <bottom/>
      </bord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sz val="12"/>
      </font>
      <alignment horizontal="center" vertical="center"/>
      <border>
        <left style="thin">
          <color rgb="FF000000"/>
        </left>
        <right/>
        <top style="thin">
          <color rgb="FF000000"/>
        </top>
        <bottom style="thin">
          <color rgb="FF000000"/>
        </bottom>
        <vertical style="thin">
          <color rgb="FF000000"/>
        </vertical>
        <horizontal style="thin">
          <color rgb="FF000000"/>
        </horizontal>
      </border>
    </dxf>
    <dxf>
      <font>
        <sz val="12"/>
      </font>
      <fill>
        <patternFill patternType="solid">
          <fgColor indexed="64"/>
          <bgColor theme="4" tint="0.39997558519241921"/>
        </patternFill>
      </fill>
      <alignment horizontal="center" vertical="center"/>
      <border>
        <left style="medium">
          <color rgb="FF000000"/>
        </left>
        <right style="medium">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sz val="12"/>
      </font>
      <alignment horizontal="center" vertical="center"/>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sz val="12"/>
      </font>
      <alignment horizontal="center" vertical="center"/>
    </dxf>
    <dxf>
      <font>
        <sz val="12"/>
      </font>
      <alignment horizontal="center" vertical="center"/>
      <border>
        <left style="thin">
          <color rgb="FF000000"/>
        </left>
        <right style="thin">
          <color rgb="FF000000"/>
        </right>
        <top/>
        <bottom/>
        <vertical style="thin">
          <color rgb="FF000000"/>
        </vertical>
        <horizontal style="thin">
          <color rgb="FF000000"/>
        </horizontal>
      </border>
    </dxf>
    <dxf>
      <font>
        <color rgb="FF9C5700"/>
      </font>
      <fill>
        <patternFill>
          <bgColor rgb="FFFFEB9C"/>
        </patternFill>
      </fill>
    </dxf>
    <dxf>
      <font>
        <color rgb="FF9C5700"/>
      </font>
      <fill>
        <patternFill>
          <bgColor rgb="FFFFEB9C"/>
        </patternFill>
      </fill>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sz val="14"/>
      </font>
      <fill>
        <patternFill patternType="solid">
          <fgColor indexed="64"/>
          <bgColor theme="0"/>
        </patternFill>
      </fill>
      <alignment horizontal="center" vertical="center"/>
    </dxf>
    <dxf>
      <font>
        <sz val="12"/>
      </font>
      <alignment horizontal="center" vertical="center"/>
      <border>
        <left style="medium">
          <color rgb="FF000000"/>
        </left>
        <right style="medium">
          <color rgb="FF000000"/>
        </right>
      </bord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sz val="12"/>
      </font>
      <alignment horizontal="center" vertical="center"/>
    </dxf>
    <dxf>
      <font>
        <color rgb="FF9C5700"/>
      </font>
      <fill>
        <patternFill>
          <bgColor rgb="FFFFEB9C"/>
        </patternFill>
      </fill>
    </dxf>
    <dxf>
      <font>
        <color rgb="FF9C0006"/>
      </font>
      <fill>
        <patternFill patternType="solid">
          <bgColor rgb="FFFFC7CE"/>
        </patternFill>
      </fill>
    </dxf>
    <dxf>
      <font>
        <color theme="1"/>
      </font>
      <fill>
        <patternFill patternType="solid">
          <bgColor rgb="FF00B050"/>
        </patternFill>
      </fill>
      <border>
        <left style="thin">
          <color rgb="FF000000"/>
        </left>
        <right style="thin">
          <color rgb="FF000000"/>
        </right>
        <top style="thin">
          <color rgb="FF000000"/>
        </top>
        <bottom style="thin">
          <color rgb="FF000000"/>
        </bottom>
      </border>
    </dxf>
    <dxf>
      <font>
        <color rgb="FF9C0006"/>
      </font>
      <fill>
        <patternFill>
          <bgColor rgb="FFFFC7CE"/>
        </patternFill>
      </fill>
    </dxf>
    <dxf>
      <font>
        <color rgb="FF9C0006"/>
      </font>
      <fill>
        <patternFill patternType="solid">
          <bgColor rgb="FF00B0F0"/>
        </patternFill>
      </fill>
    </dxf>
    <dxf>
      <font>
        <color rgb="FF006100"/>
      </font>
      <fill>
        <patternFill>
          <bgColor rgb="FFC6EFCE"/>
        </patternFill>
      </fill>
    </dxf>
    <dxf>
      <font>
        <color rgb="FF9C5700"/>
      </font>
      <fill>
        <patternFill>
          <bgColor rgb="FFFFEB9C"/>
        </patternFill>
      </fill>
    </dxf>
    <dxf>
      <font>
        <color rgb="FF9C0006"/>
      </font>
      <fill>
        <patternFill>
          <bgColor rgb="FFFFC7CE"/>
        </patternFill>
      </fill>
    </dxf>
    <dxf>
      <font>
        <b val="0"/>
        <sz val="12"/>
      </font>
      <border>
        <left style="thin">
          <color rgb="FF000000"/>
        </left>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font>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fill>
        <patternFill patternType="solid">
          <fgColor indexed="64"/>
          <bgColor rgb="FFFFFF00"/>
        </patternFill>
      </fill>
      <alignment horizontal="center"/>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numFmt numFmtId="0" formatCode="General"/>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6"/>
      </font>
      <numFmt numFmtId="0" formatCode="General"/>
      <fill>
        <patternFill patternType="solid">
          <fgColor indexed="64"/>
          <bgColor theme="0"/>
        </patternFill>
      </fill>
      <border>
        <left style="thin">
          <color rgb="FF000000"/>
        </left>
        <right style="thin">
          <color rgb="FF000000"/>
        </right>
        <top style="thin">
          <color rgb="FF000000"/>
        </top>
        <bottom style="thin">
          <color rgb="FF000000"/>
        </bottom>
        <vertical style="thin">
          <color rgb="FF000000"/>
        </vertical>
        <horizontal style="thin">
          <color rgb="FF000000"/>
        </horizontal>
      </border>
    </dxf>
    <dxf>
      <font>
        <b val="0"/>
        <sz val="12"/>
        <color theme="0"/>
      </font>
      <fill>
        <patternFill patternType="solid">
          <fgColor indexed="64"/>
          <bgColor theme="4" tint="0.39997558519241921"/>
        </patternFill>
      </fill>
      <border>
        <left/>
        <right style="thin">
          <color rgb="FF000000"/>
        </right>
        <top style="thin">
          <color rgb="FF000000"/>
        </top>
        <bottom style="thin">
          <color rgb="FF000000"/>
        </bottom>
        <vertical style="thin">
          <color rgb="FF000000"/>
        </vertical>
        <horizontal style="thin">
          <color rgb="FF000000"/>
        </horizontal>
      </border>
    </dxf>
    <dxf>
      <border>
        <left style="thin">
          <color rgb="FF000000"/>
        </left>
        <right style="thin">
          <color rgb="FF000000"/>
        </right>
        <top style="thin">
          <color rgb="FF000000"/>
        </top>
        <bottom style="thin">
          <color rgb="FF000000"/>
        </bottom>
      </border>
    </dxf>
    <dxf>
      <font>
        <b val="0"/>
        <sz val="12"/>
      </font>
      <border>
        <left style="thin">
          <color rgb="FF000000"/>
        </left>
        <right style="thin">
          <color rgb="FF000000"/>
        </right>
        <top/>
        <bottom/>
        <vertical style="thin">
          <color rgb="FF000000"/>
        </vertical>
        <horizontal style="thin">
          <color rgb="FF000000"/>
        </horizontal>
      </border>
    </dxf>
    <dxf>
      <font>
        <b val="0"/>
        <sz val="12"/>
      </font>
    </dxf>
    <dxf>
      <font>
        <b val="0"/>
        <sz val="12"/>
      </font>
      <border>
        <left style="thin">
          <color rgb="FF000000"/>
        </left>
        <right style="thin">
          <color rgb="FF000000"/>
        </right>
        <top/>
        <bottom/>
        <vertical style="thin">
          <color rgb="FF000000"/>
        </vertical>
        <horizontal style="thin">
          <color rgb="FF000000"/>
        </horizontal>
      </border>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DDF2F0"/>
          <bgColor rgb="FFDDF2F0"/>
        </patternFill>
      </fill>
    </dxf>
    <dxf>
      <fill>
        <patternFill patternType="solid">
          <fgColor rgb="FFFFFFFF"/>
          <bgColor rgb="FFFFFFFF"/>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F0FE"/>
          <bgColor rgb="FFE8F0FE"/>
        </patternFill>
      </fill>
    </dxf>
    <dxf>
      <fill>
        <patternFill patternType="solid">
          <fgColor rgb="FFFFFFFF"/>
          <bgColor rgb="FFFFFFFF"/>
        </patternFill>
      </fill>
    </dxf>
    <dxf>
      <fill>
        <patternFill patternType="solid">
          <fgColor rgb="FF5B95F9"/>
          <bgColor rgb="FF5B95F9"/>
        </patternFill>
      </fill>
    </dxf>
    <dxf>
      <fill>
        <patternFill patternType="solid">
          <fgColor rgb="FFEBEFF1"/>
          <bgColor rgb="FFEBEFF1"/>
        </patternFill>
      </fill>
    </dxf>
    <dxf>
      <fill>
        <patternFill patternType="solid">
          <fgColor rgb="FFFFFFFF"/>
          <bgColor rgb="FFFFFFFF"/>
        </patternFill>
      </fill>
    </dxf>
    <dxf>
      <fill>
        <patternFill patternType="solid">
          <fgColor rgb="FF78909C"/>
          <bgColor rgb="FF78909C"/>
        </patternFill>
      </fill>
    </dxf>
    <dxf>
      <fill>
        <patternFill patternType="solid">
          <fgColor rgb="FFE8E7FC"/>
          <bgColor rgb="FFE8E7FC"/>
        </patternFill>
      </fill>
    </dxf>
    <dxf>
      <fill>
        <patternFill patternType="solid">
          <fgColor rgb="FFFFFFFF"/>
          <bgColor rgb="FFFFFFFF"/>
        </patternFill>
      </fill>
    </dxf>
    <dxf>
      <fill>
        <patternFill patternType="solid">
          <fgColor rgb="FF8989EB"/>
          <bgColor rgb="FF8989EB"/>
        </patternFill>
      </fill>
    </dxf>
  </dxfs>
  <tableStyles count="8">
    <tableStyle name="REGISTRATION-style" pivot="0" count="3" xr9:uid="{00000000-0011-0000-FFFF-FFFF00000000}">
      <tableStyleElement type="headerRow" dxfId="129"/>
      <tableStyleElement type="firstRowStripe" dxfId="128"/>
      <tableStyleElement type="secondRowStripe" dxfId="127"/>
    </tableStyle>
    <tableStyle name="Day 1-style" pivot="0" count="3" xr9:uid="{00000000-0011-0000-FFFF-FFFF01000000}">
      <tableStyleElement type="headerRow" dxfId="126"/>
      <tableStyleElement type="firstRowStripe" dxfId="125"/>
      <tableStyleElement type="secondRowStripe" dxfId="124"/>
    </tableStyle>
    <tableStyle name="Day 1-style 2" pivot="0" count="3" xr9:uid="{00000000-0011-0000-FFFF-FFFF02000000}">
      <tableStyleElement type="headerRow" dxfId="123"/>
      <tableStyleElement type="firstRowStripe" dxfId="122"/>
      <tableStyleElement type="secondRowStripe" dxfId="121"/>
    </tableStyle>
    <tableStyle name="Day 2-style" pivot="0" count="3" xr9:uid="{00000000-0011-0000-FFFF-FFFF03000000}">
      <tableStyleElement type="headerRow" dxfId="120"/>
      <tableStyleElement type="firstRowStripe" dxfId="119"/>
      <tableStyleElement type="secondRowStripe" dxfId="118"/>
    </tableStyle>
    <tableStyle name="Day 2-style 2" pivot="0" count="3" xr9:uid="{00000000-0011-0000-FFFF-FFFF04000000}">
      <tableStyleElement type="headerRow" dxfId="117"/>
      <tableStyleElement type="firstRowStripe" dxfId="116"/>
      <tableStyleElement type="secondRowStripe" dxfId="115"/>
    </tableStyle>
    <tableStyle name="RESULTS DASHBOARD-style" pivot="0" count="2" xr9:uid="{00000000-0011-0000-FFFF-FFFF05000000}">
      <tableStyleElement type="firstRowStripe" dxfId="114"/>
      <tableStyleElement type="secondRowStripe" dxfId="113"/>
    </tableStyle>
    <tableStyle name="RESULTS DASHBOARD-style 2" pivot="0" count="3" xr9:uid="{00000000-0011-0000-FFFF-FFFF06000000}">
      <tableStyleElement type="headerRow" dxfId="112"/>
      <tableStyleElement type="firstRowStripe" dxfId="111"/>
      <tableStyleElement type="secondRowStripe" dxfId="110"/>
    </tableStyle>
    <tableStyle name="MASTER CALC-style" pivot="0" count="3" xr9:uid="{00000000-0011-0000-FFFF-FFFF07000000}">
      <tableStyleElement type="headerRow" dxfId="109"/>
      <tableStyleElement type="firstRowStripe" dxfId="108"/>
      <tableStyleElement type="secondRowStripe" dxfId="107"/>
    </tableStyle>
  </tableStyles>
  <colors>
    <mruColors>
      <color rgb="FF9BCFA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worksheet" Target="worksheets/sheet18.xml"/><Relationship Id="rId26" Type="http://schemas.microsoft.com/office/2022/11/relationships/FeaturePropertyBag" Target="featurePropertyBag/featurePropertyBag.xml"/><Relationship Id="rId3" Type="http://schemas.openxmlformats.org/officeDocument/2006/relationships/worksheet" Target="worksheets/sheet3.xml"/><Relationship Id="rId21" Type="http://schemas.openxmlformats.org/officeDocument/2006/relationships/sharedStrings" Target="sharedStrings.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microsoft.com/office/2017/06/relationships/rdRichValueTypes" Target="richData/rdRichValueType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microsoft.com/office/2017/06/relationships/rdRichValueStructure" Target="richData/rdrichvaluestructure.xml"/><Relationship Id="rId5" Type="http://schemas.openxmlformats.org/officeDocument/2006/relationships/worksheet" Target="worksheets/sheet5.xml"/><Relationship Id="rId15" Type="http://schemas.openxmlformats.org/officeDocument/2006/relationships/worksheet" Target="worksheets/sheet15.xml"/><Relationship Id="rId23" Type="http://schemas.microsoft.com/office/2017/06/relationships/rdRichValue" Target="richData/rdrichvalue.xml"/><Relationship Id="rId10" Type="http://schemas.openxmlformats.org/officeDocument/2006/relationships/worksheet" Target="worksheets/sheet10.xml"/><Relationship Id="rId19" Type="http://schemas.openxmlformats.org/officeDocument/2006/relationships/theme" Target="theme/theme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sheetMetadata" Target="metadata.xml"/><Relationship Id="rId27" Type="http://schemas.openxmlformats.org/officeDocument/2006/relationships/calcChain" Target="calcChain.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spPr>
            <a:solidFill>
              <a:schemeClr val="accent1"/>
            </a:solidFill>
            <a:ln>
              <a:noFill/>
            </a:ln>
            <a:effectLst/>
          </c:spPr>
          <c:invertIfNegative val="0"/>
          <c:val>
            <c:numRef>
              <c:f>'DAY TOTALS'!$M$33</c:f>
              <c:numCache>
                <c:formatCode>General</c:formatCode>
                <c:ptCount val="1"/>
              </c:numCache>
            </c:numRef>
          </c:val>
          <c:extLst>
            <c:ext xmlns:c16="http://schemas.microsoft.com/office/drawing/2014/chart" uri="{C3380CC4-5D6E-409C-BE32-E72D297353CC}">
              <c16:uniqueId val="{00000000-485C-478A-8CBC-B6D77F00A5C7}"/>
            </c:ext>
          </c:extLst>
        </c:ser>
        <c:dLbls>
          <c:showLegendKey val="0"/>
          <c:showVal val="0"/>
          <c:showCatName val="0"/>
          <c:showSerName val="0"/>
          <c:showPercent val="0"/>
          <c:showBubbleSize val="0"/>
        </c:dLbls>
        <c:gapWidth val="219"/>
        <c:overlap val="-27"/>
        <c:axId val="30238216"/>
        <c:axId val="30240264"/>
      </c:barChart>
      <c:catAx>
        <c:axId val="3023821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40264"/>
        <c:crosses val="autoZero"/>
        <c:auto val="1"/>
        <c:lblAlgn val="ctr"/>
        <c:lblOffset val="100"/>
        <c:noMultiLvlLbl val="0"/>
      </c:catAx>
      <c:valAx>
        <c:axId val="30240264"/>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30238216"/>
        <c:crosses val="autoZero"/>
        <c:crossBetween val="between"/>
      </c:val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r>
              <a:rPr lang="en-US"/>
              <a:t>ZONE PERFORMANCE</a:t>
            </a:r>
          </a:p>
        </c:rich>
      </c:tx>
      <c:overlay val="0"/>
      <c:spPr>
        <a:noFill/>
        <a:ln>
          <a:noFill/>
        </a:ln>
        <a:effectLst/>
      </c:spPr>
      <c:txPr>
        <a:bodyPr rot="0" spcFirstLastPara="1" vertOverflow="ellipsis" vert="horz" wrap="square" anchor="ctr" anchorCtr="1"/>
        <a:lstStyle/>
        <a:p>
          <a:pPr>
            <a:defRPr sz="1800" b="1"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ser>
          <c:idx val="0"/>
          <c:order val="0"/>
          <c:tx>
            <c:strRef>
              <c:f>DASHBOARD!$G$3</c:f>
              <c:strCache>
                <c:ptCount val="1"/>
                <c:pt idx="0">
                  <c:v>Red</c:v>
                </c:pt>
              </c:strCache>
            </c:strRef>
          </c:tx>
          <c:spPr>
            <a:solidFill>
              <a:srgbClr val="FF0000"/>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DASHBOARD!$H$3:$K$3</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0-C0BE-44F4-8F43-D0C1A9B687E1}"/>
            </c:ext>
          </c:extLst>
        </c:ser>
        <c:ser>
          <c:idx val="1"/>
          <c:order val="1"/>
          <c:tx>
            <c:strRef>
              <c:f>DASHBOARD!$G$4</c:f>
              <c:strCache>
                <c:ptCount val="1"/>
                <c:pt idx="0">
                  <c:v>Blue</c:v>
                </c:pt>
              </c:strCache>
            </c:strRef>
          </c:tx>
          <c:spPr>
            <a:solidFill>
              <a:srgbClr val="4285F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DASHBOARD!$H$4:$K$4</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1-C0BE-44F4-8F43-D0C1A9B687E1}"/>
            </c:ext>
          </c:extLst>
        </c:ser>
        <c:ser>
          <c:idx val="2"/>
          <c:order val="2"/>
          <c:tx>
            <c:strRef>
              <c:f>DASHBOARD!$G$5</c:f>
              <c:strCache>
                <c:ptCount val="1"/>
                <c:pt idx="0">
                  <c:v>Green</c:v>
                </c:pt>
              </c:strCache>
            </c:strRef>
          </c:tx>
          <c:spPr>
            <a:solidFill>
              <a:srgbClr val="34A85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DASHBOARD!$H$5:$K$5</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2-C0BE-44F4-8F43-D0C1A9B687E1}"/>
            </c:ext>
          </c:extLst>
        </c:ser>
        <c:ser>
          <c:idx val="3"/>
          <c:order val="3"/>
          <c:tx>
            <c:strRef>
              <c:f>DASHBOARD!$G$6</c:f>
              <c:strCache>
                <c:ptCount val="1"/>
                <c:pt idx="0">
                  <c:v>Yellow</c:v>
                </c:pt>
              </c:strCache>
            </c:strRef>
          </c:tx>
          <c:spPr>
            <a:solidFill>
              <a:srgbClr val="FBBC0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200" b="1"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DASHBOARD!$H$2:$K$2</c:f>
              <c:strCache>
                <c:ptCount val="4"/>
                <c:pt idx="0">
                  <c:v>Day 1 Fish</c:v>
                </c:pt>
                <c:pt idx="1">
                  <c:v>Day 1 Length (m)</c:v>
                </c:pt>
                <c:pt idx="2">
                  <c:v>Day 2 Fish</c:v>
                </c:pt>
                <c:pt idx="3">
                  <c:v>Day 2 Length (m)</c:v>
                </c:pt>
              </c:strCache>
            </c:strRef>
          </c:cat>
          <c:val>
            <c:numRef>
              <c:f>DASHBOARD!$H$6:$K$6</c:f>
              <c:numCache>
                <c:formatCode>General</c:formatCode>
                <c:ptCount val="4"/>
                <c:pt idx="0">
                  <c:v>0</c:v>
                </c:pt>
                <c:pt idx="1">
                  <c:v>0</c:v>
                </c:pt>
                <c:pt idx="2">
                  <c:v>0</c:v>
                </c:pt>
                <c:pt idx="3">
                  <c:v>0</c:v>
                </c:pt>
              </c:numCache>
            </c:numRef>
          </c:val>
          <c:extLst>
            <c:ext xmlns:c16="http://schemas.microsoft.com/office/drawing/2014/chart" uri="{C3380CC4-5D6E-409C-BE32-E72D297353CC}">
              <c16:uniqueId val="{00000003-C0BE-44F4-8F43-D0C1A9B687E1}"/>
            </c:ext>
          </c:extLst>
        </c:ser>
        <c:dLbls>
          <c:showLegendKey val="0"/>
          <c:showVal val="0"/>
          <c:showCatName val="0"/>
          <c:showSerName val="0"/>
          <c:showPercent val="0"/>
          <c:showBubbleSize val="0"/>
        </c:dLbls>
        <c:gapWidth val="227"/>
        <c:overlap val="-27"/>
        <c:axId val="434604039"/>
        <c:axId val="445190151"/>
      </c:barChart>
      <c:catAx>
        <c:axId val="434604039"/>
        <c:scaling>
          <c:orientation val="minMax"/>
        </c:scaling>
        <c:delete val="0"/>
        <c:axPos val="b"/>
        <c:majorGridlines>
          <c:spPr>
            <a:ln w="9525" cap="flat" cmpd="sng" algn="ctr">
              <a:solidFill>
                <a:srgbClr val="000000"/>
              </a:solidFill>
              <a:prstDash val="solid"/>
              <a:round/>
            </a:ln>
            <a:effectLst/>
          </c:spPr>
        </c:majorGridlines>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1800" b="1" i="0" u="none" strike="noStrike" kern="1200" baseline="0">
                <a:solidFill>
                  <a:schemeClr val="tx1">
                    <a:lumMod val="65000"/>
                    <a:lumOff val="35000"/>
                  </a:schemeClr>
                </a:solidFill>
                <a:latin typeface="+mn-lt"/>
                <a:ea typeface="+mn-ea"/>
                <a:cs typeface="+mn-cs"/>
              </a:defRPr>
            </a:pPr>
            <a:endParaRPr lang="en-US"/>
          </a:p>
        </c:txPr>
        <c:crossAx val="445190151"/>
        <c:crosses val="autoZero"/>
        <c:auto val="1"/>
        <c:lblAlgn val="ctr"/>
        <c:lblOffset val="100"/>
        <c:noMultiLvlLbl val="0"/>
      </c:catAx>
      <c:valAx>
        <c:axId val="445190151"/>
        <c:scaling>
          <c:orientation val="minMax"/>
          <c:max val="120"/>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34604039"/>
        <c:crosses val="autoZero"/>
        <c:crossBetween val="between"/>
        <c:majorUnit val="10"/>
      </c:valAx>
      <c:spPr>
        <a:noFill/>
        <a:ln>
          <a:noFill/>
        </a:ln>
        <a:effectLst/>
      </c:spPr>
    </c:plotArea>
    <c:legend>
      <c:legendPos val="b"/>
      <c:overlay val="0"/>
      <c:spPr>
        <a:noFill/>
        <a:ln>
          <a:noFill/>
        </a:ln>
        <a:effectLst/>
      </c:spPr>
      <c:txPr>
        <a:bodyPr rot="0" spcFirstLastPara="1" vertOverflow="ellipsis" vert="horz" wrap="square" anchor="ctr" anchorCtr="1"/>
        <a:lstStyle/>
        <a:p>
          <a:pPr>
            <a:defRPr sz="11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4.xml.rels><?xml version="1.0" encoding="UTF-8" standalone="yes"?>
<Relationships xmlns="http://schemas.openxmlformats.org/package/2006/relationships"><Relationship Id="rId1" Type="http://schemas.openxmlformats.org/officeDocument/2006/relationships/chart" Target="../charts/chart1.xml"/></Relationships>
</file>

<file path=xl/drawings/_rels/drawing5.xml.rels><?xml version="1.0" encoding="UTF-8" standalone="yes"?>
<Relationships xmlns="http://schemas.openxmlformats.org/package/2006/relationships"><Relationship Id="rId1" Type="http://schemas.openxmlformats.org/officeDocument/2006/relationships/chart" Target="../charts/chart2.xml"/></Relationships>
</file>

<file path=xl/drawings/drawing1.xml><?xml version="1.0" encoding="utf-8"?>
<xdr:wsDr xmlns:xdr="http://schemas.openxmlformats.org/drawingml/2006/spreadsheetDrawing" xmlns:a="http://schemas.openxmlformats.org/drawingml/2006/main">
  <xdr:twoCellAnchor>
    <xdr:from>
      <xdr:col>13</xdr:col>
      <xdr:colOff>104775</xdr:colOff>
      <xdr:row>0</xdr:row>
      <xdr:rowOff>38100</xdr:rowOff>
    </xdr:from>
    <xdr:to>
      <xdr:col>13</xdr:col>
      <xdr:colOff>276225</xdr:colOff>
      <xdr:row>0</xdr:row>
      <xdr:rowOff>247650</xdr:rowOff>
    </xdr:to>
    <xdr:sp macro="" textlink="">
      <xdr:nvSpPr>
        <xdr:cNvPr id="2" name="Up Arrow 1">
          <a:extLst>
            <a:ext uri="{FF2B5EF4-FFF2-40B4-BE49-F238E27FC236}">
              <a16:creationId xmlns:a16="http://schemas.microsoft.com/office/drawing/2014/main" id="{CAD7E752-BDEA-BCF4-8C42-4891AE8E5C55}"/>
            </a:ext>
          </a:extLst>
        </xdr:cNvPr>
        <xdr:cNvSpPr/>
      </xdr:nvSpPr>
      <xdr:spPr>
        <a:xfrm>
          <a:off x="73914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3" name="Up Arrow 1">
          <a:extLst>
            <a:ext uri="{FF2B5EF4-FFF2-40B4-BE49-F238E27FC236}">
              <a16:creationId xmlns:a16="http://schemas.microsoft.com/office/drawing/2014/main" id="{743803A6-B8A6-4F2B-91D2-E9D0EE3BE239}"/>
            </a:ext>
            <a:ext uri="{147F2762-F138-4A5C-976F-8EAC2B608ADB}">
              <a16:predDERef xmlns:a16="http://schemas.microsoft.com/office/drawing/2014/main" pred="{CAD7E752-BDEA-BCF4-8C42-4891AE8E5C55}"/>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4" name="Up Arrow 1">
          <a:extLst>
            <a:ext uri="{FF2B5EF4-FFF2-40B4-BE49-F238E27FC236}">
              <a16:creationId xmlns:a16="http://schemas.microsoft.com/office/drawing/2014/main" id="{A0F537DB-A16B-4645-9632-F5AA7E4F8B95}"/>
            </a:ext>
            <a:ext uri="{147F2762-F138-4A5C-976F-8EAC2B608ADB}">
              <a16:predDERef xmlns:a16="http://schemas.microsoft.com/office/drawing/2014/main" pred="{743803A6-B8A6-4F2B-91D2-E9D0EE3BE239}"/>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5" name="Up Arrow 1">
          <a:extLst>
            <a:ext uri="{FF2B5EF4-FFF2-40B4-BE49-F238E27FC236}">
              <a16:creationId xmlns:a16="http://schemas.microsoft.com/office/drawing/2014/main" id="{3CC5A99C-05CF-4067-8558-70A0ED89035B}"/>
            </a:ext>
            <a:ext uri="{147F2762-F138-4A5C-976F-8EAC2B608ADB}">
              <a16:predDERef xmlns:a16="http://schemas.microsoft.com/office/drawing/2014/main" pred="{A0F537DB-A16B-4645-9632-F5AA7E4F8B95}"/>
            </a:ext>
          </a:extLst>
        </xdr:cNvPr>
        <xdr:cNvSpPr/>
      </xdr:nvSpPr>
      <xdr:spPr>
        <a:xfrm>
          <a:off x="7762875"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6" name="Up Arrow 1">
          <a:extLst>
            <a:ext uri="{FF2B5EF4-FFF2-40B4-BE49-F238E27FC236}">
              <a16:creationId xmlns:a16="http://schemas.microsoft.com/office/drawing/2014/main" id="{A7B5D0BC-72B4-4D5A-BC25-91E0E5366C75}"/>
            </a:ext>
            <a:ext uri="{147F2762-F138-4A5C-976F-8EAC2B608ADB}">
              <a16:predDERef xmlns:a16="http://schemas.microsoft.com/office/drawing/2014/main" pred="{3CC5A99C-05CF-4067-8558-70A0ED89035B}"/>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7" name="Up Arrow 1">
          <a:extLst>
            <a:ext uri="{FF2B5EF4-FFF2-40B4-BE49-F238E27FC236}">
              <a16:creationId xmlns:a16="http://schemas.microsoft.com/office/drawing/2014/main" id="{EA5928D4-9B30-4675-BFF6-154C85250349}"/>
            </a:ext>
            <a:ext uri="{147F2762-F138-4A5C-976F-8EAC2B608ADB}">
              <a16:predDERef xmlns:a16="http://schemas.microsoft.com/office/drawing/2014/main" pred="{A7B5D0BC-72B4-4D5A-BC25-91E0E5366C75}"/>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8" name="Up Arrow 1">
          <a:extLst>
            <a:ext uri="{FF2B5EF4-FFF2-40B4-BE49-F238E27FC236}">
              <a16:creationId xmlns:a16="http://schemas.microsoft.com/office/drawing/2014/main" id="{F8E0BFD0-59C5-4AFF-A4DD-7368E33C347A}"/>
            </a:ext>
            <a:ext uri="{147F2762-F138-4A5C-976F-8EAC2B608ADB}">
              <a16:predDERef xmlns:a16="http://schemas.microsoft.com/office/drawing/2014/main" pred="{EA5928D4-9B30-4675-BFF6-154C85250349}"/>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twoCellAnchor>
    <xdr:from>
      <xdr:col>13</xdr:col>
      <xdr:colOff>104775</xdr:colOff>
      <xdr:row>0</xdr:row>
      <xdr:rowOff>38100</xdr:rowOff>
    </xdr:from>
    <xdr:to>
      <xdr:col>13</xdr:col>
      <xdr:colOff>276225</xdr:colOff>
      <xdr:row>0</xdr:row>
      <xdr:rowOff>247650</xdr:rowOff>
    </xdr:to>
    <xdr:sp macro="" textlink="">
      <xdr:nvSpPr>
        <xdr:cNvPr id="9" name="Up Arrow 1">
          <a:extLst>
            <a:ext uri="{FF2B5EF4-FFF2-40B4-BE49-F238E27FC236}">
              <a16:creationId xmlns:a16="http://schemas.microsoft.com/office/drawing/2014/main" id="{97D437FA-5976-4AE0-8CE5-6C657D586648}"/>
            </a:ext>
            <a:ext uri="{147F2762-F138-4A5C-976F-8EAC2B608ADB}">
              <a16:predDERef xmlns:a16="http://schemas.microsoft.com/office/drawing/2014/main" pred="{F8E0BFD0-59C5-4AFF-A4DD-7368E33C347A}"/>
            </a:ext>
          </a:extLst>
        </xdr:cNvPr>
        <xdr:cNvSpPr/>
      </xdr:nvSpPr>
      <xdr:spPr>
        <a:xfrm>
          <a:off x="8115300" y="38100"/>
          <a:ext cx="171450" cy="209550"/>
        </a:xfrm>
        <a:prstGeom prst="upArrow">
          <a:avLst/>
        </a:prstGeom>
        <a:solidFill>
          <a:schemeClr val="bg1"/>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1</xdr:col>
      <xdr:colOff>3114675</xdr:colOff>
      <xdr:row>1</xdr:row>
      <xdr:rowOff>19050</xdr:rowOff>
    </xdr:from>
    <xdr:to>
      <xdr:col>1</xdr:col>
      <xdr:colOff>4029075</xdr:colOff>
      <xdr:row>1</xdr:row>
      <xdr:rowOff>361950</xdr:rowOff>
    </xdr:to>
    <xdr:sp macro="" textlink="">
      <xdr:nvSpPr>
        <xdr:cNvPr id="3" name="Right Arrow 2">
          <a:extLst>
            <a:ext uri="{FF2B5EF4-FFF2-40B4-BE49-F238E27FC236}">
              <a16:creationId xmlns:a16="http://schemas.microsoft.com/office/drawing/2014/main" id="{C334860A-7538-5406-7681-CBC7494EAAE3}"/>
            </a:ext>
          </a:extLst>
        </xdr:cNvPr>
        <xdr:cNvSpPr/>
      </xdr:nvSpPr>
      <xdr:spPr>
        <a:xfrm>
          <a:off x="3114675" y="333375"/>
          <a:ext cx="914400" cy="342900"/>
        </a:xfrm>
        <a:prstGeom prst="rightArrow">
          <a:avLst/>
        </a:prstGeom>
        <a:solidFill>
          <a:schemeClr val="accent1">
            <a:lumMod val="75000"/>
          </a:schemeClr>
        </a:solidFill>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1</xdr:col>
      <xdr:colOff>3438525</xdr:colOff>
      <xdr:row>1</xdr:row>
      <xdr:rowOff>19050</xdr:rowOff>
    </xdr:from>
    <xdr:to>
      <xdr:col>1</xdr:col>
      <xdr:colOff>4029075</xdr:colOff>
      <xdr:row>1</xdr:row>
      <xdr:rowOff>285750</xdr:rowOff>
    </xdr:to>
    <xdr:sp macro="" textlink="">
      <xdr:nvSpPr>
        <xdr:cNvPr id="2" name="Right Arrow 1">
          <a:extLst>
            <a:ext uri="{FF2B5EF4-FFF2-40B4-BE49-F238E27FC236}">
              <a16:creationId xmlns:a16="http://schemas.microsoft.com/office/drawing/2014/main" id="{4D8C05D2-8048-67B9-3901-87CA7F890055}"/>
            </a:ext>
          </a:extLst>
        </xdr:cNvPr>
        <xdr:cNvSpPr/>
      </xdr:nvSpPr>
      <xdr:spPr>
        <a:xfrm>
          <a:off x="3438525" y="371475"/>
          <a:ext cx="590550" cy="266700"/>
        </a:xfrm>
        <a:prstGeom prst="rightArrow">
          <a:avLst/>
        </a:prstGeom>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8</xdr:col>
      <xdr:colOff>257175</xdr:colOff>
      <xdr:row>25</xdr:row>
      <xdr:rowOff>19050</xdr:rowOff>
    </xdr:from>
    <xdr:to>
      <xdr:col>15</xdr:col>
      <xdr:colOff>561975</xdr:colOff>
      <xdr:row>42</xdr:row>
      <xdr:rowOff>9525</xdr:rowOff>
    </xdr:to>
    <xdr:graphicFrame macro="">
      <xdr:nvGraphicFramePr>
        <xdr:cNvPr id="3" name="Chart 1">
          <a:extLst>
            <a:ext uri="{FF2B5EF4-FFF2-40B4-BE49-F238E27FC236}">
              <a16:creationId xmlns:a16="http://schemas.microsoft.com/office/drawing/2014/main" id="{10A3F9CD-040F-6E47-381C-26B464B488D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5</xdr:col>
      <xdr:colOff>123825</xdr:colOff>
      <xdr:row>0</xdr:row>
      <xdr:rowOff>0</xdr:rowOff>
    </xdr:from>
    <xdr:to>
      <xdr:col>16384</xdr:col>
      <xdr:colOff>3400425</xdr:colOff>
      <xdr:row>39</xdr:row>
      <xdr:rowOff>152400</xdr:rowOff>
    </xdr:to>
    <xdr:graphicFrame macro="">
      <xdr:nvGraphicFramePr>
        <xdr:cNvPr id="4" name="Chart 3">
          <a:extLst>
            <a:ext uri="{FF2B5EF4-FFF2-40B4-BE49-F238E27FC236}">
              <a16:creationId xmlns:a16="http://schemas.microsoft.com/office/drawing/2014/main" id="{90AA46E7-AA8F-2B53-41EE-244EAA7F33E8}"/>
            </a:ext>
            <a:ext uri="{147F2762-F138-4A5C-976F-8EAC2B608ADB}">
              <a16:predDERef xmlns:a16="http://schemas.microsoft.com/office/drawing/2014/main" pred="{3FCCD983-DD0A-BE7E-DF42-7D4A505375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featurePropertyBag/featurePropertyBag.xml><?xml version="1.0" encoding="utf-8"?>
<FeaturePropertyBags xmlns="http://schemas.microsoft.com/office/spreadsheetml/2022/featurepropertybag">
  <bag type="Checkbox"/>
  <bag type="XFControls">
    <bagId k="CellControl">0</bagId>
  </bag>
  <bag type="XFComplement">
    <bagId k="XFControls">1</bagId>
  </bag>
  <bag type="XFComplements" extRef="XFComplementsMapperExtRef">
    <a k="MappedFeaturePropertyBags">
      <bagId>2</bagId>
    </a>
  </bag>
</FeaturePropertyBags>
</file>

<file path=xl/richData/rdRichValueTypes.xml><?xml version="1.0" encoding="utf-8"?>
<rvTypesInfo xmlns="http://schemas.microsoft.com/office/spreadsheetml/2017/richdata2" xmlns:mc="http://schemas.openxmlformats.org/markup-compatibility/2006" xmlns:x="http://schemas.openxmlformats.org/spreadsheetml/2006/main" mc:Ignorable="x">
  <global>
    <keyFlags>
      <key name="_Self">
        <flag name="ExcludeFromFile" value="1"/>
        <flag name="ExcludeFromCalcComparison" value="1"/>
      </key>
      <key name="_DisplayString">
        <flag name="ExcludeFromCalcComparison" value="1"/>
      </key>
      <key name="_Flags">
        <flag name="ExcludeFromCalcComparison" value="1"/>
      </key>
      <key name="_Format">
        <flag name="ExcludeFromCalcComparison" value="1"/>
      </key>
      <key name="_SubLabel">
        <flag name="ExcludeFromCalcComparison" value="1"/>
      </key>
      <key name="_Attribution">
        <flag name="ExcludeFromCalcComparison" value="1"/>
      </key>
      <key name="_Icon">
        <flag name="ExcludeFromCalcComparison" value="1"/>
      </key>
      <key name="_Display">
        <flag name="ExcludeFromCalcComparison" value="1"/>
      </key>
      <key name="_CanonicalPropertyNames">
        <flag name="ExcludeFromCalcComparison" value="1"/>
      </key>
      <key name="_ClassificationId">
        <flag name="ExcludeFromCalcComparison" value="1"/>
      </key>
    </keyFlags>
  </global>
</rvTypesInfo>
</file>

<file path=xl/richData/rdrichvalue.xml><?xml version="1.0" encoding="utf-8"?>
<rvData xmlns="http://schemas.microsoft.com/office/spreadsheetml/2017/richdata" count="5">
  <rv s="0">
    <v>13</v>
    <v>3</v>
  </rv>
  <rv s="1">
    <v>238</v>
    <v>8</v>
    <v>8</v>
    <v>1</v>
  </rv>
  <rv s="1">
    <v>0</v>
    <v>8</v>
    <v>1</v>
    <v>1</v>
  </rv>
  <rv s="2">
    <v>8</v>
    <v>1</v>
  </rv>
  <rv s="2">
    <v>13</v>
    <v>1</v>
  </rv>
</rvData>
</file>

<file path=xl/richData/rdrichvaluestructure.xml><?xml version="1.0" encoding="utf-8"?>
<rvStructures xmlns="http://schemas.microsoft.com/office/spreadsheetml/2017/richdata" count="3">
  <s t="_error">
    <k n="errorType" t="i"/>
    <k n="subType" t="i"/>
  </s>
  <s t="_error">
    <k n="colOffset" t="i"/>
    <k n="errorType" t="i"/>
    <k n="rwOffset" t="i"/>
    <k n="subType" t="i"/>
  </s>
  <s t="_error">
    <k n="errorType" t="i"/>
    <k n="propagated" t="b"/>
  </s>
</rvStructure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00000000-000C-0000-FFFF-FFFF00000000}" name="Table_1" displayName="Table_1" ref="A2:I129" headerRowCount="0" headerRowDxfId="106" dataDxfId="105" totalsRowDxfId="104" tableBorderDxfId="103">
  <tableColumns count="9">
    <tableColumn id="1" xr3:uid="{00000000-0010-0000-0000-000001000000}" name="Column1" dataDxfId="102"/>
    <tableColumn id="2" xr3:uid="{00000000-0010-0000-0000-000002000000}" name="Column2" dataDxfId="101">
      <calculatedColumnFormula>IF(DATA_IMPORT!A2="", "", DATA_IMPORT!A2)</calculatedColumnFormula>
    </tableColumn>
    <tableColumn id="3" xr3:uid="{00000000-0010-0000-0000-000003000000}" name="Column3" dataDxfId="100">
      <calculatedColumnFormula>IF(DATA_IMPORT!B2="", "", DATA_IMPORT!B2)</calculatedColumnFormula>
    </tableColumn>
    <tableColumn id="4" xr3:uid="{00000000-0010-0000-0000-000004000000}" name="Column4" dataDxfId="99"/>
    <tableColumn id="5" xr3:uid="{00000000-0010-0000-0000-000005000000}" name="Column5" dataDxfId="98"/>
    <tableColumn id="6" xr3:uid="{00000000-0010-0000-0000-000006000000}" name="Column6" dataDxfId="97"/>
    <tableColumn id="7" xr3:uid="{00000000-0010-0000-0000-000007000000}" name="Column7" dataDxfId="96"/>
    <tableColumn id="8" xr3:uid="{00000000-0010-0000-0000-000008000000}" name="Column8" dataDxfId="95"/>
    <tableColumn id="9" xr3:uid="{00000000-0010-0000-0000-000009000000}" name="Column9" dataDxfId="94"/>
  </tableColumns>
  <tableStyleInfo name="REGISTRATION-style" showFirstColumn="1" showLastColumn="1" showRowStripes="1" showColumnStripes="0"/>
  <extLst>
    <ext uri="GoogleSheetsCustomDataVersion1">
      <go:sheetsCustomData xmlns:go="http://customooxmlschemas.google.com/" headerRowCount="1"/>
    </ext>
  </extLst>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3" xr:uid="{00000000-000C-0000-FFFF-FFFF02000000}" name="Table_3" displayName="Table_3" ref="B140:I266" headerRowCount="0" headerRowDxfId="85" dataDxfId="84" totalsRowDxfId="83">
  <tableColumns count="8">
    <tableColumn id="1" xr3:uid="{00000000-0010-0000-0200-000001000000}" name="Column1" dataDxfId="82"/>
    <tableColumn id="2" xr3:uid="{00000000-0010-0000-0200-000002000000}" name="Column2" dataDxfId="81"/>
    <tableColumn id="3" xr3:uid="{00000000-0010-0000-0200-000003000000}" name="Column3" dataDxfId="80"/>
    <tableColumn id="4" xr3:uid="{00000000-0010-0000-0200-000004000000}" name="Column4" dataDxfId="79"/>
    <tableColumn id="5" xr3:uid="{00000000-0010-0000-0200-000005000000}" name="Column5" dataDxfId="78"/>
    <tableColumn id="6" xr3:uid="{00000000-0010-0000-0200-000006000000}" name="Column6" dataDxfId="77"/>
    <tableColumn id="7" xr3:uid="{00000000-0010-0000-0200-000007000000}" name="Column7" dataDxfId="76"/>
    <tableColumn id="8" xr3:uid="{00000000-0010-0000-0200-000008000000}" name="Column8" dataDxfId="75"/>
  </tableColumns>
  <tableStyleInfo name="Day 1-style 2" showFirstColumn="1" showLastColumn="1" showRowStripes="1" showColumnStripes="0"/>
  <extLst>
    <ext uri="GoogleSheetsCustomDataVersion1">
      <go:sheetsCustomData xmlns:go="http://customooxmlschemas.google.com/" headerRowCount="1"/>
    </ext>
  </extLst>
</table>
</file>

<file path=xl/tables/table3.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4" xr:uid="{00000000-000C-0000-FFFF-FFFF03000000}" name="Table_4" displayName="Table_4" ref="B3:J1122" headerRowCount="0" headerRowDxfId="62" dataDxfId="61" totalsRowDxfId="60" tableBorderDxfId="59">
  <tableColumns count="9">
    <tableColumn id="1" xr3:uid="{00000000-0010-0000-0300-000001000000}" name="Column1" dataDxfId="58"/>
    <tableColumn id="2" xr3:uid="{00000000-0010-0000-0300-000002000000}" name="Column2" dataDxfId="57"/>
    <tableColumn id="3" xr3:uid="{00000000-0010-0000-0300-000003000000}" name="Column3" dataDxfId="56"/>
    <tableColumn id="4" xr3:uid="{00000000-0010-0000-0300-000004000000}" name="Column4" dataDxfId="55"/>
    <tableColumn id="5" xr3:uid="{00000000-0010-0000-0300-000005000000}" name="Column5" dataDxfId="54"/>
    <tableColumn id="6" xr3:uid="{00000000-0010-0000-0300-000006000000}" name="Column6" dataDxfId="53"/>
    <tableColumn id="7" xr3:uid="{00000000-0010-0000-0300-000007000000}" name="Column7" dataDxfId="52"/>
    <tableColumn id="8" xr3:uid="{00000000-0010-0000-0300-000008000000}" name="Column8" dataDxfId="51"/>
    <tableColumn id="9" xr3:uid="{B5E57F4E-8711-46E6-8279-AB5AEDA4CFF7}" name="Column9" headerRowDxfId="49" dataDxfId="48" totalsRowDxfId="50">
      <calculatedColumnFormula>TRIM(C3) &amp; (COUNTIFS($C$4:$C$123, C3, $I$4:$I$123, "&gt;"&amp;I3) + 1)</calculatedColumnFormula>
    </tableColumn>
  </tableColumns>
  <tableStyleInfo name="Day 2-style" showFirstColumn="1" showLastColumn="1" showRowStripes="1" showColumnStripes="0"/>
  <extLst>
    <ext uri="GoogleSheetsCustomDataVersion1">
      <go:sheetsCustomData xmlns:go="http://customooxmlschemas.google.com/" headerRowCount="1"/>
    </ext>
  </extLst>
</table>
</file>

<file path=xl/tables/table4.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5" xr:uid="{00000000-000C-0000-FFFF-FFFF04000000}" name="Table_5" displayName="Table_5" ref="B1123:I1249" headerRowCount="0" headerRowDxfId="47" dataDxfId="46" totalsRowDxfId="45">
  <tableColumns count="8">
    <tableColumn id="1" xr3:uid="{00000000-0010-0000-0400-000001000000}" name="Column1" dataDxfId="44"/>
    <tableColumn id="2" xr3:uid="{00000000-0010-0000-0400-000002000000}" name="Column2" dataDxfId="43"/>
    <tableColumn id="3" xr3:uid="{00000000-0010-0000-0400-000003000000}" name="Column3" dataDxfId="42"/>
    <tableColumn id="4" xr3:uid="{00000000-0010-0000-0400-000004000000}" name="Column4" dataDxfId="41"/>
    <tableColumn id="5" xr3:uid="{00000000-0010-0000-0400-000005000000}" name="Column5" dataDxfId="40"/>
    <tableColumn id="6" xr3:uid="{00000000-0010-0000-0400-000006000000}" name="Column6" dataDxfId="39"/>
    <tableColumn id="7" xr3:uid="{00000000-0010-0000-0400-000007000000}" name="Column7" dataDxfId="38"/>
    <tableColumn id="8" xr3:uid="{00000000-0010-0000-0400-000008000000}" name="Column8" dataDxfId="37"/>
  </tableColumns>
  <tableStyleInfo name="Day 2-style 2" showFirstColumn="1" showLastColumn="1" showRowStripes="1" showColumnStripes="0"/>
  <extLst>
    <ext uri="GoogleSheetsCustomDataVersion1">
      <go:sheetsCustomData xmlns:go="http://customooxmlschemas.google.com/" headerRowCount="1"/>
    </ext>
  </extLst>
</table>
</file>

<file path=xl/tables/table5.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6" xr:uid="{3BB375E5-3E95-4B4B-8969-3CF85F534466}" name="Table6" displayName="Table6" ref="A2:M121" totalsRowShown="0" headerRowDxfId="36" dataDxfId="35" tableBorderDxfId="34">
  <autoFilter ref="A2:M121" xr:uid="{3BB375E5-3E95-4B4B-8969-3CF85F534466}"/>
  <sortState xmlns:xlrd2="http://schemas.microsoft.com/office/spreadsheetml/2017/richdata2" ref="A3:M121">
    <sortCondition ref="M2:M121"/>
  </sortState>
  <tableColumns count="13">
    <tableColumn id="1" xr3:uid="{0007E1FD-20CE-401E-9370-41A49D07B216}" name="RANK" dataDxfId="33">
      <calculatedColumnFormula>IF(B3="", "", ROW()-2)</calculatedColumnFormula>
    </tableColumn>
    <tableColumn id="2" xr3:uid="{375F6555-6AF5-4716-BE66-79F956DD02B0}" name="NAME" dataDxfId="32">
      <calculatedColumnFormula>IF(REGISTRATION!B2="", "", REGISTRATION!B2)</calculatedColumnFormula>
    </tableColumn>
    <tableColumn id="3" xr3:uid="{02655A13-E8F3-4B2B-92BC-1F70A6AE0134}" name="TEAM NAME" dataDxfId="31">
      <calculatedColumnFormula>IF(B3="", "", _xlfn.XLOOKUP(B3, REGISTRATION!B:B, REGISTRATION!C:C, ""))</calculatedColumnFormula>
    </tableColumn>
    <tableColumn id="4" xr3:uid="{49C6A0D8-D147-4B3E-81C6-CA2168CC4915}" name="D1 SPEC" dataDxfId="30">
      <calculatedColumnFormula>IFERROR(INDEX('DAY 1 SCORES'!$E$4:$E$123, MATCH(B3, 'DAY 1 SCORES'!$B$4:$B$123, 0)), "")</calculatedColumnFormula>
    </tableColumn>
    <tableColumn id="5" xr3:uid="{AB5AC192-94FF-4CD0-B348-A108CE16243A}" name="D1 FISH CT" dataDxfId="29">
      <calculatedColumnFormula>SUMIF('DAY 1 SCORES'!$B$4:$B$123, B3, 'DAY 1 SCORES'!$F$4:$F$123)</calculatedColumnFormula>
    </tableColumn>
    <tableColumn id="6" xr3:uid="{F8EAF455-4841-4FB7-A22F-9C1ED147FB37}" name="D2 SPEC" dataDxfId="28">
      <calculatedColumnFormula>IFERROR(INDEX('DAY 2 SCORES'!$E$4:$E$123, MATCH(B3, 'DAY 2 SCORES'!$B$4:$B$123, 0)), "")</calculatedColumnFormula>
    </tableColumn>
    <tableColumn id="7" xr3:uid="{FD1239BC-C350-4186-8B13-4E26FBACF8AC}" name="D2 FISH CT" dataDxfId="27">
      <calculatedColumnFormula>SUMIF('DAY 2 SCORES'!$B$4:$B$123, B3, 'DAY 2 SCORES'!$F$4:$F$123)</calculatedColumnFormula>
    </tableColumn>
    <tableColumn id="8" xr3:uid="{253834B9-BD9E-458C-8E9B-562D302A1277}" name="LENGTH D1" dataDxfId="26">
      <calculatedColumnFormula>SUMIF('DAY 1 SCORES'!$B$4:$B$123, B3, 'DAY 1 SCORES'!$D$4:$D$123)</calculatedColumnFormula>
    </tableColumn>
    <tableColumn id="9" xr3:uid="{35B6E43D-4A5D-4F98-AD26-419F2AE008E8}" name="LENGTH D2" dataDxfId="25">
      <calculatedColumnFormula>SUMIF('DAY 2 SCORES'!$B$4:$B$123, B3, 'DAY 2 SCORES'!$D$4:$D$123)</calculatedColumnFormula>
    </tableColumn>
    <tableColumn id="10" xr3:uid="{EED33AAD-4ADC-41A0-9238-3B9B8827A6FB}" name="TOTAL LENGTH" dataDxfId="24">
      <calculatedColumnFormula>H3+I3</calculatedColumnFormula>
    </tableColumn>
    <tableColumn id="11" xr3:uid="{592C60FC-D162-4F0D-BB26-47817258557D}" name="D1 PTS" dataDxfId="23">
      <calculatedColumnFormula>SUMIF('DAY 1 SCORES'!$B$4:$B$123, B3, 'DAY 1 SCORES'!$H$4:$H$123)</calculatedColumnFormula>
    </tableColumn>
    <tableColumn id="12" xr3:uid="{4D21BEA9-3D6C-4A37-906C-FC31056C8FFF}" name="D2 PTS" dataDxfId="22">
      <calculatedColumnFormula>SUMIF('DAY 2 SCORES'!$B$4:$B$123, B3, 'DAY 2 SCORES'!$H$4:$H$123)</calculatedColumnFormula>
    </tableColumn>
    <tableColumn id="13" xr3:uid="{48A04585-1B08-405D-9465-D8250CD0D605}" name="TOTAL POINTS" dataDxfId="21">
      <calculatedColumnFormula>IF(OR(B3="", B3=0), 999, SUM(K3:L3))</calculatedColumnFormula>
    </tableColumn>
  </tableColumns>
  <tableStyleInfo showFirstColumn="0" showLastColumn="0" showRowStripes="1" showColumnStripes="0"/>
</table>
</file>

<file path=xl/tables/table6.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7" xr:uid="{2357065C-1CFC-40B7-8D6E-F7999DAE8FA4}" name="Table7" displayName="Table7" ref="AA2:AL136" totalsRowShown="0" headerRowDxfId="20" dataDxfId="19">
  <autoFilter ref="AA2:AL136" xr:uid="{2357065C-1CFC-40B7-8D6E-F7999DAE8FA4}"/>
  <tableColumns count="12">
    <tableColumn id="1" xr3:uid="{010AE6F1-F58C-4789-AF67-36080BDF53B7}" name="NAME" dataDxfId="18"/>
    <tableColumn id="2" xr3:uid="{673C3BD7-B9B7-4011-BD12-10741EF3DFCB}" name="TEAM" dataDxfId="17"/>
    <tableColumn id="3" xr3:uid="{8E82D08C-3184-4932-859D-EC37C7EE9ADC}" name="D1 SPEC" dataDxfId="16"/>
    <tableColumn id="4" xr3:uid="{CA47ADA1-90A0-4249-9D0F-EBD9B49311E0}" name="D1 FISH CT" dataDxfId="15"/>
    <tableColumn id="5" xr3:uid="{2D848EAD-DB05-4395-A66D-3A533A82AE4A}" name="D2 SPEC" dataDxfId="14"/>
    <tableColumn id="6" xr3:uid="{673A0948-FB03-491B-82F2-56165D528355}" name="D2 Fish CT" dataDxfId="13"/>
    <tableColumn id="7" xr3:uid="{8348DE60-4AB1-47C6-BF60-1B8439CA1941}" name="LENGTH D1" dataDxfId="12"/>
    <tableColumn id="8" xr3:uid="{B7EEEB18-2071-4BEC-B754-116778C1988E}" name="LENGTH D2" dataDxfId="11"/>
    <tableColumn id="9" xr3:uid="{CAFAFA59-A535-4985-9048-1934330BD463}" name="TOTAL LENGTH" dataDxfId="10"/>
    <tableColumn id="10" xr3:uid="{265244F3-9419-48CD-BFB5-93562501919F}" name="D1 PTS" dataDxfId="9"/>
    <tableColumn id="11" xr3:uid="{F2F79A82-EDA0-4A29-972B-5C6344131B8A}" name="Day 2 PTS" dataDxfId="8"/>
    <tableColumn id="12" xr3:uid="{45E1AD72-59C5-4E48-9AE4-8894E8F327BB}" name="TOTAL POINTS" dataDxfId="7"/>
  </tableColumns>
  <tableStyleInfo name="REGISTRATION-style" showFirstColumn="0" showLastColumn="0" showRowStripes="1" showColumnStripes="0"/>
</table>
</file>

<file path=xl/tables/table7.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70E8F611-F592-4035-AF55-D0642145A749}" name="Table2" displayName="Table2" ref="A4:E124" totalsRowShown="0" headerRowDxfId="6" tableBorderDxfId="5">
  <autoFilter ref="A4:E124" xr:uid="{70E8F611-F592-4035-AF55-D0642145A749}">
    <filterColumn colId="0" hiddenButton="1"/>
    <filterColumn colId="1" hiddenButton="1"/>
    <filterColumn colId="2" hiddenButton="1"/>
    <filterColumn colId="3" hiddenButton="1"/>
    <filterColumn colId="4" hiddenButton="1"/>
  </autoFilter>
  <sortState xmlns:xlrd2="http://schemas.microsoft.com/office/spreadsheetml/2017/richdata2" ref="A5:E124">
    <sortCondition ref="A4:A124"/>
  </sortState>
  <tableColumns count="5">
    <tableColumn id="1" xr3:uid="{78969F3F-6102-4FB8-B32D-0D4CD9103121}" name="RANK" dataDxfId="4">
      <calculatedColumnFormula>IF(B5="", "", RANK(L5, $L$5:$L$124, 1))</calculatedColumnFormula>
    </tableColumn>
    <tableColumn id="2" xr3:uid="{00013808-9700-4826-8A1C-183E0A3432D2}" name="NAME" dataDxfId="3">
      <calculatedColumnFormula>IF(REGISTRATION!$B2="", "", REGISTRATION!$B2)</calculatedColumnFormula>
    </tableColumn>
    <tableColumn id="3" xr3:uid="{95458ED4-337D-4AEC-B3EA-0BA318947070}" name="TEAM" dataDxfId="2"/>
    <tableColumn id="4" xr3:uid="{0B2E1A97-EA07-44FF-B1A2-A8E4D8F4709E}" name="ZONE TOTAL" dataDxfId="1">
      <calculatedColumnFormula>F5 + G5</calculatedColumnFormula>
    </tableColumn>
    <tableColumn id="5" xr3:uid="{AF096467-640C-4407-A5BE-B5C965325D9A}" name="TIE-BREAKERS" dataDxfId="0">
      <calculatedColumnFormula>IF($B5="", "", H5 &amp; " / " &amp; I5 &amp; " / " &amp; J5 &amp; " / " &amp; K5)</calculatedColumnFormula>
    </tableColumn>
  </tableColumns>
  <tableStyleInfo showFirstColumn="0" showLastColumn="0" showRowStripes="1" showColumnStripes="0"/>
</table>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3.xml.rels><?xml version="1.0" encoding="UTF-8" standalone="yes"?>
<Relationships xmlns="http://schemas.openxmlformats.org/package/2006/relationships"><Relationship Id="rId2" Type="http://schemas.openxmlformats.org/officeDocument/2006/relationships/table" Target="../tables/table1.xml"/><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2" Type="http://schemas.openxmlformats.org/officeDocument/2006/relationships/table" Target="../tables/table2.xml"/><Relationship Id="rId1" Type="http://schemas.openxmlformats.org/officeDocument/2006/relationships/drawing" Target="../drawings/drawing2.xml"/></Relationships>
</file>

<file path=xl/worksheets/_rels/sheet5.xml.rels><?xml version="1.0" encoding="UTF-8" standalone="yes"?>
<Relationships xmlns="http://schemas.openxmlformats.org/package/2006/relationships"><Relationship Id="rId3" Type="http://schemas.openxmlformats.org/officeDocument/2006/relationships/table" Target="../tables/table4.xml"/><Relationship Id="rId2" Type="http://schemas.openxmlformats.org/officeDocument/2006/relationships/table" Target="../tables/table3.xml"/><Relationship Id="rId1" Type="http://schemas.openxmlformats.org/officeDocument/2006/relationships/drawing" Target="../drawings/drawing3.xml"/></Relationships>
</file>

<file path=xl/worksheets/_rels/sheet8.xml.rels><?xml version="1.0" encoding="UTF-8" standalone="yes"?>
<Relationships xmlns="http://schemas.openxmlformats.org/package/2006/relationships"><Relationship Id="rId2" Type="http://schemas.openxmlformats.org/officeDocument/2006/relationships/table" Target="../tables/table6.xml"/><Relationship Id="rId1" Type="http://schemas.openxmlformats.org/officeDocument/2006/relationships/table" Target="../tables/table5.xml"/></Relationships>
</file>

<file path=xl/worksheets/_rels/sheet9.xml.rels><?xml version="1.0" encoding="UTF-8" standalone="yes"?>
<Relationships xmlns="http://schemas.openxmlformats.org/package/2006/relationships"><Relationship Id="rId1" Type="http://schemas.openxmlformats.org/officeDocument/2006/relationships/table" Target="../tables/table7.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3F7EEB-86B1-41D4-AD04-28247AC14E6F}">
  <sheetPr>
    <tabColor rgb="FF7030A0"/>
  </sheetPr>
  <dimension ref="A1:A66"/>
  <sheetViews>
    <sheetView showGridLines="0" showRowColHeaders="0" topLeftCell="A15" workbookViewId="0">
      <selection activeCell="A44" sqref="A44"/>
    </sheetView>
  </sheetViews>
  <sheetFormatPr defaultColWidth="0" defaultRowHeight="28.5" customHeight="1" zeroHeight="1"/>
  <cols>
    <col min="1" max="1" width="210.85546875" style="41" customWidth="1"/>
    <col min="2" max="16384" width="0" style="41" hidden="1"/>
  </cols>
  <sheetData>
    <row r="1" spans="1:1" s="23" customFormat="1" ht="11.25" customHeight="1">
      <c r="A1" s="41"/>
    </row>
    <row r="2" spans="1:1" s="23" customFormat="1" ht="10.5" customHeight="1">
      <c r="A2" s="41"/>
    </row>
    <row r="3" spans="1:1" ht="26.25" customHeight="1">
      <c r="A3" s="42" t="s">
        <v>0</v>
      </c>
    </row>
    <row r="4" spans="1:1" ht="20.25" customHeight="1">
      <c r="A4" s="43"/>
    </row>
    <row r="5" spans="1:1" ht="66.75" customHeight="1">
      <c r="A5" s="149" t="s">
        <v>1</v>
      </c>
    </row>
    <row r="6" spans="1:1" ht="18" customHeight="1">
      <c r="A6" s="44"/>
    </row>
    <row r="7" spans="1:1" ht="28.5" customHeight="1">
      <c r="A7" s="45" t="s">
        <v>2</v>
      </c>
    </row>
    <row r="8" spans="1:1" ht="8.25" customHeight="1">
      <c r="A8" s="45"/>
    </row>
    <row r="9" spans="1:1" ht="28.5" customHeight="1">
      <c r="A9" s="148" t="s">
        <v>3</v>
      </c>
    </row>
    <row r="10" spans="1:1" ht="28.5" customHeight="1">
      <c r="A10" s="148" t="s">
        <v>4</v>
      </c>
    </row>
    <row r="11" spans="1:1" s="23" customFormat="1" ht="28.5" customHeight="1">
      <c r="A11" s="147" t="s">
        <v>5</v>
      </c>
    </row>
    <row r="12" spans="1:1" s="23" customFormat="1" ht="9" customHeight="1">
      <c r="A12" s="26"/>
    </row>
    <row r="13" spans="1:1" s="23" customFormat="1" ht="59.25" customHeight="1">
      <c r="A13" s="102" t="s">
        <v>6</v>
      </c>
    </row>
    <row r="14" spans="1:1" s="23" customFormat="1" ht="48" customHeight="1">
      <c r="A14" s="103" t="s">
        <v>7</v>
      </c>
    </row>
    <row r="15" spans="1:1" s="23" customFormat="1" ht="47.25" customHeight="1">
      <c r="A15" s="103" t="s">
        <v>8</v>
      </c>
    </row>
    <row r="16" spans="1:1" s="23" customFormat="1" ht="47.25" customHeight="1">
      <c r="A16" s="103" t="s">
        <v>9</v>
      </c>
    </row>
    <row r="17" spans="1:1" ht="28.5" customHeight="1">
      <c r="A17" s="46"/>
    </row>
    <row r="18" spans="1:1" ht="28.5" customHeight="1">
      <c r="A18" s="46"/>
    </row>
    <row r="19" spans="1:1" s="23" customFormat="1" ht="28.5" customHeight="1">
      <c r="A19" s="27" t="s">
        <v>10</v>
      </c>
    </row>
    <row r="20" spans="1:1" s="23" customFormat="1" ht="10.5" customHeight="1">
      <c r="A20" s="27"/>
    </row>
    <row r="21" spans="1:1" s="23" customFormat="1" ht="51" customHeight="1">
      <c r="A21" s="107" t="s">
        <v>11</v>
      </c>
    </row>
    <row r="22" spans="1:1" s="23" customFormat="1" ht="60" customHeight="1">
      <c r="A22" s="107" t="s">
        <v>12</v>
      </c>
    </row>
    <row r="23" spans="1:1" s="105" customFormat="1" ht="43.5" customHeight="1">
      <c r="A23" s="104" t="s">
        <v>13</v>
      </c>
    </row>
    <row r="24" spans="1:1" s="105" customFormat="1" ht="42.75" customHeight="1">
      <c r="A24" s="104" t="s">
        <v>14</v>
      </c>
    </row>
    <row r="25" spans="1:1" s="105" customFormat="1" ht="33.75" hidden="1" customHeight="1">
      <c r="A25" s="107" t="s">
        <v>15</v>
      </c>
    </row>
    <row r="26" spans="1:1" s="105" customFormat="1" ht="51" customHeight="1">
      <c r="A26" s="104" t="s">
        <v>16</v>
      </c>
    </row>
    <row r="27" spans="1:1" s="23" customFormat="1" ht="28.5" customHeight="1">
      <c r="A27" s="151"/>
    </row>
    <row r="28" spans="1:1" s="23" customFormat="1" ht="28.5" hidden="1" customHeight="1">
      <c r="A28" s="46"/>
    </row>
    <row r="29" spans="1:1" s="23" customFormat="1" ht="28.5" hidden="1" customHeight="1">
      <c r="A29" s="28" t="s">
        <v>17</v>
      </c>
    </row>
    <row r="30" spans="1:1" s="23" customFormat="1" ht="10.5" hidden="1" customHeight="1">
      <c r="A30" s="28"/>
    </row>
    <row r="31" spans="1:1" s="23" customFormat="1" ht="63" hidden="1" customHeight="1">
      <c r="A31" s="28" t="s">
        <v>18</v>
      </c>
    </row>
    <row r="32" spans="1:1" s="23" customFormat="1" ht="28.5" hidden="1" customHeight="1">
      <c r="A32" s="28"/>
    </row>
    <row r="33" spans="1:1" s="23" customFormat="1" ht="28.5" hidden="1" customHeight="1">
      <c r="A33" s="28"/>
    </row>
    <row r="34" spans="1:1" s="23" customFormat="1" ht="28.5" hidden="1" customHeight="1"/>
    <row r="35" spans="1:1" s="23" customFormat="1" ht="28.5" hidden="1" customHeight="1">
      <c r="A35" s="47"/>
    </row>
    <row r="36" spans="1:1" s="23" customFormat="1" ht="28.5" customHeight="1">
      <c r="A36" s="48">
        <v>4</v>
      </c>
    </row>
    <row r="37" spans="1:1" s="105" customFormat="1" ht="28.5" customHeight="1">
      <c r="A37" s="152" t="s">
        <v>19</v>
      </c>
    </row>
    <row r="38" spans="1:1" s="105" customFormat="1" ht="17.25" customHeight="1">
      <c r="A38" s="150"/>
    </row>
    <row r="39" spans="1:1" s="105" customFormat="1" ht="33.75" customHeight="1">
      <c r="A39" s="153" t="s">
        <v>20</v>
      </c>
    </row>
    <row r="40" spans="1:1" s="105" customFormat="1" ht="36.75" customHeight="1">
      <c r="A40" s="152" t="s">
        <v>21</v>
      </c>
    </row>
    <row r="41" spans="1:1" s="23" customFormat="1" ht="28.5" customHeight="1">
      <c r="A41" s="46"/>
    </row>
    <row r="42" spans="1:1" s="23" customFormat="1" ht="35.25" customHeight="1">
      <c r="A42" s="31" t="s">
        <v>22</v>
      </c>
    </row>
    <row r="43" spans="1:1" s="105" customFormat="1" ht="92.25" customHeight="1">
      <c r="A43" s="106" t="s">
        <v>23</v>
      </c>
    </row>
    <row r="44" spans="1:1" s="23" customFormat="1" ht="53.25" customHeight="1">
      <c r="A44" s="49"/>
    </row>
    <row r="45" spans="1:1" s="23" customFormat="1" ht="28.5" customHeight="1">
      <c r="A45" s="29" t="s">
        <v>24</v>
      </c>
    </row>
    <row r="46" spans="1:1" s="23" customFormat="1" ht="28.5" customHeight="1">
      <c r="A46" s="29"/>
    </row>
    <row r="47" spans="1:1" s="23" customFormat="1" ht="28.5" customHeight="1">
      <c r="A47" s="29" t="s">
        <v>25</v>
      </c>
    </row>
    <row r="48" spans="1:1" s="23" customFormat="1" ht="28.5" customHeight="1">
      <c r="A48" s="29"/>
    </row>
    <row r="49" spans="1:1" s="23" customFormat="1" ht="28.5" customHeight="1">
      <c r="A49" s="29" t="s">
        <v>26</v>
      </c>
    </row>
    <row r="50" spans="1:1" s="23" customFormat="1" ht="28.5" customHeight="1">
      <c r="A50" s="29"/>
    </row>
    <row r="51" spans="1:1" s="23" customFormat="1" ht="28.5" hidden="1" customHeight="1">
      <c r="A51" s="29"/>
    </row>
    <row r="52" spans="1:1" s="23" customFormat="1" ht="28.5" hidden="1" customHeight="1">
      <c r="A52" s="29"/>
    </row>
    <row r="53" spans="1:1" s="23" customFormat="1" ht="28.5" hidden="1" customHeight="1">
      <c r="A53" s="29"/>
    </row>
    <row r="54" spans="1:1" s="23" customFormat="1" ht="28.5" hidden="1" customHeight="1">
      <c r="A54" s="30"/>
    </row>
    <row r="55" spans="1:1" s="23" customFormat="1" ht="28.5" hidden="1" customHeight="1">
      <c r="A55" s="30"/>
    </row>
    <row r="56" spans="1:1" s="23" customFormat="1" ht="28.5" hidden="1" customHeight="1">
      <c r="A56" s="30"/>
    </row>
    <row r="57" spans="1:1" s="23" customFormat="1" ht="28.5" hidden="1" customHeight="1">
      <c r="A57" s="30"/>
    </row>
    <row r="58" spans="1:1" s="23" customFormat="1" ht="28.5" hidden="1" customHeight="1">
      <c r="A58" s="30"/>
    </row>
    <row r="59" spans="1:1" s="23" customFormat="1" ht="28.5" hidden="1" customHeight="1">
      <c r="A59" s="29"/>
    </row>
    <row r="60" spans="1:1" s="23" customFormat="1" ht="28.5" hidden="1" customHeight="1">
      <c r="A60" s="30"/>
    </row>
    <row r="61" spans="1:1" s="23" customFormat="1" ht="28.5" hidden="1" customHeight="1">
      <c r="A61" s="30"/>
    </row>
    <row r="62" spans="1:1" s="23" customFormat="1" ht="28.5" hidden="1" customHeight="1">
      <c r="A62" s="29"/>
    </row>
    <row r="63" spans="1:1" s="23" customFormat="1" ht="28.5" hidden="1" customHeight="1">
      <c r="A63" s="30"/>
    </row>
    <row r="64" spans="1:1" s="23" customFormat="1" ht="28.5" hidden="1" customHeight="1">
      <c r="A64" s="30"/>
    </row>
    <row r="65" spans="1:1" ht="28.5" hidden="1" customHeight="1">
      <c r="A65" s="50"/>
    </row>
    <row r="66" spans="1:1" ht="28.5" hidden="1" customHeight="1">
      <c r="A66" s="51"/>
    </row>
  </sheetData>
  <sheetProtection sheet="1" objects="1" scenarios="1"/>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A438BAE-DCDC-4E35-A857-23FFCEAB218A}">
  <dimension ref="A1:D147"/>
  <sheetViews>
    <sheetView showGridLines="0" tabSelected="1" workbookViewId="0">
      <extLst>
        <ext xmlns:xlsdti="http://schemas.microsoft.com/office/spreadsheetml/2023/showDataTypeIcons" uri="{77bfe23e-c014-4d31-8a63-9c772dbf06b6}">
          <xlsdti:showDataTypeIcons visible="0"/>
        </ext>
      </extLst>
    </sheetView>
  </sheetViews>
  <sheetFormatPr defaultColWidth="0" defaultRowHeight="21" customHeight="1" zeroHeight="1"/>
  <cols>
    <col min="1" max="1" width="27.85546875" customWidth="1"/>
    <col min="2" max="2" width="21.42578125" customWidth="1"/>
    <col min="3" max="3" width="11.85546875" bestFit="1" customWidth="1"/>
    <col min="4" max="4" width="16.140625" customWidth="1"/>
    <col min="5" max="5" width="9.140625" customWidth="1"/>
  </cols>
  <sheetData>
    <row r="1" spans="1:4" ht="21" customHeight="1">
      <c r="A1" s="307"/>
      <c r="B1" s="307"/>
      <c r="C1" s="307"/>
      <c r="D1" s="307"/>
    </row>
    <row r="2" spans="1:4" ht="21" customHeight="1">
      <c r="A2" s="305"/>
      <c r="B2" s="305"/>
      <c r="C2" s="306"/>
      <c r="D2" s="306"/>
    </row>
    <row r="3" spans="1:4" ht="21" customHeight="1">
      <c r="A3" s="305"/>
      <c r="B3" s="305"/>
      <c r="C3" s="306"/>
      <c r="D3" s="306"/>
    </row>
    <row r="4" spans="1:4" ht="21" customHeight="1">
      <c r="A4" s="305"/>
      <c r="B4" s="305"/>
      <c r="C4" s="306"/>
      <c r="D4" s="306"/>
    </row>
    <row r="5" spans="1:4" ht="21" customHeight="1">
      <c r="A5" s="305"/>
      <c r="B5" s="305"/>
      <c r="C5" s="306"/>
      <c r="D5" s="306"/>
    </row>
    <row r="6" spans="1:4" ht="21" customHeight="1">
      <c r="A6" s="305"/>
      <c r="B6" s="305"/>
      <c r="C6" s="306"/>
      <c r="D6" s="306"/>
    </row>
    <row r="7" spans="1:4" ht="21" customHeight="1">
      <c r="A7" s="305"/>
      <c r="B7" s="305"/>
      <c r="C7" s="306"/>
      <c r="D7" s="306"/>
    </row>
    <row r="8" spans="1:4" ht="21" customHeight="1">
      <c r="A8" s="305"/>
      <c r="B8" s="305"/>
      <c r="C8" s="306"/>
      <c r="D8" s="306"/>
    </row>
    <row r="9" spans="1:4" ht="21" customHeight="1">
      <c r="A9" s="305"/>
      <c r="B9" s="305"/>
      <c r="C9" s="306"/>
      <c r="D9" s="306"/>
    </row>
    <row r="10" spans="1:4" ht="21" customHeight="1">
      <c r="A10" s="305"/>
      <c r="B10" s="305"/>
      <c r="C10" s="306"/>
      <c r="D10" s="306"/>
    </row>
    <row r="11" spans="1:4" ht="21" customHeight="1">
      <c r="A11" s="305"/>
      <c r="B11" s="305"/>
      <c r="C11" s="306"/>
      <c r="D11" s="306"/>
    </row>
    <row r="12" spans="1:4" ht="21" customHeight="1">
      <c r="A12" s="305"/>
      <c r="B12" s="305"/>
      <c r="C12" s="306"/>
      <c r="D12" s="306"/>
    </row>
    <row r="13" spans="1:4" ht="21" customHeight="1">
      <c r="A13" s="305"/>
      <c r="B13" s="305"/>
      <c r="C13" s="306"/>
      <c r="D13" s="306"/>
    </row>
    <row r="14" spans="1:4" ht="21" customHeight="1">
      <c r="A14" s="305"/>
      <c r="B14" s="305"/>
      <c r="C14" s="306"/>
      <c r="D14" s="306"/>
    </row>
    <row r="15" spans="1:4" ht="21" customHeight="1">
      <c r="A15" s="305"/>
      <c r="B15" s="305"/>
      <c r="C15" s="306"/>
      <c r="D15" s="306"/>
    </row>
    <row r="16" spans="1:4" ht="21" customHeight="1">
      <c r="A16" s="305"/>
      <c r="B16" s="305"/>
      <c r="C16" s="306"/>
      <c r="D16" s="306"/>
    </row>
    <row r="17" spans="1:4" ht="21" customHeight="1">
      <c r="A17" s="305"/>
      <c r="B17" s="305"/>
      <c r="C17" s="306"/>
      <c r="D17" s="306"/>
    </row>
    <row r="18" spans="1:4" ht="21" customHeight="1">
      <c r="A18" s="305"/>
      <c r="B18" s="305"/>
      <c r="C18" s="306"/>
      <c r="D18" s="306"/>
    </row>
    <row r="19" spans="1:4" ht="21" customHeight="1">
      <c r="A19" s="305"/>
      <c r="B19" s="305"/>
      <c r="C19" s="306"/>
      <c r="D19" s="306"/>
    </row>
    <row r="20" spans="1:4" ht="21" customHeight="1">
      <c r="A20" s="305"/>
      <c r="B20" s="305"/>
      <c r="C20" s="306"/>
      <c r="D20" s="306"/>
    </row>
    <row r="21" spans="1:4" ht="21" customHeight="1">
      <c r="A21" s="305"/>
      <c r="B21" s="305"/>
      <c r="C21" s="306"/>
      <c r="D21" s="306"/>
    </row>
    <row r="22" spans="1:4" ht="21" customHeight="1">
      <c r="A22" s="305"/>
      <c r="B22" s="305"/>
      <c r="C22" s="306"/>
      <c r="D22" s="306"/>
    </row>
    <row r="23" spans="1:4" ht="21" customHeight="1">
      <c r="A23" s="305"/>
      <c r="B23" s="305"/>
      <c r="C23" s="306"/>
      <c r="D23" s="306"/>
    </row>
    <row r="24" spans="1:4" ht="21" customHeight="1">
      <c r="A24" s="305"/>
      <c r="B24" s="305"/>
      <c r="C24" s="306"/>
      <c r="D24" s="306"/>
    </row>
    <row r="25" spans="1:4" ht="21" customHeight="1">
      <c r="A25" s="305"/>
      <c r="B25" s="305"/>
      <c r="C25" s="306"/>
      <c r="D25" s="306"/>
    </row>
    <row r="26" spans="1:4" ht="21" customHeight="1">
      <c r="A26" s="305"/>
      <c r="B26" s="305"/>
      <c r="C26" s="306"/>
      <c r="D26" s="306"/>
    </row>
    <row r="27" spans="1:4" ht="21" customHeight="1">
      <c r="A27" s="305"/>
      <c r="B27" s="305"/>
      <c r="C27" s="306"/>
      <c r="D27" s="306"/>
    </row>
    <row r="28" spans="1:4" ht="21" customHeight="1">
      <c r="A28" s="305"/>
      <c r="B28" s="305"/>
      <c r="C28" s="306"/>
      <c r="D28" s="306"/>
    </row>
    <row r="29" spans="1:4" ht="21" customHeight="1">
      <c r="A29" s="305"/>
      <c r="B29" s="305"/>
      <c r="C29" s="306"/>
      <c r="D29" s="306"/>
    </row>
    <row r="30" spans="1:4" ht="21" customHeight="1">
      <c r="A30" s="305"/>
      <c r="B30" s="305"/>
      <c r="C30" s="306"/>
      <c r="D30" s="306"/>
    </row>
    <row r="31" spans="1:4" ht="21" customHeight="1">
      <c r="A31" s="305"/>
      <c r="B31" s="305"/>
      <c r="C31" s="306"/>
      <c r="D31" s="306"/>
    </row>
    <row r="32" spans="1:4" ht="21" customHeight="1">
      <c r="A32" s="305"/>
      <c r="B32" s="305"/>
      <c r="C32" s="306"/>
      <c r="D32" s="306"/>
    </row>
    <row r="33" spans="1:4" ht="21" customHeight="1">
      <c r="A33" s="305"/>
      <c r="B33" s="305"/>
      <c r="C33" s="306"/>
      <c r="D33" s="306"/>
    </row>
    <row r="34" spans="1:4" ht="21" customHeight="1">
      <c r="A34" s="305"/>
      <c r="B34" s="305"/>
      <c r="C34" s="306"/>
      <c r="D34" s="306"/>
    </row>
    <row r="35" spans="1:4" ht="21" customHeight="1">
      <c r="A35" s="305"/>
      <c r="B35" s="305"/>
      <c r="C35" s="306"/>
      <c r="D35" s="306"/>
    </row>
    <row r="36" spans="1:4" ht="21" customHeight="1">
      <c r="A36" s="305"/>
      <c r="B36" s="305"/>
      <c r="C36" s="306"/>
      <c r="D36" s="306"/>
    </row>
    <row r="37" spans="1:4" ht="21" customHeight="1">
      <c r="A37" s="305"/>
      <c r="B37" s="305"/>
      <c r="C37" s="306"/>
      <c r="D37" s="306"/>
    </row>
    <row r="38" spans="1:4" ht="21" customHeight="1">
      <c r="A38" s="305"/>
      <c r="B38" s="305"/>
      <c r="C38" s="306"/>
      <c r="D38" s="306"/>
    </row>
    <row r="39" spans="1:4" ht="21" customHeight="1">
      <c r="A39" s="305"/>
      <c r="B39" s="305"/>
      <c r="C39" s="306"/>
      <c r="D39" s="306"/>
    </row>
    <row r="40" spans="1:4" ht="21" customHeight="1">
      <c r="A40" s="305"/>
      <c r="B40" s="305"/>
      <c r="C40" s="306"/>
      <c r="D40" s="306"/>
    </row>
    <row r="41" spans="1:4" ht="21" customHeight="1">
      <c r="A41" s="306"/>
      <c r="B41" s="306"/>
      <c r="C41" s="306"/>
      <c r="D41" s="306"/>
    </row>
    <row r="42" spans="1:4" ht="21" customHeight="1">
      <c r="A42" s="306"/>
      <c r="B42" s="306"/>
      <c r="C42" s="306"/>
      <c r="D42" s="306"/>
    </row>
    <row r="43" spans="1:4" ht="21" customHeight="1">
      <c r="A43" s="305"/>
      <c r="B43" s="305"/>
      <c r="C43" s="306"/>
      <c r="D43" s="306"/>
    </row>
    <row r="44" spans="1:4" ht="21" customHeight="1">
      <c r="A44" s="305"/>
      <c r="B44" s="305"/>
      <c r="C44" s="306"/>
      <c r="D44" s="306"/>
    </row>
    <row r="45" spans="1:4" ht="21" customHeight="1">
      <c r="A45" s="305"/>
      <c r="B45" s="305"/>
      <c r="C45" s="306"/>
      <c r="D45" s="306"/>
    </row>
    <row r="46" spans="1:4" ht="21" customHeight="1">
      <c r="A46" s="305"/>
      <c r="B46" s="305"/>
      <c r="C46" s="306"/>
      <c r="D46" s="306"/>
    </row>
    <row r="47" spans="1:4" ht="21" customHeight="1">
      <c r="A47" s="302"/>
      <c r="B47" s="302"/>
      <c r="C47" s="302"/>
      <c r="D47" s="302"/>
    </row>
    <row r="48" spans="1:4" ht="21" customHeight="1">
      <c r="A48" s="302"/>
      <c r="B48" s="302"/>
      <c r="C48" s="302"/>
      <c r="D48" s="302"/>
    </row>
    <row r="49" spans="1:4" ht="21" customHeight="1">
      <c r="A49" s="302"/>
      <c r="B49" s="302"/>
      <c r="C49" s="302"/>
      <c r="D49" s="302"/>
    </row>
    <row r="50" spans="1:4" ht="21" customHeight="1">
      <c r="A50" s="302"/>
      <c r="B50" s="302"/>
      <c r="C50" s="302"/>
      <c r="D50" s="302"/>
    </row>
    <row r="51" spans="1:4" ht="21" customHeight="1">
      <c r="A51" s="302"/>
      <c r="B51" s="302"/>
      <c r="C51" s="302"/>
      <c r="D51" s="302"/>
    </row>
    <row r="52" spans="1:4" ht="21" customHeight="1">
      <c r="A52" s="302"/>
      <c r="B52" s="302"/>
      <c r="C52" s="302"/>
      <c r="D52" s="302"/>
    </row>
    <row r="53" spans="1:4" ht="21" customHeight="1">
      <c r="A53" s="302"/>
      <c r="B53" s="302"/>
      <c r="C53" s="302"/>
      <c r="D53" s="302"/>
    </row>
    <row r="54" spans="1:4" ht="21" customHeight="1">
      <c r="A54" s="302"/>
      <c r="B54" s="302"/>
      <c r="C54" s="302"/>
      <c r="D54" s="302"/>
    </row>
    <row r="55" spans="1:4" ht="21" customHeight="1">
      <c r="A55" s="302"/>
      <c r="B55" s="302"/>
      <c r="C55" s="302"/>
      <c r="D55" s="302"/>
    </row>
    <row r="56" spans="1:4" ht="21" customHeight="1">
      <c r="A56" s="302"/>
      <c r="B56" s="302"/>
      <c r="C56" s="302"/>
      <c r="D56" s="302"/>
    </row>
    <row r="57" spans="1:4" ht="21" customHeight="1">
      <c r="A57" s="302"/>
      <c r="B57" s="302"/>
      <c r="C57" s="302"/>
      <c r="D57" s="302"/>
    </row>
    <row r="58" spans="1:4" ht="21" customHeight="1">
      <c r="A58" s="302"/>
      <c r="B58" s="302"/>
      <c r="C58" s="302"/>
      <c r="D58" s="302"/>
    </row>
    <row r="59" spans="1:4" ht="21" customHeight="1">
      <c r="A59" s="302"/>
      <c r="B59" s="302"/>
      <c r="C59" s="302"/>
      <c r="D59" s="302"/>
    </row>
    <row r="60" spans="1:4" ht="21" customHeight="1">
      <c r="A60" s="302"/>
      <c r="B60" s="302"/>
      <c r="C60" s="302"/>
      <c r="D60" s="302"/>
    </row>
    <row r="61" spans="1:4" ht="21" customHeight="1">
      <c r="A61" s="302"/>
      <c r="B61" s="302"/>
      <c r="C61" s="302"/>
      <c r="D61" s="302"/>
    </row>
    <row r="62" spans="1:4" ht="21" customHeight="1">
      <c r="A62" s="302"/>
      <c r="B62" s="302"/>
      <c r="C62" s="302"/>
      <c r="D62" s="302"/>
    </row>
    <row r="63" spans="1:4" ht="21" customHeight="1">
      <c r="A63" s="302"/>
      <c r="B63" s="302"/>
      <c r="C63" s="302"/>
      <c r="D63" s="302"/>
    </row>
    <row r="64" spans="1:4" ht="21" customHeight="1">
      <c r="A64" s="302"/>
      <c r="B64" s="302"/>
      <c r="C64" s="302"/>
      <c r="D64" s="302"/>
    </row>
    <row r="65" spans="1:4" ht="21" customHeight="1">
      <c r="A65" s="302"/>
      <c r="B65" s="302"/>
      <c r="C65" s="302"/>
      <c r="D65" s="302"/>
    </row>
    <row r="66" spans="1:4" ht="21" customHeight="1">
      <c r="A66" s="302"/>
      <c r="B66" s="302"/>
      <c r="C66" s="302"/>
      <c r="D66" s="302"/>
    </row>
    <row r="67" spans="1:4" ht="21" customHeight="1">
      <c r="A67" s="302"/>
      <c r="B67" s="302"/>
      <c r="C67" s="302"/>
      <c r="D67" s="302"/>
    </row>
    <row r="68" spans="1:4" ht="21" customHeight="1">
      <c r="A68" s="302"/>
      <c r="B68" s="302"/>
      <c r="C68" s="302"/>
      <c r="D68" s="302"/>
    </row>
    <row r="69" spans="1:4" ht="21" customHeight="1">
      <c r="A69" s="302"/>
      <c r="B69" s="302"/>
      <c r="C69" s="302"/>
      <c r="D69" s="302"/>
    </row>
    <row r="70" spans="1:4" ht="21" customHeight="1">
      <c r="A70" s="302"/>
      <c r="B70" s="302"/>
      <c r="C70" s="302"/>
      <c r="D70" s="302"/>
    </row>
    <row r="71" spans="1:4" ht="21" customHeight="1">
      <c r="A71" s="302"/>
      <c r="B71" s="302"/>
      <c r="C71" s="302"/>
      <c r="D71" s="302"/>
    </row>
    <row r="72" spans="1:4" ht="21" customHeight="1">
      <c r="A72" s="302"/>
      <c r="B72" s="302"/>
      <c r="C72" s="302"/>
      <c r="D72" s="302"/>
    </row>
    <row r="73" spans="1:4" ht="21" customHeight="1">
      <c r="A73" s="302"/>
      <c r="B73" s="302"/>
      <c r="C73" s="302"/>
      <c r="D73" s="302"/>
    </row>
    <row r="74" spans="1:4" ht="21" customHeight="1">
      <c r="A74" s="302"/>
      <c r="B74" s="302"/>
      <c r="C74" s="302"/>
      <c r="D74" s="302"/>
    </row>
    <row r="75" spans="1:4" ht="21" customHeight="1">
      <c r="A75" s="302"/>
      <c r="B75" s="302"/>
      <c r="C75" s="302"/>
      <c r="D75" s="302"/>
    </row>
    <row r="76" spans="1:4" ht="21" customHeight="1">
      <c r="A76" s="302"/>
      <c r="B76" s="302"/>
      <c r="C76" s="302"/>
      <c r="D76" s="302"/>
    </row>
    <row r="77" spans="1:4" ht="21" customHeight="1">
      <c r="A77" s="302"/>
      <c r="B77" s="302"/>
      <c r="C77" s="302"/>
      <c r="D77" s="302"/>
    </row>
    <row r="78" spans="1:4" ht="21" customHeight="1">
      <c r="A78" s="302"/>
      <c r="B78" s="302"/>
      <c r="C78" s="302"/>
      <c r="D78" s="302"/>
    </row>
    <row r="79" spans="1:4" ht="21" customHeight="1">
      <c r="A79" s="302"/>
      <c r="B79" s="302"/>
      <c r="C79" s="302"/>
      <c r="D79" s="302"/>
    </row>
    <row r="80" spans="1:4" ht="21" customHeight="1">
      <c r="A80" s="302"/>
      <c r="B80" s="302"/>
      <c r="C80" s="302"/>
      <c r="D80" s="302"/>
    </row>
    <row r="81" spans="1:4" ht="21" customHeight="1">
      <c r="A81" s="302"/>
      <c r="B81" s="302"/>
      <c r="C81" s="302"/>
      <c r="D81" s="302"/>
    </row>
    <row r="82" spans="1:4" ht="21" customHeight="1">
      <c r="A82" s="302"/>
      <c r="B82" s="302"/>
      <c r="C82" s="302"/>
      <c r="D82" s="302"/>
    </row>
    <row r="83" spans="1:4" ht="21" customHeight="1">
      <c r="A83" s="302"/>
      <c r="B83" s="302"/>
      <c r="C83" s="302"/>
      <c r="D83" s="302"/>
    </row>
    <row r="84" spans="1:4" ht="21" customHeight="1">
      <c r="A84" s="302"/>
      <c r="B84" s="302"/>
      <c r="C84" s="302"/>
      <c r="D84" s="302"/>
    </row>
    <row r="85" spans="1:4" ht="21" customHeight="1">
      <c r="A85" s="302"/>
      <c r="B85" s="302"/>
      <c r="C85" s="302"/>
      <c r="D85" s="302"/>
    </row>
    <row r="86" spans="1:4" ht="21" customHeight="1">
      <c r="A86" s="302"/>
      <c r="B86" s="302"/>
      <c r="C86" s="302"/>
      <c r="D86" s="302"/>
    </row>
    <row r="87" spans="1:4" ht="21" customHeight="1">
      <c r="A87" s="302"/>
      <c r="B87" s="302"/>
      <c r="C87" s="302"/>
      <c r="D87" s="302"/>
    </row>
    <row r="88" spans="1:4" ht="21" customHeight="1">
      <c r="A88" s="302"/>
      <c r="B88" s="302"/>
      <c r="C88" s="302"/>
      <c r="D88" s="302"/>
    </row>
    <row r="89" spans="1:4" ht="21" customHeight="1">
      <c r="A89" s="302"/>
      <c r="B89" s="302"/>
      <c r="C89" s="302"/>
      <c r="D89" s="302"/>
    </row>
    <row r="90" spans="1:4" ht="21" customHeight="1">
      <c r="A90" s="302"/>
      <c r="B90" s="302"/>
      <c r="C90" s="302"/>
      <c r="D90" s="302"/>
    </row>
    <row r="91" spans="1:4" ht="21" customHeight="1">
      <c r="A91" s="302"/>
      <c r="B91" s="302"/>
      <c r="C91" s="302"/>
      <c r="D91" s="302"/>
    </row>
    <row r="92" spans="1:4" ht="21" customHeight="1">
      <c r="A92" s="302"/>
      <c r="B92" s="302"/>
      <c r="C92" s="302"/>
      <c r="D92" s="302"/>
    </row>
    <row r="93" spans="1:4" ht="21" customHeight="1">
      <c r="A93" s="302"/>
      <c r="B93" s="302"/>
      <c r="C93" s="302"/>
      <c r="D93" s="302"/>
    </row>
    <row r="94" spans="1:4" ht="21" customHeight="1">
      <c r="A94" s="302"/>
      <c r="B94" s="302"/>
      <c r="C94" s="302"/>
      <c r="D94" s="302"/>
    </row>
    <row r="95" spans="1:4" ht="21" customHeight="1">
      <c r="A95" s="302"/>
      <c r="B95" s="302"/>
      <c r="C95" s="302"/>
      <c r="D95" s="302"/>
    </row>
    <row r="96" spans="1:4" ht="21" customHeight="1">
      <c r="A96" s="302"/>
      <c r="B96" s="302"/>
      <c r="C96" s="302"/>
      <c r="D96" s="302"/>
    </row>
    <row r="97" spans="1:4" ht="21" customHeight="1">
      <c r="A97" s="302"/>
      <c r="B97" s="302"/>
      <c r="C97" s="302"/>
      <c r="D97" s="302"/>
    </row>
    <row r="98" spans="1:4" ht="21" customHeight="1">
      <c r="A98" s="302"/>
      <c r="B98" s="302"/>
      <c r="C98" s="302"/>
      <c r="D98" s="302"/>
    </row>
    <row r="99" spans="1:4" ht="21" customHeight="1">
      <c r="A99" s="302"/>
      <c r="B99" s="302"/>
      <c r="C99" s="302"/>
      <c r="D99" s="302"/>
    </row>
    <row r="100" spans="1:4" ht="21" customHeight="1">
      <c r="A100" s="302"/>
      <c r="B100" s="302"/>
      <c r="C100" s="302"/>
      <c r="D100" s="302"/>
    </row>
    <row r="101" spans="1:4" ht="21" customHeight="1">
      <c r="A101" s="302"/>
      <c r="B101" s="302"/>
      <c r="C101" s="302"/>
      <c r="D101" s="302"/>
    </row>
    <row r="102" spans="1:4" ht="21" customHeight="1">
      <c r="A102" s="302"/>
      <c r="B102" s="302"/>
      <c r="C102" s="302"/>
      <c r="D102" s="302"/>
    </row>
    <row r="103" spans="1:4" ht="21" customHeight="1">
      <c r="A103" s="302"/>
      <c r="B103" s="302"/>
      <c r="C103" s="302"/>
      <c r="D103" s="302"/>
    </row>
    <row r="104" spans="1:4" ht="21" customHeight="1">
      <c r="A104" s="302"/>
      <c r="B104" s="302"/>
      <c r="C104" s="302"/>
      <c r="D104" s="302"/>
    </row>
    <row r="105" spans="1:4" ht="21" customHeight="1">
      <c r="A105" s="302"/>
      <c r="B105" s="302"/>
      <c r="C105" s="302"/>
      <c r="D105" s="302"/>
    </row>
    <row r="106" spans="1:4" ht="21" customHeight="1">
      <c r="A106" s="302"/>
      <c r="B106" s="302"/>
      <c r="C106" s="302"/>
      <c r="D106" s="302"/>
    </row>
    <row r="107" spans="1:4" ht="21" customHeight="1">
      <c r="A107" s="302"/>
      <c r="B107" s="302"/>
      <c r="C107" s="302"/>
      <c r="D107" s="302"/>
    </row>
    <row r="108" spans="1:4" ht="21" customHeight="1">
      <c r="A108" s="302"/>
      <c r="B108" s="302"/>
      <c r="C108" s="302"/>
      <c r="D108" s="302"/>
    </row>
    <row r="109" spans="1:4" ht="21" customHeight="1">
      <c r="A109" s="302"/>
      <c r="B109" s="302"/>
      <c r="C109" s="302"/>
      <c r="D109" s="302"/>
    </row>
    <row r="110" spans="1:4" ht="21" customHeight="1">
      <c r="A110" s="302"/>
      <c r="B110" s="302"/>
      <c r="C110" s="302"/>
      <c r="D110" s="302"/>
    </row>
    <row r="111" spans="1:4" ht="21" customHeight="1">
      <c r="A111" s="302"/>
      <c r="B111" s="302"/>
      <c r="C111" s="302"/>
      <c r="D111" s="302"/>
    </row>
    <row r="112" spans="1:4" ht="21" customHeight="1">
      <c r="A112" s="302"/>
      <c r="B112" s="302"/>
      <c r="C112" s="302"/>
      <c r="D112" s="302"/>
    </row>
    <row r="113" spans="1:4" ht="21" customHeight="1">
      <c r="A113" s="302"/>
      <c r="B113" s="302"/>
      <c r="C113" s="302"/>
      <c r="D113" s="302"/>
    </row>
    <row r="114" spans="1:4" ht="21" customHeight="1">
      <c r="A114" s="302"/>
      <c r="B114" s="302"/>
      <c r="C114" s="302"/>
      <c r="D114" s="302"/>
    </row>
    <row r="115" spans="1:4" ht="21" customHeight="1">
      <c r="A115" s="302"/>
      <c r="B115" s="302"/>
      <c r="C115" s="302"/>
      <c r="D115" s="302"/>
    </row>
    <row r="116" spans="1:4" ht="21" customHeight="1">
      <c r="A116" s="302"/>
      <c r="B116" s="302"/>
      <c r="C116" s="302"/>
      <c r="D116" s="302"/>
    </row>
    <row r="117" spans="1:4" ht="21" customHeight="1">
      <c r="A117" s="302"/>
      <c r="B117" s="302"/>
      <c r="C117" s="302"/>
      <c r="D117" s="302"/>
    </row>
    <row r="118" spans="1:4" ht="21" customHeight="1">
      <c r="A118" s="302"/>
      <c r="B118" s="302"/>
      <c r="C118" s="302"/>
      <c r="D118" s="302"/>
    </row>
    <row r="119" spans="1:4" ht="21" customHeight="1">
      <c r="A119" s="302"/>
      <c r="B119" s="302"/>
      <c r="C119" s="302"/>
      <c r="D119" s="302"/>
    </row>
    <row r="120" spans="1:4" ht="21" customHeight="1">
      <c r="A120" s="302"/>
      <c r="B120" s="302"/>
      <c r="C120" s="302"/>
      <c r="D120" s="302"/>
    </row>
    <row r="121" spans="1:4" ht="21" customHeight="1">
      <c r="A121" s="302"/>
      <c r="B121" s="302"/>
      <c r="C121" s="302"/>
      <c r="D121" s="302"/>
    </row>
    <row r="122" spans="1:4" ht="21" customHeight="1">
      <c r="A122" s="302"/>
      <c r="B122" s="302"/>
      <c r="C122" s="302"/>
      <c r="D122" s="302"/>
    </row>
    <row r="123" spans="1:4" ht="21" customHeight="1">
      <c r="A123" s="302"/>
      <c r="B123" s="302"/>
      <c r="C123" s="302"/>
      <c r="D123" s="302"/>
    </row>
    <row r="124" spans="1:4" ht="21" customHeight="1">
      <c r="A124" s="302"/>
      <c r="B124" s="302"/>
      <c r="C124" s="302"/>
      <c r="D124" s="302"/>
    </row>
    <row r="125" spans="1:4" ht="21" customHeight="1">
      <c r="A125" s="302"/>
      <c r="B125" s="302"/>
      <c r="C125" s="302"/>
      <c r="D125" s="302"/>
    </row>
    <row r="126" spans="1:4" ht="21" customHeight="1">
      <c r="A126" s="302"/>
      <c r="B126" s="302"/>
      <c r="C126" s="302"/>
      <c r="D126" s="302"/>
    </row>
    <row r="127" spans="1:4" ht="21" customHeight="1">
      <c r="A127" s="302"/>
      <c r="B127" s="302"/>
      <c r="C127" s="302"/>
      <c r="D127" s="302"/>
    </row>
    <row r="128" spans="1:4" ht="21" customHeight="1">
      <c r="A128" s="302"/>
      <c r="B128" s="302"/>
      <c r="C128" s="302"/>
      <c r="D128" s="302"/>
    </row>
    <row r="129" spans="1:4" ht="21" customHeight="1">
      <c r="A129" s="302"/>
      <c r="B129" s="302"/>
      <c r="C129" s="302"/>
      <c r="D129" s="302"/>
    </row>
    <row r="130" spans="1:4" ht="21" customHeight="1">
      <c r="A130" s="302"/>
      <c r="B130" s="302"/>
      <c r="C130" s="302"/>
      <c r="D130" s="302"/>
    </row>
    <row r="131" spans="1:4" ht="21" customHeight="1">
      <c r="A131" s="302"/>
      <c r="B131" s="302"/>
      <c r="C131" s="302"/>
      <c r="D131" s="302"/>
    </row>
    <row r="132" spans="1:4" ht="21" customHeight="1">
      <c r="A132" s="302"/>
      <c r="B132" s="302"/>
      <c r="C132" s="302"/>
      <c r="D132" s="302"/>
    </row>
    <row r="133" spans="1:4" ht="21" customHeight="1">
      <c r="A133" s="302"/>
      <c r="B133" s="302"/>
      <c r="C133" s="302"/>
      <c r="D133" s="302"/>
    </row>
    <row r="134" spans="1:4" ht="21" customHeight="1">
      <c r="A134" s="302"/>
      <c r="B134" s="302"/>
      <c r="C134" s="302"/>
      <c r="D134" s="302"/>
    </row>
    <row r="135" spans="1:4" ht="21" customHeight="1">
      <c r="A135" s="302"/>
      <c r="B135" s="302"/>
      <c r="C135" s="302"/>
      <c r="D135" s="302"/>
    </row>
    <row r="136" spans="1:4" ht="21" customHeight="1">
      <c r="A136" s="302"/>
      <c r="B136" s="302"/>
      <c r="C136" s="302"/>
      <c r="D136" s="302"/>
    </row>
    <row r="137" spans="1:4" ht="21" customHeight="1">
      <c r="A137" s="302"/>
      <c r="B137" s="302"/>
      <c r="C137" s="302"/>
      <c r="D137" s="302"/>
    </row>
    <row r="138" spans="1:4" ht="21" customHeight="1">
      <c r="A138" s="302"/>
      <c r="B138" s="302"/>
      <c r="C138" s="302"/>
      <c r="D138" s="302"/>
    </row>
    <row r="139" spans="1:4" ht="21" customHeight="1">
      <c r="A139" s="302"/>
      <c r="B139" s="302"/>
      <c r="C139" s="302"/>
      <c r="D139" s="302"/>
    </row>
    <row r="140" spans="1:4" ht="21" customHeight="1">
      <c r="A140" s="302"/>
      <c r="B140" s="302"/>
      <c r="C140" s="302"/>
      <c r="D140" s="302"/>
    </row>
    <row r="141" spans="1:4" ht="21" customHeight="1">
      <c r="A141" s="302"/>
      <c r="B141" s="302"/>
      <c r="C141" s="302"/>
      <c r="D141" s="302"/>
    </row>
    <row r="142" spans="1:4" ht="21" customHeight="1">
      <c r="A142" s="302"/>
      <c r="B142" s="302"/>
      <c r="C142" s="302"/>
      <c r="D142" s="302"/>
    </row>
    <row r="143" spans="1:4" ht="21" customHeight="1">
      <c r="A143" s="302"/>
      <c r="B143" s="302"/>
      <c r="C143" s="302"/>
      <c r="D143" s="302"/>
    </row>
    <row r="144" spans="1:4" ht="21" customHeight="1">
      <c r="A144" s="302"/>
      <c r="B144" s="302"/>
      <c r="C144" s="302"/>
      <c r="D144" s="302"/>
    </row>
    <row r="145" spans="1:4" ht="21" customHeight="1">
      <c r="A145" s="302"/>
      <c r="B145" s="302"/>
      <c r="C145" s="302"/>
      <c r="D145" s="302"/>
    </row>
    <row r="146" spans="1:4" ht="21" customHeight="1">
      <c r="A146" s="302"/>
      <c r="B146" s="302"/>
      <c r="C146" s="302"/>
      <c r="D146" s="302"/>
    </row>
    <row r="147" spans="1:4" ht="21" customHeight="1">
      <c r="A147" s="302"/>
      <c r="B147" s="302"/>
      <c r="C147" s="302"/>
      <c r="D147" s="302"/>
    </row>
  </sheetData>
  <sheetProtection sheet="1" objects="1" scenarios="1"/>
  <protectedRanges>
    <protectedRange sqref="A1:D129" name="competitor list"/>
  </protectedRange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92D050"/>
    <outlinePr summaryBelow="0" summaryRight="0"/>
  </sheetPr>
  <dimension ref="A1:Z149"/>
  <sheetViews>
    <sheetView showGridLines="0" workbookViewId="0">
      <pane ySplit="1" topLeftCell="A2" activePane="bottomLeft" state="frozen"/>
      <selection pane="bottomLeft" activeCell="Q4" sqref="Q4:Q5"/>
    </sheetView>
  </sheetViews>
  <sheetFormatPr defaultColWidth="0" defaultRowHeight="27.75" customHeight="1" zeroHeight="1"/>
  <cols>
    <col min="1" max="1" width="9.5703125" style="132" customWidth="1"/>
    <col min="2" max="3" width="36.7109375" style="132" customWidth="1"/>
    <col min="4" max="4" width="14.28515625" style="129" customWidth="1"/>
    <col min="5" max="12" width="9.140625" style="25" hidden="1" customWidth="1"/>
    <col min="13" max="13" width="40" style="128" customWidth="1"/>
    <col min="14" max="14" width="18" style="133" hidden="1" customWidth="1"/>
    <col min="15" max="15" width="8.42578125" style="25" customWidth="1"/>
    <col min="16" max="16" width="1.42578125" style="88" customWidth="1"/>
    <col min="17" max="17" width="69.42578125" style="25" customWidth="1"/>
    <col min="18" max="26" width="36.7109375" style="25" hidden="1" customWidth="1"/>
    <col min="27" max="16384" width="0" style="25" hidden="1"/>
  </cols>
  <sheetData>
    <row r="1" spans="1:18" ht="27.75" customHeight="1">
      <c r="A1" s="134" t="s">
        <v>27</v>
      </c>
      <c r="B1" s="134" t="s">
        <v>28</v>
      </c>
      <c r="C1" s="134" t="s">
        <v>29</v>
      </c>
      <c r="D1" s="135" t="s">
        <v>30</v>
      </c>
      <c r="E1" s="136"/>
      <c r="F1" s="136"/>
      <c r="G1" s="136"/>
      <c r="H1" s="136"/>
      <c r="I1" s="136"/>
      <c r="J1" s="136"/>
      <c r="K1" s="136"/>
      <c r="L1" s="136"/>
      <c r="M1" s="136"/>
      <c r="N1" s="137" t="s">
        <v>31</v>
      </c>
      <c r="O1" s="135" t="s">
        <v>32</v>
      </c>
      <c r="Q1" s="136"/>
    </row>
    <row r="2" spans="1:18" ht="27.75" customHeight="1">
      <c r="A2" s="130">
        <v>1</v>
      </c>
      <c r="B2" s="143" t="str">
        <f>IF(DATA_IMPORT!A2="", "", DATA_IMPORT!A2)</f>
        <v/>
      </c>
      <c r="C2" s="143" t="str">
        <f>IF(DATA_IMPORT!B2="", "", DATA_IMPORT!B2)</f>
        <v/>
      </c>
      <c r="D2" s="303" t="s">
        <v>33</v>
      </c>
      <c r="E2" s="131"/>
      <c r="F2" s="131"/>
      <c r="G2" s="131"/>
      <c r="H2" s="15"/>
      <c r="I2" s="15"/>
      <c r="N2" s="110">
        <f ca="1">$Q$4 + RAND()</f>
        <v>0.76470623862575582</v>
      </c>
      <c r="O2" s="175">
        <f ca="1">IF(N2="", "", _xlfn.RANK.EQ(N2, $N$2:$N$120) + COUNTIF($N$2:N2, N2) - 1)</f>
        <v>29</v>
      </c>
      <c r="Q2" s="318" t="s">
        <v>34</v>
      </c>
    </row>
    <row r="3" spans="1:18" ht="27.75" customHeight="1">
      <c r="A3" s="130">
        <v>2</v>
      </c>
      <c r="B3" s="143" t="str">
        <f>IF(DATA_IMPORT!A3="", "", DATA_IMPORT!A3)</f>
        <v/>
      </c>
      <c r="C3" s="143" t="str">
        <f>IF(DATA_IMPORT!B3="", "", DATA_IMPORT!B3)</f>
        <v/>
      </c>
      <c r="D3" s="303" t="s">
        <v>35</v>
      </c>
      <c r="E3" s="15"/>
      <c r="F3" s="15"/>
      <c r="G3" s="15"/>
      <c r="H3" s="15"/>
      <c r="I3" s="15"/>
      <c r="N3" s="110">
        <f ca="1">$Q$4 + RAND()</f>
        <v>9.7843043749976322E-2</v>
      </c>
      <c r="O3" s="175">
        <f ca="1">IF(N3="", "", _xlfn.RANK.EQ(N3, $N$2:$N$120) + COUNTIF($N$2:N3, N3) - 1)</f>
        <v>114</v>
      </c>
      <c r="Q3" s="318"/>
    </row>
    <row r="4" spans="1:18" ht="27.75" customHeight="1">
      <c r="A4" s="130">
        <v>3</v>
      </c>
      <c r="B4" s="143" t="str">
        <f>IF(DATA_IMPORT!A4="", "", DATA_IMPORT!A4)</f>
        <v/>
      </c>
      <c r="C4" s="143" t="str">
        <f>IF(DATA_IMPORT!B4="", "", DATA_IMPORT!B4)</f>
        <v/>
      </c>
      <c r="D4" s="303" t="s">
        <v>35</v>
      </c>
      <c r="E4" s="15"/>
      <c r="F4" s="15"/>
      <c r="G4" s="15"/>
      <c r="H4" s="15"/>
      <c r="I4" s="15"/>
      <c r="N4" s="110">
        <f ca="1">$Q$4 + RAND()</f>
        <v>0.34180473441950854</v>
      </c>
      <c r="O4" s="175">
        <f ca="1">IF(N4="", "", _xlfn.RANK.EQ(N4, $N$2:$N$120) + COUNTIF($N$2:N4, N4) - 1)</f>
        <v>88</v>
      </c>
      <c r="Q4" s="317" t="b">
        <v>0</v>
      </c>
      <c r="R4" s="138"/>
    </row>
    <row r="5" spans="1:18" ht="27.75" customHeight="1">
      <c r="A5" s="130">
        <v>4</v>
      </c>
      <c r="B5" s="143" t="str">
        <f>IF(DATA_IMPORT!A5="", "", DATA_IMPORT!A5)</f>
        <v/>
      </c>
      <c r="C5" s="143" t="str">
        <f>IF(DATA_IMPORT!B5="", "", DATA_IMPORT!B5)</f>
        <v/>
      </c>
      <c r="D5" s="303" t="s">
        <v>35</v>
      </c>
      <c r="E5" s="15"/>
      <c r="F5" s="15"/>
      <c r="G5" s="15"/>
      <c r="H5" s="15"/>
      <c r="I5" s="15"/>
      <c r="N5" s="110">
        <f ca="1">$Q$4 + RAND()</f>
        <v>0.51468505427503841</v>
      </c>
      <c r="O5" s="175">
        <f ca="1">IF(N5="", "", _xlfn.RANK.EQ(N5, $N$2:$N$120) + COUNTIF($N$2:N5, N5) - 1)</f>
        <v>64</v>
      </c>
      <c r="Q5" s="317"/>
    </row>
    <row r="6" spans="1:18" ht="27.75" customHeight="1">
      <c r="A6" s="130">
        <v>5</v>
      </c>
      <c r="B6" s="143" t="str">
        <f>IF(DATA_IMPORT!A6="", "", DATA_IMPORT!A6)</f>
        <v/>
      </c>
      <c r="C6" s="143" t="str">
        <f>IF(DATA_IMPORT!B6="", "", DATA_IMPORT!B6)</f>
        <v/>
      </c>
      <c r="D6" s="303" t="s">
        <v>35</v>
      </c>
      <c r="E6" s="15"/>
      <c r="F6" s="15"/>
      <c r="G6" s="15"/>
      <c r="H6" s="15"/>
      <c r="I6" s="15"/>
      <c r="N6" s="110">
        <f ca="1">$Q$4 + RAND()</f>
        <v>0.55751522869275272</v>
      </c>
      <c r="O6" s="175">
        <f ca="1">IF(N6="", "", _xlfn.RANK.EQ(N6, $N$2:$N$120) + COUNTIF($N$2:N6, N6) - 1)</f>
        <v>60</v>
      </c>
      <c r="Q6" s="182" t="s">
        <v>36</v>
      </c>
    </row>
    <row r="7" spans="1:18" ht="27.75" customHeight="1">
      <c r="A7" s="130">
        <v>6</v>
      </c>
      <c r="B7" s="143" t="str">
        <f>IF(DATA_IMPORT!A7="", "", DATA_IMPORT!A7)</f>
        <v/>
      </c>
      <c r="C7" s="143" t="str">
        <f>IF(DATA_IMPORT!B7="", "", DATA_IMPORT!B7)</f>
        <v/>
      </c>
      <c r="D7" s="303" t="s">
        <v>35</v>
      </c>
      <c r="E7" s="15"/>
      <c r="F7" s="15"/>
      <c r="G7" s="15"/>
      <c r="H7" s="15"/>
      <c r="I7" s="15"/>
      <c r="N7" s="110">
        <f ca="1">$Q$4 + RAND()</f>
        <v>0.96534284489297506</v>
      </c>
      <c r="O7" s="175">
        <f ca="1">IF(N7="", "", _xlfn.RANK.EQ(N7, $N$2:$N$120) + COUNTIF($N$2:N7, N7) - 1)</f>
        <v>4</v>
      </c>
      <c r="Q7" s="174"/>
    </row>
    <row r="8" spans="1:18" ht="27.75" customHeight="1">
      <c r="A8" s="130">
        <v>7</v>
      </c>
      <c r="B8" s="143" t="str">
        <f>IF(DATA_IMPORT!A8="", "", DATA_IMPORT!A8)</f>
        <v/>
      </c>
      <c r="C8" s="143" t="str">
        <f>IF(DATA_IMPORT!B8="", "", DATA_IMPORT!B8)</f>
        <v/>
      </c>
      <c r="D8" s="303" t="s">
        <v>35</v>
      </c>
      <c r="E8" s="15"/>
      <c r="F8" s="15"/>
      <c r="G8" s="15"/>
      <c r="H8" s="15"/>
      <c r="I8" s="15"/>
      <c r="N8" s="110">
        <f ca="1">$Q$4 + RAND()</f>
        <v>0.77904220347177144</v>
      </c>
      <c r="O8" s="175">
        <f ca="1">IF(N8="", "", _xlfn.RANK.EQ(N8, $N$2:$N$120) + COUNTIF($N$2:N8, N8) - 1)</f>
        <v>27</v>
      </c>
      <c r="Q8" s="186"/>
    </row>
    <row r="9" spans="1:18" ht="27.75" customHeight="1">
      <c r="A9" s="130">
        <v>8</v>
      </c>
      <c r="B9" s="143" t="str">
        <f>IF(DATA_IMPORT!A9="", "", DATA_IMPORT!A9)</f>
        <v/>
      </c>
      <c r="C9" s="143" t="str">
        <f>IF(DATA_IMPORT!B9="", "", DATA_IMPORT!B9)</f>
        <v/>
      </c>
      <c r="D9" s="303" t="s">
        <v>35</v>
      </c>
      <c r="E9" s="15"/>
      <c r="F9" s="15"/>
      <c r="G9" s="15"/>
      <c r="H9" s="15"/>
      <c r="I9" s="15"/>
      <c r="N9" s="110">
        <f ca="1">$Q$4 + RAND()</f>
        <v>1.3633362120132109E-2</v>
      </c>
      <c r="O9" s="175">
        <f ca="1">IF(N9="", "", _xlfn.RANK.EQ(N9, $N$2:$N$120) + COUNTIF($N$2:N9, N9) - 1)</f>
        <v>119</v>
      </c>
      <c r="Q9" s="186"/>
    </row>
    <row r="10" spans="1:18" ht="27.75" customHeight="1">
      <c r="A10" s="130">
        <v>9</v>
      </c>
      <c r="B10" s="143" t="str">
        <f>IF(DATA_IMPORT!A10="", "", DATA_IMPORT!A10)</f>
        <v/>
      </c>
      <c r="C10" s="143" t="str">
        <f>IF(DATA_IMPORT!B10="", "", DATA_IMPORT!B10)</f>
        <v/>
      </c>
      <c r="D10" s="303" t="s">
        <v>35</v>
      </c>
      <c r="E10" s="15"/>
      <c r="F10" s="15"/>
      <c r="G10" s="15"/>
      <c r="H10" s="15"/>
      <c r="I10" s="15"/>
      <c r="N10" s="110">
        <f ca="1">$Q$4 + RAND()</f>
        <v>0.57271529168306157</v>
      </c>
      <c r="O10" s="175">
        <f ca="1">IF(N10="", "", _xlfn.RANK.EQ(N10, $N$2:$N$120) + COUNTIF($N$2:N10, N10) - 1)</f>
        <v>56</v>
      </c>
      <c r="Q10" s="174"/>
    </row>
    <row r="11" spans="1:18" ht="27.75" customHeight="1">
      <c r="A11" s="130">
        <v>10</v>
      </c>
      <c r="B11" s="143" t="str">
        <f>IF(DATA_IMPORT!A11="", "", DATA_IMPORT!A11)</f>
        <v/>
      </c>
      <c r="C11" s="143" t="str">
        <f>IF(DATA_IMPORT!B11="", "", DATA_IMPORT!B11)</f>
        <v/>
      </c>
      <c r="D11" s="303" t="s">
        <v>35</v>
      </c>
      <c r="E11" s="15"/>
      <c r="F11" s="15"/>
      <c r="G11" s="15"/>
      <c r="H11" s="15"/>
      <c r="I11" s="15"/>
      <c r="N11" s="110">
        <f ca="1">$Q$4 + RAND()</f>
        <v>0.37379334118073115</v>
      </c>
      <c r="O11" s="175">
        <f ca="1">IF(N11="", "", _xlfn.RANK.EQ(N11, $N$2:$N$120) + COUNTIF($N$2:N11, N11) - 1)</f>
        <v>84</v>
      </c>
      <c r="Q11" s="174"/>
    </row>
    <row r="12" spans="1:18" ht="27.75" customHeight="1">
      <c r="A12" s="130">
        <v>11</v>
      </c>
      <c r="B12" s="143" t="str">
        <f>IF(DATA_IMPORT!A12="", "", DATA_IMPORT!A12)</f>
        <v/>
      </c>
      <c r="C12" s="143" t="str">
        <f>IF(DATA_IMPORT!B12="", "", DATA_IMPORT!B12)</f>
        <v/>
      </c>
      <c r="D12" s="303" t="s">
        <v>35</v>
      </c>
      <c r="E12" s="15"/>
      <c r="F12" s="15"/>
      <c r="G12" s="15"/>
      <c r="H12" s="15"/>
      <c r="I12" s="15"/>
      <c r="N12" s="110">
        <f ca="1">$Q$4 + RAND()</f>
        <v>0.56640988979212703</v>
      </c>
      <c r="O12" s="175">
        <f ca="1">IF(N12="", "", _xlfn.RANK.EQ(N12, $N$2:$N$120) + COUNTIF($N$2:N12, N12) - 1)</f>
        <v>58</v>
      </c>
      <c r="Q12" s="174"/>
    </row>
    <row r="13" spans="1:18" ht="27.75" customHeight="1">
      <c r="A13" s="130">
        <v>12</v>
      </c>
      <c r="B13" s="143" t="str">
        <f>IF(DATA_IMPORT!A13="", "", DATA_IMPORT!A13)</f>
        <v/>
      </c>
      <c r="C13" s="143" t="str">
        <f>IF(DATA_IMPORT!B13="", "", DATA_IMPORT!B13)</f>
        <v/>
      </c>
      <c r="D13" s="303" t="s">
        <v>35</v>
      </c>
      <c r="E13" s="15"/>
      <c r="F13" s="15"/>
      <c r="G13" s="15"/>
      <c r="H13" s="15"/>
      <c r="I13" s="15"/>
      <c r="N13" s="110">
        <f ca="1">$Q$4 + RAND()</f>
        <v>0.29333424440761069</v>
      </c>
      <c r="O13" s="175">
        <f ca="1">IF(N13="", "", _xlfn.RANK.EQ(N13, $N$2:$N$120) + COUNTIF($N$2:N13, N13) - 1)</f>
        <v>96</v>
      </c>
      <c r="Q13" s="174"/>
    </row>
    <row r="14" spans="1:18" ht="27.75" customHeight="1">
      <c r="A14" s="130">
        <v>13</v>
      </c>
      <c r="B14" s="143" t="str">
        <f>IF(DATA_IMPORT!A14="", "", DATA_IMPORT!A14)</f>
        <v/>
      </c>
      <c r="C14" s="143" t="str">
        <f>IF(DATA_IMPORT!B14="", "", DATA_IMPORT!B14)</f>
        <v/>
      </c>
      <c r="D14" s="303" t="s">
        <v>35</v>
      </c>
      <c r="E14" s="15"/>
      <c r="F14" s="15"/>
      <c r="G14" s="15"/>
      <c r="H14" s="15"/>
      <c r="I14" s="15"/>
      <c r="N14" s="110">
        <f ca="1">$Q$4 + RAND()</f>
        <v>0.45148469874368857</v>
      </c>
      <c r="O14" s="175">
        <f ca="1">IF(N14="", "", _xlfn.RANK.EQ(N14, $N$2:$N$120) + COUNTIF($N$2:N14, N14) - 1)</f>
        <v>73</v>
      </c>
      <c r="Q14" s="174"/>
    </row>
    <row r="15" spans="1:18" ht="27.75" customHeight="1">
      <c r="A15" s="130">
        <v>14</v>
      </c>
      <c r="B15" s="143" t="str">
        <f>IF(DATA_IMPORT!A15="", "", DATA_IMPORT!A15)</f>
        <v/>
      </c>
      <c r="C15" s="143" t="str">
        <f>IF(DATA_IMPORT!B15="", "", DATA_IMPORT!B15)</f>
        <v/>
      </c>
      <c r="D15" s="303" t="s">
        <v>35</v>
      </c>
      <c r="E15" s="15"/>
      <c r="F15" s="15"/>
      <c r="G15" s="15"/>
      <c r="H15" s="15"/>
      <c r="I15" s="15"/>
      <c r="N15" s="110">
        <f ca="1">$Q$4 + RAND()</f>
        <v>0.72270001159262565</v>
      </c>
      <c r="O15" s="175">
        <f ca="1">IF(N15="", "", _xlfn.RANK.EQ(N15, $N$2:$N$120) + COUNTIF($N$2:N15, N15) - 1)</f>
        <v>36</v>
      </c>
      <c r="Q15" s="174"/>
    </row>
    <row r="16" spans="1:18" ht="27.75" customHeight="1">
      <c r="A16" s="130">
        <v>15</v>
      </c>
      <c r="B16" s="143" t="str">
        <f>IF(DATA_IMPORT!A16="", "", DATA_IMPORT!A16)</f>
        <v/>
      </c>
      <c r="C16" s="143" t="str">
        <f>IF(DATA_IMPORT!B16="", "", DATA_IMPORT!B16)</f>
        <v/>
      </c>
      <c r="D16" s="303" t="s">
        <v>35</v>
      </c>
      <c r="E16" s="15"/>
      <c r="F16" s="15"/>
      <c r="G16" s="15"/>
      <c r="H16" s="15"/>
      <c r="I16" s="15"/>
      <c r="N16" s="110">
        <f ca="1">$Q$4 + RAND()</f>
        <v>0.84242064095718849</v>
      </c>
      <c r="O16" s="175">
        <f ca="1">IF(N16="", "", _xlfn.RANK.EQ(N16, $N$2:$N$120) + COUNTIF($N$2:N16, N16) - 1)</f>
        <v>16</v>
      </c>
      <c r="Q16" s="174"/>
    </row>
    <row r="17" spans="1:17" ht="27.75" customHeight="1">
      <c r="A17" s="130">
        <v>16</v>
      </c>
      <c r="B17" s="143" t="str">
        <f>IF(DATA_IMPORT!A17="", "", DATA_IMPORT!A17)</f>
        <v/>
      </c>
      <c r="C17" s="143" t="str">
        <f>IF(DATA_IMPORT!B17="", "", DATA_IMPORT!B17)</f>
        <v/>
      </c>
      <c r="D17" s="303" t="s">
        <v>35</v>
      </c>
      <c r="E17" s="15"/>
      <c r="F17" s="15"/>
      <c r="G17" s="15"/>
      <c r="H17" s="15"/>
      <c r="I17" s="15"/>
      <c r="N17" s="110">
        <f ca="1">$Q$4 + RAND()</f>
        <v>0.20104770498516067</v>
      </c>
      <c r="O17" s="175">
        <f ca="1">IF(N17="", "", _xlfn.RANK.EQ(N17, $N$2:$N$120) + COUNTIF($N$2:N17, N17) - 1)</f>
        <v>103</v>
      </c>
      <c r="Q17" s="174"/>
    </row>
    <row r="18" spans="1:17" ht="27.75" customHeight="1">
      <c r="A18" s="130">
        <v>17</v>
      </c>
      <c r="B18" s="143" t="str">
        <f>IF(DATA_IMPORT!A18="", "", DATA_IMPORT!A18)</f>
        <v/>
      </c>
      <c r="C18" s="143" t="str">
        <f>IF(DATA_IMPORT!B18="", "", DATA_IMPORT!B18)</f>
        <v/>
      </c>
      <c r="D18" s="303" t="s">
        <v>35</v>
      </c>
      <c r="E18" s="15"/>
      <c r="F18" s="15"/>
      <c r="G18" s="15"/>
      <c r="H18" s="15"/>
      <c r="I18" s="15"/>
      <c r="N18" s="110">
        <f ca="1">$Q$4 + RAND()</f>
        <v>0.64611833415127939</v>
      </c>
      <c r="O18" s="175">
        <f ca="1">IF(N18="", "", _xlfn.RANK.EQ(N18, $N$2:$N$120) + COUNTIF($N$2:N18, N18) - 1)</f>
        <v>46</v>
      </c>
      <c r="Q18" s="139" t="s">
        <v>37</v>
      </c>
    </row>
    <row r="19" spans="1:17" ht="27.75" customHeight="1">
      <c r="A19" s="130">
        <v>18</v>
      </c>
      <c r="B19" s="143" t="str">
        <f>IF(DATA_IMPORT!A19="", "", DATA_IMPORT!A19)</f>
        <v/>
      </c>
      <c r="C19" s="143" t="str">
        <f>IF(DATA_IMPORT!B19="", "", DATA_IMPORT!B19)</f>
        <v/>
      </c>
      <c r="D19" s="303" t="s">
        <v>35</v>
      </c>
      <c r="E19" s="15"/>
      <c r="F19" s="15"/>
      <c r="G19" s="15"/>
      <c r="H19" s="15"/>
      <c r="I19" s="15"/>
      <c r="N19" s="110">
        <f ca="1">$Q$4 + RAND()</f>
        <v>0.64735311352815572</v>
      </c>
      <c r="O19" s="175">
        <f ca="1">IF(N19="", "", _xlfn.RANK.EQ(N19, $N$2:$N$120) + COUNTIF($N$2:N19, N19) - 1)</f>
        <v>44</v>
      </c>
      <c r="Q19" s="139" t="s">
        <v>38</v>
      </c>
    </row>
    <row r="20" spans="1:17" ht="27.75" customHeight="1">
      <c r="A20" s="130">
        <v>19</v>
      </c>
      <c r="B20" s="143" t="str">
        <f>IF(DATA_IMPORT!A20="", "", DATA_IMPORT!A20)</f>
        <v/>
      </c>
      <c r="C20" s="143" t="str">
        <f>IF(DATA_IMPORT!B20="", "", DATA_IMPORT!B20)</f>
        <v/>
      </c>
      <c r="D20" s="303" t="s">
        <v>35</v>
      </c>
      <c r="E20" s="15"/>
      <c r="F20" s="15"/>
      <c r="G20" s="15"/>
      <c r="H20" s="15"/>
      <c r="I20" s="15"/>
      <c r="N20" s="110">
        <f ca="1">$Q$4 + RAND()</f>
        <v>0.96785269925519291</v>
      </c>
      <c r="O20" s="175">
        <f ca="1">IF(N20="", "", _xlfn.RANK.EQ(N20, $N$2:$N$120) + COUNTIF($N$2:N20, N20) - 1)</f>
        <v>3</v>
      </c>
      <c r="Q20" s="140" t="s">
        <v>39</v>
      </c>
    </row>
    <row r="21" spans="1:17" ht="27.75" customHeight="1">
      <c r="A21" s="130">
        <v>20</v>
      </c>
      <c r="B21" s="143" t="str">
        <f>IF(DATA_IMPORT!A21="", "", DATA_IMPORT!A21)</f>
        <v/>
      </c>
      <c r="C21" s="143" t="str">
        <f>IF(DATA_IMPORT!B21="", "", DATA_IMPORT!B21)</f>
        <v/>
      </c>
      <c r="D21" s="303" t="s">
        <v>35</v>
      </c>
      <c r="E21" s="15"/>
      <c r="F21" s="15"/>
      <c r="G21" s="15"/>
      <c r="H21" s="15"/>
      <c r="I21" s="15"/>
      <c r="N21" s="110">
        <f ca="1">$Q$4 + RAND()</f>
        <v>0.22828534073835727</v>
      </c>
      <c r="O21" s="175">
        <f ca="1">IF(N21="", "", _xlfn.RANK.EQ(N21, $N$2:$N$120) + COUNTIF($N$2:N21, N21) - 1)</f>
        <v>99</v>
      </c>
      <c r="Q21" s="141" t="s">
        <v>40</v>
      </c>
    </row>
    <row r="22" spans="1:17" ht="27.75" customHeight="1">
      <c r="A22" s="130">
        <v>21</v>
      </c>
      <c r="B22" s="143" t="str">
        <f>IF(DATA_IMPORT!A22="", "", DATA_IMPORT!A22)</f>
        <v/>
      </c>
      <c r="C22" s="143" t="str">
        <f>IF(DATA_IMPORT!B22="", "", DATA_IMPORT!B22)</f>
        <v/>
      </c>
      <c r="D22" s="303" t="s">
        <v>35</v>
      </c>
      <c r="E22" s="15"/>
      <c r="F22" s="15"/>
      <c r="G22" s="15"/>
      <c r="H22" s="15"/>
      <c r="I22" s="15"/>
      <c r="N22" s="110">
        <f ca="1">$Q$4 + RAND()</f>
        <v>0.58652723599742096</v>
      </c>
      <c r="O22" s="175">
        <f ca="1">IF(N22="", "", _xlfn.RANK.EQ(N22, $N$2:$N$120) + COUNTIF($N$2:N22, N22) - 1)</f>
        <v>54</v>
      </c>
      <c r="Q22" s="140" t="s">
        <v>41</v>
      </c>
    </row>
    <row r="23" spans="1:17" ht="27.75" customHeight="1">
      <c r="A23" s="130">
        <v>22</v>
      </c>
      <c r="B23" s="143" t="str">
        <f>IF(DATA_IMPORT!A23="", "", DATA_IMPORT!A23)</f>
        <v/>
      </c>
      <c r="C23" s="143" t="str">
        <f>IF(DATA_IMPORT!B23="", "", DATA_IMPORT!B23)</f>
        <v/>
      </c>
      <c r="D23" s="303" t="s">
        <v>35</v>
      </c>
      <c r="E23" s="15"/>
      <c r="F23" s="15"/>
      <c r="G23" s="15"/>
      <c r="H23" s="15"/>
      <c r="I23" s="15"/>
      <c r="N23" s="110">
        <f ca="1">$Q$4 + RAND()</f>
        <v>0.51267463507376176</v>
      </c>
      <c r="O23" s="175">
        <f ca="1">IF(N23="", "", _xlfn.RANK.EQ(N23, $N$2:$N$120) + COUNTIF($N$2:N23, N23) - 1)</f>
        <v>65</v>
      </c>
      <c r="Q23" s="140" t="s">
        <v>42</v>
      </c>
    </row>
    <row r="24" spans="1:17" ht="27.75" customHeight="1">
      <c r="A24" s="130">
        <v>23</v>
      </c>
      <c r="B24" s="143" t="str">
        <f>IF(DATA_IMPORT!A24="", "", DATA_IMPORT!A24)</f>
        <v/>
      </c>
      <c r="C24" s="143" t="str">
        <f>IF(DATA_IMPORT!B24="", "", DATA_IMPORT!B24)</f>
        <v/>
      </c>
      <c r="D24" s="303" t="s">
        <v>35</v>
      </c>
      <c r="E24" s="15"/>
      <c r="F24" s="15"/>
      <c r="G24" s="15"/>
      <c r="H24" s="15"/>
      <c r="I24" s="15"/>
      <c r="N24" s="110">
        <f ca="1">$Q$4 + RAND()</f>
        <v>0.57638451628681864</v>
      </c>
      <c r="O24" s="175">
        <f ca="1">IF(N24="", "", _xlfn.RANK.EQ(N24, $N$2:$N$120) + COUNTIF($N$2:N24, N24) - 1)</f>
        <v>55</v>
      </c>
      <c r="Q24" s="32"/>
    </row>
    <row r="25" spans="1:17" ht="27.75" customHeight="1">
      <c r="A25" s="130">
        <v>24</v>
      </c>
      <c r="B25" s="143" t="str">
        <f>IF(DATA_IMPORT!A25="", "", DATA_IMPORT!A25)</f>
        <v/>
      </c>
      <c r="C25" s="143" t="str">
        <f>IF(DATA_IMPORT!B25="", "", DATA_IMPORT!B25)</f>
        <v/>
      </c>
      <c r="D25" s="303" t="s">
        <v>35</v>
      </c>
      <c r="E25" s="15"/>
      <c r="F25" s="15"/>
      <c r="G25" s="15"/>
      <c r="H25" s="15"/>
      <c r="I25" s="15"/>
      <c r="N25" s="110">
        <f ca="1">$Q$4 + RAND()</f>
        <v>0.72674559446542286</v>
      </c>
      <c r="O25" s="175">
        <f ca="1">IF(N25="", "", _xlfn.RANK.EQ(N25, $N$2:$N$120) + COUNTIF($N$2:N25, N25) - 1)</f>
        <v>35</v>
      </c>
      <c r="Q25" s="32"/>
    </row>
    <row r="26" spans="1:17" ht="27.75" customHeight="1">
      <c r="A26" s="130">
        <v>25</v>
      </c>
      <c r="B26" s="143" t="str">
        <f>IF(DATA_IMPORT!A26="", "", DATA_IMPORT!A26)</f>
        <v/>
      </c>
      <c r="C26" s="143" t="str">
        <f>IF(DATA_IMPORT!B26="", "", DATA_IMPORT!B26)</f>
        <v/>
      </c>
      <c r="D26" s="303" t="s">
        <v>35</v>
      </c>
      <c r="E26" s="15"/>
      <c r="F26" s="15"/>
      <c r="G26" s="15"/>
      <c r="H26" s="15"/>
      <c r="I26" s="15"/>
      <c r="N26" s="110">
        <f ca="1">$Q$4 + RAND()</f>
        <v>0.51187495817454931</v>
      </c>
      <c r="O26" s="175">
        <f ca="1">IF(N26="", "", _xlfn.RANK.EQ(N26, $N$2:$N$120) + COUNTIF($N$2:N26, N26) - 1)</f>
        <v>66</v>
      </c>
      <c r="Q26" s="32"/>
    </row>
    <row r="27" spans="1:17" ht="27.75" customHeight="1">
      <c r="A27" s="130">
        <v>26</v>
      </c>
      <c r="B27" s="143" t="str">
        <f>IF(DATA_IMPORT!A27="", "", DATA_IMPORT!A27)</f>
        <v/>
      </c>
      <c r="C27" s="143" t="str">
        <f>IF(DATA_IMPORT!B27="", "", DATA_IMPORT!B27)</f>
        <v/>
      </c>
      <c r="D27" s="303" t="s">
        <v>35</v>
      </c>
      <c r="E27" s="15"/>
      <c r="F27" s="15"/>
      <c r="G27" s="15"/>
      <c r="H27" s="15"/>
      <c r="I27" s="15"/>
      <c r="N27" s="110">
        <f ca="1">$Q$4 + RAND()</f>
        <v>0.14420937484516738</v>
      </c>
      <c r="O27" s="175">
        <f ca="1">IF(N27="", "", _xlfn.RANK.EQ(N27, $N$2:$N$120) + COUNTIF($N$2:N27, N27) - 1)</f>
        <v>110</v>
      </c>
      <c r="Q27" s="32"/>
    </row>
    <row r="28" spans="1:17" ht="27.75" customHeight="1">
      <c r="A28" s="130">
        <v>27</v>
      </c>
      <c r="B28" s="143" t="str">
        <f>IF(DATA_IMPORT!A28="", "", DATA_IMPORT!A28)</f>
        <v/>
      </c>
      <c r="C28" s="143" t="str">
        <f>IF(DATA_IMPORT!B28="", "", DATA_IMPORT!B28)</f>
        <v/>
      </c>
      <c r="D28" s="303" t="s">
        <v>35</v>
      </c>
      <c r="E28" s="15"/>
      <c r="F28" s="15"/>
      <c r="G28" s="15"/>
      <c r="H28" s="15"/>
      <c r="I28" s="15"/>
      <c r="N28" s="110">
        <f ca="1">$Q$4 + RAND()</f>
        <v>0.14068343243283055</v>
      </c>
      <c r="O28" s="175">
        <f ca="1">IF(N28="", "", _xlfn.RANK.EQ(N28, $N$2:$N$120) + COUNTIF($N$2:N28, N28) - 1)</f>
        <v>111</v>
      </c>
      <c r="Q28" s="32"/>
    </row>
    <row r="29" spans="1:17" ht="27.75" customHeight="1">
      <c r="A29" s="130">
        <v>28</v>
      </c>
      <c r="B29" s="143" t="str">
        <f>IF(DATA_IMPORT!A29="", "", DATA_IMPORT!A29)</f>
        <v/>
      </c>
      <c r="C29" s="143" t="str">
        <f>IF(DATA_IMPORT!B29="", "", DATA_IMPORT!B29)</f>
        <v/>
      </c>
      <c r="D29" s="303" t="s">
        <v>35</v>
      </c>
      <c r="E29" s="15"/>
      <c r="F29" s="15"/>
      <c r="G29" s="15"/>
      <c r="H29" s="15"/>
      <c r="I29" s="15"/>
      <c r="N29" s="110">
        <f ca="1">$Q$4 + RAND()</f>
        <v>6.0942193632781305E-2</v>
      </c>
      <c r="O29" s="175">
        <f ca="1">IF(N29="", "", _xlfn.RANK.EQ(N29, $N$2:$N$120) + COUNTIF($N$2:N29, N29) - 1)</f>
        <v>115</v>
      </c>
      <c r="Q29" s="32"/>
    </row>
    <row r="30" spans="1:17" ht="27.75" customHeight="1">
      <c r="A30" s="130">
        <v>29</v>
      </c>
      <c r="B30" s="143" t="str">
        <f>IF(DATA_IMPORT!A30="", "", DATA_IMPORT!A30)</f>
        <v/>
      </c>
      <c r="C30" s="143" t="str">
        <f>IF(DATA_IMPORT!B30="", "", DATA_IMPORT!B30)</f>
        <v/>
      </c>
      <c r="D30" s="303" t="s">
        <v>35</v>
      </c>
      <c r="E30" s="15"/>
      <c r="F30" s="15"/>
      <c r="G30" s="15"/>
      <c r="H30" s="15"/>
      <c r="I30" s="15"/>
      <c r="N30" s="110">
        <f ca="1">$Q$4 + RAND()</f>
        <v>0.31090114915800282</v>
      </c>
      <c r="O30" s="175">
        <f ca="1">IF(N30="", "", _xlfn.RANK.EQ(N30, $N$2:$N$120) + COUNTIF($N$2:N30, N30) - 1)</f>
        <v>94</v>
      </c>
      <c r="Q30" s="32"/>
    </row>
    <row r="31" spans="1:17" ht="27.75" customHeight="1">
      <c r="A31" s="130">
        <v>30</v>
      </c>
      <c r="B31" s="143" t="str">
        <f>IF(DATA_IMPORT!A31="", "", DATA_IMPORT!A31)</f>
        <v/>
      </c>
      <c r="C31" s="143" t="str">
        <f>IF(DATA_IMPORT!B31="", "", DATA_IMPORT!B31)</f>
        <v/>
      </c>
      <c r="D31" s="303" t="s">
        <v>35</v>
      </c>
      <c r="E31" s="15"/>
      <c r="F31" s="15"/>
      <c r="G31" s="15"/>
      <c r="H31" s="15"/>
      <c r="I31" s="15"/>
      <c r="N31" s="110">
        <f ca="1">$Q$4 + RAND()</f>
        <v>0.72153301963617711</v>
      </c>
      <c r="O31" s="175">
        <f ca="1">IF(N31="", "", _xlfn.RANK.EQ(N31, $N$2:$N$120) + COUNTIF($N$2:N31, N31) - 1)</f>
        <v>37</v>
      </c>
      <c r="Q31" s="32"/>
    </row>
    <row r="32" spans="1:17" ht="27.75" customHeight="1">
      <c r="A32" s="130">
        <v>31</v>
      </c>
      <c r="B32" s="143" t="str">
        <f>IF(DATA_IMPORT!A32="", "", DATA_IMPORT!A32)</f>
        <v/>
      </c>
      <c r="C32" s="143" t="str">
        <f>IF(DATA_IMPORT!B32="", "", DATA_IMPORT!B32)</f>
        <v/>
      </c>
      <c r="D32" s="303" t="s">
        <v>35</v>
      </c>
      <c r="E32" s="15"/>
      <c r="F32" s="15"/>
      <c r="G32" s="15"/>
      <c r="H32" s="15"/>
      <c r="I32" s="15"/>
      <c r="N32" s="110">
        <f ca="1">$Q$4 + RAND()</f>
        <v>0.49489331472124953</v>
      </c>
      <c r="O32" s="175">
        <f ca="1">IF(N32="", "", _xlfn.RANK.EQ(N32, $N$2:$N$120) + COUNTIF($N$2:N32, N32) - 1)</f>
        <v>67</v>
      </c>
      <c r="Q32" s="32"/>
    </row>
    <row r="33" spans="1:17" ht="27.75" customHeight="1">
      <c r="A33" s="130">
        <v>32</v>
      </c>
      <c r="B33" s="143" t="str">
        <f>IF(DATA_IMPORT!A33="", "", DATA_IMPORT!A33)</f>
        <v/>
      </c>
      <c r="C33" s="143" t="str">
        <f>IF(DATA_IMPORT!B33="", "", DATA_IMPORT!B33)</f>
        <v/>
      </c>
      <c r="D33" s="303" t="s">
        <v>35</v>
      </c>
      <c r="E33" s="15"/>
      <c r="F33" s="15"/>
      <c r="G33" s="15"/>
      <c r="H33" s="15"/>
      <c r="I33" s="15"/>
      <c r="N33" s="110">
        <f ca="1">$Q$4 + RAND()</f>
        <v>0.4840242670924606</v>
      </c>
      <c r="O33" s="175">
        <f ca="1">IF(N33="", "", _xlfn.RANK.EQ(N33, $N$2:$N$120) + COUNTIF($N$2:N33, N33) - 1)</f>
        <v>69</v>
      </c>
      <c r="Q33" s="32"/>
    </row>
    <row r="34" spans="1:17" ht="27.75" customHeight="1">
      <c r="A34" s="130">
        <v>33</v>
      </c>
      <c r="B34" s="143" t="str">
        <f>IF(DATA_IMPORT!A34="", "", DATA_IMPORT!A34)</f>
        <v/>
      </c>
      <c r="C34" s="143" t="str">
        <f>IF(DATA_IMPORT!B34="", "", DATA_IMPORT!B34)</f>
        <v/>
      </c>
      <c r="D34" s="303" t="s">
        <v>35</v>
      </c>
      <c r="E34" s="15"/>
      <c r="F34" s="15"/>
      <c r="G34" s="15"/>
      <c r="H34" s="15"/>
      <c r="I34" s="15"/>
      <c r="N34" s="110">
        <f ca="1">$Q$4 + RAND()</f>
        <v>2.9467786899046722E-2</v>
      </c>
      <c r="O34" s="175">
        <f ca="1">IF(N34="", "", _xlfn.RANK.EQ(N34, $N$2:$N$120) + COUNTIF($N$2:N34, N34) - 1)</f>
        <v>118</v>
      </c>
      <c r="Q34" s="32"/>
    </row>
    <row r="35" spans="1:17" ht="27.75" customHeight="1">
      <c r="A35" s="130">
        <v>34</v>
      </c>
      <c r="B35" s="143" t="str">
        <f>IF(DATA_IMPORT!A35="", "", DATA_IMPORT!A35)</f>
        <v/>
      </c>
      <c r="C35" s="143" t="str">
        <f>IF(DATA_IMPORT!B35="", "", DATA_IMPORT!B35)</f>
        <v/>
      </c>
      <c r="D35" s="303" t="s">
        <v>35</v>
      </c>
      <c r="E35" s="15"/>
      <c r="F35" s="15"/>
      <c r="G35" s="15"/>
      <c r="H35" s="15"/>
      <c r="I35" s="15"/>
      <c r="N35" s="110">
        <f ca="1">$Q$4 + RAND()</f>
        <v>0.85914397305785661</v>
      </c>
      <c r="O35" s="175">
        <f ca="1">IF(N35="", "", _xlfn.RANK.EQ(N35, $N$2:$N$120) + COUNTIF($N$2:N35, N35) - 1)</f>
        <v>14</v>
      </c>
      <c r="Q35" s="32"/>
    </row>
    <row r="36" spans="1:17" ht="27.75" customHeight="1">
      <c r="A36" s="130">
        <v>35</v>
      </c>
      <c r="B36" s="143" t="str">
        <f>IF(DATA_IMPORT!A36="", "", DATA_IMPORT!A36)</f>
        <v/>
      </c>
      <c r="C36" s="143" t="str">
        <f>IF(DATA_IMPORT!B36="", "", DATA_IMPORT!B36)</f>
        <v/>
      </c>
      <c r="D36" s="303" t="s">
        <v>35</v>
      </c>
      <c r="E36" s="15"/>
      <c r="F36" s="15"/>
      <c r="G36" s="15"/>
      <c r="H36" s="15"/>
      <c r="I36" s="15"/>
      <c r="N36" s="110">
        <f ca="1">$Q$4 + RAND()</f>
        <v>0.47527950443326317</v>
      </c>
      <c r="O36" s="175">
        <f ca="1">IF(N36="", "", _xlfn.RANK.EQ(N36, $N$2:$N$120) + COUNTIF($N$2:N36, N36) - 1)</f>
        <v>70</v>
      </c>
      <c r="Q36" s="32"/>
    </row>
    <row r="37" spans="1:17" ht="27.75" customHeight="1">
      <c r="A37" s="130">
        <v>36</v>
      </c>
      <c r="B37" s="143" t="str">
        <f>IF(DATA_IMPORT!A37="", "", DATA_IMPORT!A37)</f>
        <v/>
      </c>
      <c r="C37" s="143" t="str">
        <f>IF(DATA_IMPORT!B37="", "", DATA_IMPORT!B37)</f>
        <v/>
      </c>
      <c r="D37" s="303" t="s">
        <v>35</v>
      </c>
      <c r="E37" s="15"/>
      <c r="F37" s="15"/>
      <c r="G37" s="15"/>
      <c r="H37" s="15"/>
      <c r="I37" s="15"/>
      <c r="N37" s="110">
        <f ca="1">$Q$4 + RAND()</f>
        <v>0.89753778597307998</v>
      </c>
      <c r="O37" s="175">
        <f ca="1">IF(N37="", "", _xlfn.RANK.EQ(N37, $N$2:$N$120) + COUNTIF($N$2:N37, N37) - 1)</f>
        <v>10</v>
      </c>
      <c r="Q37" s="32"/>
    </row>
    <row r="38" spans="1:17" ht="27.75" customHeight="1">
      <c r="A38" s="130">
        <v>37</v>
      </c>
      <c r="B38" s="143" t="str">
        <f>IF(DATA_IMPORT!A38="", "", DATA_IMPORT!A38)</f>
        <v/>
      </c>
      <c r="C38" s="143" t="str">
        <f>IF(DATA_IMPORT!B38="", "", DATA_IMPORT!B38)</f>
        <v/>
      </c>
      <c r="D38" s="303" t="s">
        <v>35</v>
      </c>
      <c r="E38" s="15"/>
      <c r="F38" s="15"/>
      <c r="G38" s="15"/>
      <c r="H38" s="15"/>
      <c r="I38" s="15"/>
      <c r="N38" s="110">
        <f ca="1">$Q$4 + RAND()</f>
        <v>0.51619746243551223</v>
      </c>
      <c r="O38" s="175">
        <f ca="1">IF(N38="", "", _xlfn.RANK.EQ(N38, $N$2:$N$120) + COUNTIF($N$2:N38, N38) - 1)</f>
        <v>63</v>
      </c>
      <c r="Q38" s="32"/>
    </row>
    <row r="39" spans="1:17" ht="27.75" customHeight="1">
      <c r="A39" s="130">
        <v>38</v>
      </c>
      <c r="B39" s="143" t="str">
        <f>IF(DATA_IMPORT!A39="", "", DATA_IMPORT!A39)</f>
        <v/>
      </c>
      <c r="C39" s="143" t="str">
        <f>IF(DATA_IMPORT!B39="", "", DATA_IMPORT!B39)</f>
        <v/>
      </c>
      <c r="D39" s="303" t="s">
        <v>35</v>
      </c>
      <c r="E39" s="15"/>
      <c r="F39" s="15"/>
      <c r="G39" s="15"/>
      <c r="H39" s="15"/>
      <c r="I39" s="15"/>
      <c r="N39" s="110">
        <f ca="1">$Q$4 + RAND()</f>
        <v>0.98356378464042449</v>
      </c>
      <c r="O39" s="175">
        <f ca="1">IF(N39="", "", _xlfn.RANK.EQ(N39, $N$2:$N$120) + COUNTIF($N$2:N39, N39) - 1)</f>
        <v>1</v>
      </c>
      <c r="Q39" s="32"/>
    </row>
    <row r="40" spans="1:17" ht="27.75" customHeight="1">
      <c r="A40" s="130">
        <v>39</v>
      </c>
      <c r="B40" s="143" t="str">
        <f>IF(DATA_IMPORT!A40="", "", DATA_IMPORT!A40)</f>
        <v/>
      </c>
      <c r="C40" s="143" t="str">
        <f>IF(DATA_IMPORT!B40="", "", DATA_IMPORT!B40)</f>
        <v/>
      </c>
      <c r="D40" s="303" t="s">
        <v>35</v>
      </c>
      <c r="E40" s="15"/>
      <c r="F40" s="15"/>
      <c r="G40" s="15"/>
      <c r="H40" s="15"/>
      <c r="I40" s="15"/>
      <c r="N40" s="110">
        <f ca="1">$Q$4 + RAND()</f>
        <v>0.35927284705340101</v>
      </c>
      <c r="O40" s="175">
        <f ca="1">IF(N40="", "", _xlfn.RANK.EQ(N40, $N$2:$N$120) + COUNTIF($N$2:N40, N40) - 1)</f>
        <v>87</v>
      </c>
      <c r="Q40" s="32"/>
    </row>
    <row r="41" spans="1:17" ht="27.75" customHeight="1">
      <c r="A41" s="130">
        <v>40</v>
      </c>
      <c r="B41" s="143" t="str">
        <f>IF(DATA_IMPORT!A41="", "", DATA_IMPORT!A41)</f>
        <v/>
      </c>
      <c r="C41" s="143" t="str">
        <f>IF(DATA_IMPORT!B41="", "", DATA_IMPORT!B41)</f>
        <v/>
      </c>
      <c r="D41" s="303" t="s">
        <v>35</v>
      </c>
      <c r="E41" s="15"/>
      <c r="F41" s="15"/>
      <c r="G41" s="15"/>
      <c r="H41" s="15"/>
      <c r="I41" s="15"/>
      <c r="N41" s="110">
        <f ca="1">$Q$4 + RAND()</f>
        <v>0.73657168916254945</v>
      </c>
      <c r="O41" s="175">
        <f ca="1">IF(N41="", "", _xlfn.RANK.EQ(N41, $N$2:$N$120) + COUNTIF($N$2:N41, N41) - 1)</f>
        <v>34</v>
      </c>
      <c r="Q41" s="32"/>
    </row>
    <row r="42" spans="1:17" ht="27.75" customHeight="1">
      <c r="A42" s="130">
        <v>41</v>
      </c>
      <c r="B42" s="143" t="str">
        <f>IF(DATA_IMPORT!A42="", "", DATA_IMPORT!A42)</f>
        <v/>
      </c>
      <c r="C42" s="143" t="str">
        <f>IF(DATA_IMPORT!B42="", "", DATA_IMPORT!B42)</f>
        <v/>
      </c>
      <c r="D42" s="303" t="s">
        <v>35</v>
      </c>
      <c r="E42" s="15"/>
      <c r="F42" s="15"/>
      <c r="G42" s="15"/>
      <c r="H42" s="15"/>
      <c r="I42" s="15"/>
      <c r="N42" s="110">
        <f ca="1">$Q$4 + RAND()</f>
        <v>0.4270270599841649</v>
      </c>
      <c r="O42" s="175">
        <f ca="1">IF(N42="", "", _xlfn.RANK.EQ(N42, $N$2:$N$120) + COUNTIF($N$2:N42, N42) - 1)</f>
        <v>76</v>
      </c>
      <c r="Q42" s="32"/>
    </row>
    <row r="43" spans="1:17" ht="27.75" customHeight="1">
      <c r="A43" s="130">
        <v>42</v>
      </c>
      <c r="B43" s="143" t="str">
        <f>IF(DATA_IMPORT!A43="", "", DATA_IMPORT!A43)</f>
        <v/>
      </c>
      <c r="C43" s="143" t="str">
        <f>IF(DATA_IMPORT!B43="", "", DATA_IMPORT!B43)</f>
        <v/>
      </c>
      <c r="D43" s="303" t="s">
        <v>35</v>
      </c>
      <c r="E43" s="15"/>
      <c r="F43" s="15"/>
      <c r="G43" s="15"/>
      <c r="H43" s="15"/>
      <c r="I43" s="15"/>
      <c r="N43" s="110">
        <f ca="1">$Q$4 + RAND()</f>
        <v>0.42782838849303495</v>
      </c>
      <c r="O43" s="175">
        <f ca="1">IF(N43="", "", _xlfn.RANK.EQ(N43, $N$2:$N$120) + COUNTIF($N$2:N43, N43) - 1)</f>
        <v>75</v>
      </c>
      <c r="Q43" s="32"/>
    </row>
    <row r="44" spans="1:17" ht="27.75" customHeight="1">
      <c r="A44" s="130">
        <v>43</v>
      </c>
      <c r="B44" s="143" t="str">
        <f>IF(DATA_IMPORT!A44="", "", DATA_IMPORT!A44)</f>
        <v/>
      </c>
      <c r="C44" s="143" t="str">
        <f>IF(DATA_IMPORT!B44="", "", DATA_IMPORT!B44)</f>
        <v/>
      </c>
      <c r="D44" s="303" t="s">
        <v>35</v>
      </c>
      <c r="E44" s="15"/>
      <c r="F44" s="15"/>
      <c r="G44" s="15"/>
      <c r="H44" s="15"/>
      <c r="I44" s="15"/>
      <c r="N44" s="110">
        <f ca="1">$Q$4 + RAND()</f>
        <v>0.92632752221830372</v>
      </c>
      <c r="O44" s="175">
        <f ca="1">IF(N44="", "", _xlfn.RANK.EQ(N44, $N$2:$N$120) + COUNTIF($N$2:N44, N44) - 1)</f>
        <v>8</v>
      </c>
      <c r="Q44" s="32"/>
    </row>
    <row r="45" spans="1:17" ht="27.75" customHeight="1">
      <c r="A45" s="130">
        <v>44</v>
      </c>
      <c r="B45" s="143" t="str">
        <f>IF(DATA_IMPORT!A45="", "", DATA_IMPORT!A45)</f>
        <v/>
      </c>
      <c r="C45" s="143" t="str">
        <f>IF(DATA_IMPORT!B45="", "", DATA_IMPORT!B45)</f>
        <v/>
      </c>
      <c r="D45" s="303" t="s">
        <v>35</v>
      </c>
      <c r="E45" s="15"/>
      <c r="F45" s="15"/>
      <c r="G45" s="15"/>
      <c r="H45" s="15"/>
      <c r="I45" s="15"/>
      <c r="N45" s="110">
        <f ca="1">$Q$4 + RAND()</f>
        <v>0.25794002147954331</v>
      </c>
      <c r="O45" s="175">
        <f ca="1">IF(N45="", "", _xlfn.RANK.EQ(N45, $N$2:$N$120) + COUNTIF($N$2:N45, N45) - 1)</f>
        <v>97</v>
      </c>
      <c r="Q45" s="32"/>
    </row>
    <row r="46" spans="1:17" ht="27.75" customHeight="1">
      <c r="A46" s="130">
        <v>45</v>
      </c>
      <c r="B46" s="143" t="str">
        <f>IF(DATA_IMPORT!A46="", "", DATA_IMPORT!A46)</f>
        <v/>
      </c>
      <c r="C46" s="143" t="str">
        <f>IF(DATA_IMPORT!B46="", "", DATA_IMPORT!B46)</f>
        <v/>
      </c>
      <c r="D46" s="303" t="s">
        <v>35</v>
      </c>
      <c r="E46" s="15"/>
      <c r="F46" s="15"/>
      <c r="G46" s="15"/>
      <c r="H46" s="15"/>
      <c r="I46" s="15"/>
      <c r="N46" s="110">
        <f ca="1">$Q$4 + RAND()</f>
        <v>0.61267931917916485</v>
      </c>
      <c r="O46" s="175">
        <f ca="1">IF(N46="", "", _xlfn.RANK.EQ(N46, $N$2:$N$120) + COUNTIF($N$2:N46, N46) - 1)</f>
        <v>52</v>
      </c>
      <c r="Q46" s="32"/>
    </row>
    <row r="47" spans="1:17" ht="27.75" customHeight="1">
      <c r="A47" s="130">
        <v>46</v>
      </c>
      <c r="B47" s="143" t="str">
        <f>IF(DATA_IMPORT!A47="", "", DATA_IMPORT!A47)</f>
        <v/>
      </c>
      <c r="C47" s="143" t="str">
        <f>IF(DATA_IMPORT!B47="", "", DATA_IMPORT!B47)</f>
        <v/>
      </c>
      <c r="D47" s="303" t="s">
        <v>35</v>
      </c>
      <c r="E47" s="15"/>
      <c r="F47" s="15"/>
      <c r="G47" s="15"/>
      <c r="H47" s="15"/>
      <c r="I47" s="15"/>
      <c r="N47" s="110">
        <f ca="1">$Q$4 + RAND()</f>
        <v>0.33627746186646734</v>
      </c>
      <c r="O47" s="175">
        <f ca="1">IF(N47="", "", _xlfn.RANK.EQ(N47, $N$2:$N$120) + COUNTIF($N$2:N47, N47) - 1)</f>
        <v>90</v>
      </c>
      <c r="Q47" s="32"/>
    </row>
    <row r="48" spans="1:17" ht="27.75" customHeight="1">
      <c r="A48" s="130">
        <v>47</v>
      </c>
      <c r="B48" s="143" t="str">
        <f>IF(DATA_IMPORT!A48="", "", DATA_IMPORT!A48)</f>
        <v/>
      </c>
      <c r="C48" s="143" t="str">
        <f>IF(DATA_IMPORT!B48="", "", DATA_IMPORT!B48)</f>
        <v/>
      </c>
      <c r="D48" s="303" t="s">
        <v>35</v>
      </c>
      <c r="E48" s="15"/>
      <c r="F48" s="15"/>
      <c r="G48" s="15"/>
      <c r="H48" s="15"/>
      <c r="I48" s="15"/>
      <c r="N48" s="110">
        <f ca="1">$Q$4 + RAND()</f>
        <v>0.79144329184879769</v>
      </c>
      <c r="O48" s="175">
        <f ca="1">IF(N48="", "", _xlfn.RANK.EQ(N48, $N$2:$N$120) + COUNTIF($N$2:N48, N48) - 1)</f>
        <v>23</v>
      </c>
      <c r="Q48" s="32"/>
    </row>
    <row r="49" spans="1:17" ht="27.75" customHeight="1">
      <c r="A49" s="130">
        <v>48</v>
      </c>
      <c r="B49" s="143" t="str">
        <f>IF(DATA_IMPORT!A49="", "", DATA_IMPORT!A49)</f>
        <v/>
      </c>
      <c r="C49" s="143" t="str">
        <f>IF(DATA_IMPORT!B49="", "", DATA_IMPORT!B49)</f>
        <v/>
      </c>
      <c r="D49" s="303" t="s">
        <v>35</v>
      </c>
      <c r="E49" s="15"/>
      <c r="F49" s="15"/>
      <c r="G49" s="15"/>
      <c r="H49" s="15"/>
      <c r="I49" s="15"/>
      <c r="N49" s="110">
        <f ca="1">$Q$4 + RAND()</f>
        <v>0.61909175624949786</v>
      </c>
      <c r="O49" s="175">
        <f ca="1">IF(N49="", "", _xlfn.RANK.EQ(N49, $N$2:$N$120) + COUNTIF($N$2:N49, N49) - 1)</f>
        <v>50</v>
      </c>
      <c r="Q49" s="32"/>
    </row>
    <row r="50" spans="1:17" ht="27.75" customHeight="1">
      <c r="A50" s="130">
        <v>49</v>
      </c>
      <c r="B50" s="143" t="str">
        <f>IF(DATA_IMPORT!A50="", "", DATA_IMPORT!A50)</f>
        <v/>
      </c>
      <c r="C50" s="143" t="str">
        <f>IF(DATA_IMPORT!B50="", "", DATA_IMPORT!B50)</f>
        <v/>
      </c>
      <c r="D50" s="303" t="s">
        <v>35</v>
      </c>
      <c r="E50" s="15"/>
      <c r="F50" s="15"/>
      <c r="G50" s="15"/>
      <c r="H50" s="15"/>
      <c r="I50" s="15"/>
      <c r="N50" s="110">
        <f ca="1">$Q$4 + RAND()</f>
        <v>0.17542028989904623</v>
      </c>
      <c r="O50" s="175">
        <f ca="1">IF(N50="", "", _xlfn.RANK.EQ(N50, $N$2:$N$120) + COUNTIF($N$2:N50, N50) - 1)</f>
        <v>108</v>
      </c>
      <c r="Q50" s="32"/>
    </row>
    <row r="51" spans="1:17" ht="27.75" customHeight="1">
      <c r="A51" s="130">
        <v>50</v>
      </c>
      <c r="B51" s="143" t="str">
        <f>IF(DATA_IMPORT!A51="", "", DATA_IMPORT!A51)</f>
        <v/>
      </c>
      <c r="C51" s="143" t="str">
        <f>IF(DATA_IMPORT!B51="", "", DATA_IMPORT!B51)</f>
        <v/>
      </c>
      <c r="D51" s="303" t="s">
        <v>35</v>
      </c>
      <c r="E51" s="15"/>
      <c r="F51" s="15"/>
      <c r="G51" s="15"/>
      <c r="H51" s="15"/>
      <c r="I51" s="15"/>
      <c r="N51" s="110">
        <f ca="1">$Q$4 + RAND()</f>
        <v>0.81566995169402168</v>
      </c>
      <c r="O51" s="175">
        <f ca="1">IF(N51="", "", _xlfn.RANK.EQ(N51, $N$2:$N$120) + COUNTIF($N$2:N51, N51) - 1)</f>
        <v>18</v>
      </c>
      <c r="Q51" s="32"/>
    </row>
    <row r="52" spans="1:17" ht="27.75" customHeight="1">
      <c r="A52" s="130">
        <v>51</v>
      </c>
      <c r="B52" s="143" t="str">
        <f>IF(DATA_IMPORT!A52="", "", DATA_IMPORT!A52)</f>
        <v/>
      </c>
      <c r="C52" s="143" t="str">
        <f>IF(DATA_IMPORT!B52="", "", DATA_IMPORT!B52)</f>
        <v/>
      </c>
      <c r="D52" s="303" t="s">
        <v>35</v>
      </c>
      <c r="E52" s="15"/>
      <c r="F52" s="15"/>
      <c r="G52" s="15"/>
      <c r="H52" s="15"/>
      <c r="I52" s="15"/>
      <c r="N52" s="110">
        <f ca="1">$Q$4 + RAND()</f>
        <v>0.65881583554750567</v>
      </c>
      <c r="O52" s="175">
        <f ca="1">IF(N52="", "", _xlfn.RANK.EQ(N52, $N$2:$N$120) + COUNTIF($N$2:N52, N52) - 1)</f>
        <v>41</v>
      </c>
      <c r="Q52" s="32"/>
    </row>
    <row r="53" spans="1:17" ht="27.75" customHeight="1">
      <c r="A53" s="130">
        <v>52</v>
      </c>
      <c r="B53" s="143" t="str">
        <f>IF(DATA_IMPORT!A53="", "", DATA_IMPORT!A53)</f>
        <v/>
      </c>
      <c r="C53" s="143" t="str">
        <f>IF(DATA_IMPORT!B53="", "", DATA_IMPORT!B53)</f>
        <v/>
      </c>
      <c r="D53" s="303" t="s">
        <v>35</v>
      </c>
      <c r="E53" s="15"/>
      <c r="F53" s="15"/>
      <c r="G53" s="15"/>
      <c r="H53" s="15"/>
      <c r="I53" s="15"/>
      <c r="N53" s="110">
        <f ca="1">$Q$4 + RAND()</f>
        <v>0.78257937307389147</v>
      </c>
      <c r="O53" s="175">
        <f ca="1">IF(N53="", "", _xlfn.RANK.EQ(N53, $N$2:$N$120) + COUNTIF($N$2:N53, N53) - 1)</f>
        <v>26</v>
      </c>
      <c r="Q53" s="32"/>
    </row>
    <row r="54" spans="1:17" ht="27.75" customHeight="1">
      <c r="A54" s="130">
        <v>53</v>
      </c>
      <c r="B54" s="143" t="str">
        <f>IF(DATA_IMPORT!A54="", "", DATA_IMPORT!A54)</f>
        <v/>
      </c>
      <c r="C54" s="143" t="str">
        <f>IF(DATA_IMPORT!B54="", "", DATA_IMPORT!B54)</f>
        <v/>
      </c>
      <c r="D54" s="303" t="s">
        <v>35</v>
      </c>
      <c r="E54" s="15"/>
      <c r="F54" s="15"/>
      <c r="G54" s="15"/>
      <c r="H54" s="15"/>
      <c r="I54" s="15"/>
      <c r="N54" s="110">
        <f ca="1">$Q$4 + RAND()</f>
        <v>0.6327841067045149</v>
      </c>
      <c r="O54" s="175">
        <f ca="1">IF(N54="", "", _xlfn.RANK.EQ(N54, $N$2:$N$120) + COUNTIF($N$2:N54, N54) - 1)</f>
        <v>49</v>
      </c>
      <c r="Q54" s="32"/>
    </row>
    <row r="55" spans="1:17" ht="27.75" customHeight="1">
      <c r="A55" s="130">
        <v>54</v>
      </c>
      <c r="B55" s="143" t="str">
        <f>IF(DATA_IMPORT!A55="", "", DATA_IMPORT!A55)</f>
        <v/>
      </c>
      <c r="C55" s="143" t="str">
        <f>IF(DATA_IMPORT!B55="", "", DATA_IMPORT!B55)</f>
        <v/>
      </c>
      <c r="D55" s="303" t="s">
        <v>35</v>
      </c>
      <c r="E55" s="15"/>
      <c r="F55" s="15"/>
      <c r="G55" s="15"/>
      <c r="H55" s="15"/>
      <c r="I55" s="15"/>
      <c r="N55" s="110">
        <f ca="1">$Q$4 + RAND()</f>
        <v>0.44996257007098817</v>
      </c>
      <c r="O55" s="175">
        <f ca="1">IF(N55="", "", _xlfn.RANK.EQ(N55, $N$2:$N$120) + COUNTIF($N$2:N55, N55) - 1)</f>
        <v>74</v>
      </c>
      <c r="Q55" s="32"/>
    </row>
    <row r="56" spans="1:17" ht="27.75" customHeight="1">
      <c r="A56" s="130">
        <v>55</v>
      </c>
      <c r="B56" s="143" t="str">
        <f>IF(DATA_IMPORT!A56="", "", DATA_IMPORT!A56)</f>
        <v/>
      </c>
      <c r="C56" s="143" t="str">
        <f>IF(DATA_IMPORT!B56="", "", DATA_IMPORT!B56)</f>
        <v/>
      </c>
      <c r="D56" s="303" t="s">
        <v>35</v>
      </c>
      <c r="E56" s="15"/>
      <c r="F56" s="15"/>
      <c r="G56" s="15"/>
      <c r="H56" s="15"/>
      <c r="I56" s="15"/>
      <c r="N56" s="110">
        <f ca="1">$Q$4 + RAND()</f>
        <v>0.76967245181619004</v>
      </c>
      <c r="O56" s="175">
        <f ca="1">IF(N56="", "", _xlfn.RANK.EQ(N56, $N$2:$N$120) + COUNTIF($N$2:N56, N56) - 1)</f>
        <v>28</v>
      </c>
      <c r="Q56" s="32"/>
    </row>
    <row r="57" spans="1:17" ht="27.75" customHeight="1">
      <c r="A57" s="130">
        <v>56</v>
      </c>
      <c r="B57" s="143" t="str">
        <f>IF(DATA_IMPORT!A57="", "", DATA_IMPORT!A57)</f>
        <v/>
      </c>
      <c r="C57" s="143" t="str">
        <f>IF(DATA_IMPORT!B57="", "", DATA_IMPORT!B57)</f>
        <v/>
      </c>
      <c r="D57" s="303" t="s">
        <v>35</v>
      </c>
      <c r="E57" s="15"/>
      <c r="F57" s="15"/>
      <c r="G57" s="15"/>
      <c r="H57" s="15"/>
      <c r="I57" s="15"/>
      <c r="N57" s="110">
        <f ca="1">$Q$4 + RAND()</f>
        <v>0.61341075918034749</v>
      </c>
      <c r="O57" s="175">
        <f ca="1">IF(N57="", "", _xlfn.RANK.EQ(N57, $N$2:$N$120) + COUNTIF($N$2:N57, N57) - 1)</f>
        <v>51</v>
      </c>
      <c r="Q57" s="32"/>
    </row>
    <row r="58" spans="1:17" ht="27.75" customHeight="1">
      <c r="A58" s="130">
        <v>57</v>
      </c>
      <c r="B58" s="143" t="str">
        <f>IF(DATA_IMPORT!A58="", "", DATA_IMPORT!A58)</f>
        <v/>
      </c>
      <c r="C58" s="143" t="str">
        <f>IF(DATA_IMPORT!B58="", "", DATA_IMPORT!B58)</f>
        <v/>
      </c>
      <c r="D58" s="303" t="s">
        <v>35</v>
      </c>
      <c r="E58" s="15"/>
      <c r="F58" s="15"/>
      <c r="G58" s="15"/>
      <c r="H58" s="15"/>
      <c r="I58" s="15"/>
      <c r="N58" s="110">
        <f ca="1">$Q$4 + RAND()</f>
        <v>0.30561860332855628</v>
      </c>
      <c r="O58" s="175">
        <f ca="1">IF(N58="", "", _xlfn.RANK.EQ(N58, $N$2:$N$120) + COUNTIF($N$2:N58, N58) - 1)</f>
        <v>95</v>
      </c>
      <c r="Q58" s="32"/>
    </row>
    <row r="59" spans="1:17" ht="27.75" customHeight="1">
      <c r="A59" s="130">
        <v>58</v>
      </c>
      <c r="B59" s="143" t="str">
        <f>IF(DATA_IMPORT!A59="", "", DATA_IMPORT!A59)</f>
        <v/>
      </c>
      <c r="C59" s="143" t="str">
        <f>IF(DATA_IMPORT!B59="", "", DATA_IMPORT!B59)</f>
        <v/>
      </c>
      <c r="D59" s="303" t="s">
        <v>35</v>
      </c>
      <c r="E59" s="15"/>
      <c r="F59" s="15"/>
      <c r="G59" s="15"/>
      <c r="H59" s="15"/>
      <c r="I59" s="15"/>
      <c r="N59" s="110">
        <f ca="1">$Q$4 + RAND()</f>
        <v>0.36135696425116626</v>
      </c>
      <c r="O59" s="175">
        <f ca="1">IF(N59="", "", _xlfn.RANK.EQ(N59, $N$2:$N$120) + COUNTIF($N$2:N59, N59) - 1)</f>
        <v>86</v>
      </c>
      <c r="Q59" s="32"/>
    </row>
    <row r="60" spans="1:17" ht="27.75" customHeight="1">
      <c r="A60" s="130">
        <v>59</v>
      </c>
      <c r="B60" s="143" t="str">
        <f>IF(DATA_IMPORT!A60="", "", DATA_IMPORT!A60)</f>
        <v/>
      </c>
      <c r="C60" s="143" t="str">
        <f>IF(DATA_IMPORT!B60="", "", DATA_IMPORT!B60)</f>
        <v/>
      </c>
      <c r="D60" s="303" t="s">
        <v>35</v>
      </c>
      <c r="E60" s="15"/>
      <c r="F60" s="15"/>
      <c r="G60" s="15"/>
      <c r="H60" s="15"/>
      <c r="I60" s="15"/>
      <c r="N60" s="110">
        <f ca="1">$Q$4 + RAND()</f>
        <v>0.67355919258977792</v>
      </c>
      <c r="O60" s="175">
        <f ca="1">IF(N60="", "", _xlfn.RANK.EQ(N60, $N$2:$N$120) + COUNTIF($N$2:N60, N60) - 1)</f>
        <v>38</v>
      </c>
      <c r="Q60" s="32"/>
    </row>
    <row r="61" spans="1:17" ht="27.75" customHeight="1">
      <c r="A61" s="130">
        <v>60</v>
      </c>
      <c r="B61" s="143" t="str">
        <f>IF(DATA_IMPORT!A61="", "", DATA_IMPORT!A61)</f>
        <v/>
      </c>
      <c r="C61" s="143" t="str">
        <f>IF(DATA_IMPORT!B61="", "", DATA_IMPORT!B61)</f>
        <v/>
      </c>
      <c r="D61" s="303" t="s">
        <v>35</v>
      </c>
      <c r="E61" s="15"/>
      <c r="F61" s="15"/>
      <c r="G61" s="15"/>
      <c r="H61" s="15"/>
      <c r="I61" s="15"/>
      <c r="N61" s="110">
        <f ca="1">$Q$4 + RAND()</f>
        <v>0.49479212799944372</v>
      </c>
      <c r="O61" s="175">
        <f ca="1">IF(N61="", "", _xlfn.RANK.EQ(N61, $N$2:$N$120) + COUNTIF($N$2:N61, N61) - 1)</f>
        <v>68</v>
      </c>
      <c r="Q61" s="32"/>
    </row>
    <row r="62" spans="1:17" ht="27.75" customHeight="1">
      <c r="A62" s="130">
        <v>61</v>
      </c>
      <c r="B62" s="143" t="str">
        <f>IF(DATA_IMPORT!A62="", "", DATA_IMPORT!A62)</f>
        <v/>
      </c>
      <c r="C62" s="143" t="str">
        <f>IF(DATA_IMPORT!B62="", "", DATA_IMPORT!B62)</f>
        <v/>
      </c>
      <c r="D62" s="303"/>
      <c r="E62" s="15"/>
      <c r="F62" s="15"/>
      <c r="G62" s="15"/>
      <c r="H62" s="15"/>
      <c r="I62" s="15"/>
      <c r="N62" s="110">
        <f ca="1">$Q$4 + RAND()</f>
        <v>0.19846000156518839</v>
      </c>
      <c r="O62" s="175">
        <f ca="1">IF(N62="", "", _xlfn.RANK.EQ(N62, $N$2:$N$120) + COUNTIF($N$2:N62, N62) - 1)</f>
        <v>104</v>
      </c>
      <c r="Q62" s="32"/>
    </row>
    <row r="63" spans="1:17" ht="27.75" customHeight="1">
      <c r="A63" s="130">
        <v>62</v>
      </c>
      <c r="B63" s="143" t="str">
        <f>IF(DATA_IMPORT!A63="", "", DATA_IMPORT!A63)</f>
        <v/>
      </c>
      <c r="C63" s="143" t="str">
        <f>IF(DATA_IMPORT!B63="", "", DATA_IMPORT!B63)</f>
        <v/>
      </c>
      <c r="D63" s="303"/>
      <c r="E63" s="15"/>
      <c r="F63" s="15"/>
      <c r="G63" s="15"/>
      <c r="H63" s="15"/>
      <c r="I63" s="15"/>
      <c r="N63" s="110">
        <f ca="1">$Q$4 + RAND()</f>
        <v>0.5669786396648635</v>
      </c>
      <c r="O63" s="175">
        <f ca="1">IF(N63="", "", _xlfn.RANK.EQ(N63, $N$2:$N$120) + COUNTIF($N$2:N63, N63) - 1)</f>
        <v>57</v>
      </c>
      <c r="Q63" s="32"/>
    </row>
    <row r="64" spans="1:17" ht="27.75" customHeight="1">
      <c r="A64" s="130">
        <v>63</v>
      </c>
      <c r="B64" s="143" t="str">
        <f>IF(DATA_IMPORT!A64="", "", DATA_IMPORT!A64)</f>
        <v/>
      </c>
      <c r="C64" s="143" t="str">
        <f>IF(DATA_IMPORT!B64="", "", DATA_IMPORT!B64)</f>
        <v/>
      </c>
      <c r="D64" s="303"/>
      <c r="E64" s="15"/>
      <c r="F64" s="15"/>
      <c r="G64" s="15"/>
      <c r="H64" s="15"/>
      <c r="I64" s="15"/>
      <c r="N64" s="110">
        <f ca="1">$Q$4 + RAND()</f>
        <v>0.39555873666360952</v>
      </c>
      <c r="O64" s="175">
        <f ca="1">IF(N64="", "", _xlfn.RANK.EQ(N64, $N$2:$N$120) + COUNTIF($N$2:N64, N64) - 1)</f>
        <v>81</v>
      </c>
      <c r="Q64" s="32"/>
    </row>
    <row r="65" spans="1:17" ht="27.75" customHeight="1">
      <c r="A65" s="130">
        <v>64</v>
      </c>
      <c r="B65" s="143" t="str">
        <f>IF(DATA_IMPORT!A65="", "", DATA_IMPORT!A65)</f>
        <v/>
      </c>
      <c r="C65" s="143" t="str">
        <f>IF(DATA_IMPORT!B65="", "", DATA_IMPORT!B65)</f>
        <v/>
      </c>
      <c r="D65" s="303"/>
      <c r="E65" s="15"/>
      <c r="F65" s="15"/>
      <c r="G65" s="15"/>
      <c r="H65" s="15"/>
      <c r="I65" s="15"/>
      <c r="N65" s="110">
        <f ca="1">$Q$4 + RAND()</f>
        <v>0.65634672883828715</v>
      </c>
      <c r="O65" s="175">
        <f ca="1">IF(N65="", "", _xlfn.RANK.EQ(N65, $N$2:$N$120) + COUNTIF($N$2:N65, N65) - 1)</f>
        <v>42</v>
      </c>
      <c r="Q65" s="32"/>
    </row>
    <row r="66" spans="1:17" ht="27.75" customHeight="1">
      <c r="A66" s="130">
        <v>65</v>
      </c>
      <c r="B66" s="143" t="str">
        <f>IF(DATA_IMPORT!A66="", "", DATA_IMPORT!A66)</f>
        <v/>
      </c>
      <c r="C66" s="143" t="str">
        <f>IF(DATA_IMPORT!B66="", "", DATA_IMPORT!B66)</f>
        <v/>
      </c>
      <c r="D66" s="303"/>
      <c r="E66" s="15"/>
      <c r="F66" s="15"/>
      <c r="G66" s="15"/>
      <c r="H66" s="15"/>
      <c r="I66" s="15"/>
      <c r="N66" s="110">
        <f ca="1">$Q$4 + RAND()</f>
        <v>0.95613347123479653</v>
      </c>
      <c r="O66" s="175">
        <f ca="1">IF(N66="", "", _xlfn.RANK.EQ(N66, $N$2:$N$120) + COUNTIF($N$2:N66, N66) - 1)</f>
        <v>5</v>
      </c>
      <c r="Q66" s="32"/>
    </row>
    <row r="67" spans="1:17" ht="27.75" customHeight="1">
      <c r="A67" s="130">
        <v>66</v>
      </c>
      <c r="B67" s="143" t="str">
        <f>IF(DATA_IMPORT!A67="", "", DATA_IMPORT!A67)</f>
        <v/>
      </c>
      <c r="C67" s="143" t="str">
        <f>IF(DATA_IMPORT!B67="", "", DATA_IMPORT!B67)</f>
        <v/>
      </c>
      <c r="D67" s="303"/>
      <c r="E67" s="15"/>
      <c r="F67" s="15"/>
      <c r="G67" s="15"/>
      <c r="H67" s="15"/>
      <c r="I67" s="15"/>
      <c r="N67" s="110">
        <f ca="1">$Q$4 + RAND()</f>
        <v>0.18939841104012134</v>
      </c>
      <c r="O67" s="175">
        <f ca="1">IF(N67="", "", _xlfn.RANK.EQ(N67, $N$2:$N$120) + COUNTIF($N$2:N67, N67) - 1)</f>
        <v>105</v>
      </c>
      <c r="Q67" s="32"/>
    </row>
    <row r="68" spans="1:17" ht="27.75" customHeight="1">
      <c r="A68" s="130">
        <v>67</v>
      </c>
      <c r="B68" s="143" t="str">
        <f>IF(DATA_IMPORT!A68="", "", DATA_IMPORT!A68)</f>
        <v/>
      </c>
      <c r="C68" s="143" t="str">
        <f>IF(DATA_IMPORT!B68="", "", DATA_IMPORT!B68)</f>
        <v/>
      </c>
      <c r="D68" s="303"/>
      <c r="E68" s="15"/>
      <c r="F68" s="15"/>
      <c r="G68" s="15"/>
      <c r="H68" s="15"/>
      <c r="I68" s="15"/>
      <c r="N68" s="110">
        <f ca="1">$Q$4 + RAND()</f>
        <v>0.51773738298580274</v>
      </c>
      <c r="O68" s="175">
        <f ca="1">IF(N68="", "", _xlfn.RANK.EQ(N68, $N$2:$N$120) + COUNTIF($N$2:N68, N68) - 1)</f>
        <v>62</v>
      </c>
      <c r="Q68" s="32"/>
    </row>
    <row r="69" spans="1:17" ht="27.75" customHeight="1">
      <c r="A69" s="130">
        <v>68</v>
      </c>
      <c r="B69" s="143" t="str">
        <f>IF(DATA_IMPORT!A69="", "", DATA_IMPORT!A69)</f>
        <v/>
      </c>
      <c r="C69" s="143" t="str">
        <f>IF(DATA_IMPORT!B69="", "", DATA_IMPORT!B69)</f>
        <v/>
      </c>
      <c r="D69" s="303"/>
      <c r="E69" s="15"/>
      <c r="F69" s="15"/>
      <c r="G69" s="15"/>
      <c r="H69" s="15"/>
      <c r="I69" s="15"/>
      <c r="N69" s="110">
        <f ca="1">$Q$4 + RAND()</f>
        <v>0.47353335072098668</v>
      </c>
      <c r="O69" s="175">
        <f ca="1">IF(N69="", "", _xlfn.RANK.EQ(N69, $N$2:$N$120) + COUNTIF($N$2:N69, N69) - 1)</f>
        <v>71</v>
      </c>
      <c r="Q69" s="32"/>
    </row>
    <row r="70" spans="1:17" ht="27.75" customHeight="1">
      <c r="A70" s="130">
        <v>69</v>
      </c>
      <c r="B70" s="143" t="str">
        <f>IF(DATA_IMPORT!A70="", "", DATA_IMPORT!A70)</f>
        <v/>
      </c>
      <c r="C70" s="143" t="str">
        <f>IF(DATA_IMPORT!B70="", "", DATA_IMPORT!B70)</f>
        <v/>
      </c>
      <c r="D70" s="303"/>
      <c r="E70" s="15"/>
      <c r="F70" s="15"/>
      <c r="G70" s="15"/>
      <c r="H70" s="15"/>
      <c r="I70" s="15"/>
      <c r="N70" s="110">
        <f ca="1">$Q$4 + RAND()</f>
        <v>0.80774820801008318</v>
      </c>
      <c r="O70" s="175">
        <f ca="1">IF(N70="", "", _xlfn.RANK.EQ(N70, $N$2:$N$120) + COUNTIF($N$2:N70, N70) - 1)</f>
        <v>19</v>
      </c>
      <c r="Q70" s="32"/>
    </row>
    <row r="71" spans="1:17" ht="27.75" customHeight="1">
      <c r="A71" s="130">
        <v>70</v>
      </c>
      <c r="B71" s="143" t="str">
        <f>IF(DATA_IMPORT!A71="", "", DATA_IMPORT!A71)</f>
        <v/>
      </c>
      <c r="C71" s="143" t="str">
        <f>IF(DATA_IMPORT!B71="", "", DATA_IMPORT!B71)</f>
        <v/>
      </c>
      <c r="D71" s="303"/>
      <c r="E71" s="15"/>
      <c r="F71" s="15"/>
      <c r="G71" s="15"/>
      <c r="H71" s="15"/>
      <c r="I71" s="15"/>
      <c r="N71" s="110">
        <f ca="1">$Q$4 + RAND()</f>
        <v>0.84089664270171627</v>
      </c>
      <c r="O71" s="175">
        <f ca="1">IF(N71="", "", _xlfn.RANK.EQ(N71, $N$2:$N$120) + COUNTIF($N$2:N71, N71) - 1)</f>
        <v>17</v>
      </c>
      <c r="Q71" s="32"/>
    </row>
    <row r="72" spans="1:17" ht="27.75" customHeight="1">
      <c r="A72" s="130">
        <v>71</v>
      </c>
      <c r="B72" s="143" t="str">
        <f>IF(DATA_IMPORT!A72="", "", DATA_IMPORT!A72)</f>
        <v/>
      </c>
      <c r="C72" s="143" t="str">
        <f>IF(DATA_IMPORT!B72="", "", DATA_IMPORT!B72)</f>
        <v/>
      </c>
      <c r="D72" s="303"/>
      <c r="E72" s="15"/>
      <c r="F72" s="15"/>
      <c r="G72" s="15"/>
      <c r="H72" s="15"/>
      <c r="I72" s="15"/>
      <c r="N72" s="110">
        <f ca="1">$Q$4 + RAND()</f>
        <v>0.6392197823048118</v>
      </c>
      <c r="O72" s="175">
        <f ca="1">IF(N72="", "", _xlfn.RANK.EQ(N72, $N$2:$N$120) + COUNTIF($N$2:N72, N72) - 1)</f>
        <v>47</v>
      </c>
      <c r="Q72" s="32"/>
    </row>
    <row r="73" spans="1:17" ht="27.75" customHeight="1">
      <c r="A73" s="130">
        <v>72</v>
      </c>
      <c r="B73" s="143" t="str">
        <f>IF(DATA_IMPORT!A73="", "", DATA_IMPORT!A73)</f>
        <v/>
      </c>
      <c r="C73" s="143" t="str">
        <f>IF(DATA_IMPORT!B73="", "", DATA_IMPORT!B73)</f>
        <v/>
      </c>
      <c r="D73" s="303"/>
      <c r="E73" s="15"/>
      <c r="F73" s="15"/>
      <c r="G73" s="15"/>
      <c r="H73" s="15"/>
      <c r="I73" s="15"/>
      <c r="N73" s="110">
        <f ca="1">$Q$4 + RAND()</f>
        <v>4.4885757423788419E-2</v>
      </c>
      <c r="O73" s="175">
        <f ca="1">IF(N73="", "", _xlfn.RANK.EQ(N73, $N$2:$N$120) + COUNTIF($N$2:N73, N73) - 1)</f>
        <v>117</v>
      </c>
      <c r="Q73" s="32"/>
    </row>
    <row r="74" spans="1:17" ht="27.75" customHeight="1">
      <c r="A74" s="130">
        <v>73</v>
      </c>
      <c r="B74" s="143" t="str">
        <f>IF(DATA_IMPORT!A74="", "", DATA_IMPORT!A74)</f>
        <v/>
      </c>
      <c r="C74" s="143" t="str">
        <f>IF(DATA_IMPORT!B74="", "", DATA_IMPORT!B74)</f>
        <v/>
      </c>
      <c r="D74" s="303"/>
      <c r="E74" s="15"/>
      <c r="F74" s="15"/>
      <c r="G74" s="15"/>
      <c r="H74" s="15"/>
      <c r="I74" s="15"/>
      <c r="N74" s="110">
        <f ca="1">$Q$4 + RAND()</f>
        <v>0.87859266894888777</v>
      </c>
      <c r="O74" s="175">
        <f ca="1">IF(N74="", "", _xlfn.RANK.EQ(N74, $N$2:$N$120) + COUNTIF($N$2:N74, N74) - 1)</f>
        <v>12</v>
      </c>
      <c r="Q74" s="32"/>
    </row>
    <row r="75" spans="1:17" ht="27.75" customHeight="1">
      <c r="A75" s="130">
        <v>74</v>
      </c>
      <c r="B75" s="143" t="str">
        <f>IF(DATA_IMPORT!A75="", "", DATA_IMPORT!A75)</f>
        <v/>
      </c>
      <c r="C75" s="143" t="str">
        <f>IF(DATA_IMPORT!B75="", "", DATA_IMPORT!B75)</f>
        <v/>
      </c>
      <c r="D75" s="303"/>
      <c r="E75" s="15"/>
      <c r="F75" s="15"/>
      <c r="G75" s="15"/>
      <c r="H75" s="15"/>
      <c r="I75" s="15"/>
      <c r="N75" s="110">
        <f ca="1">$Q$4 + RAND()</f>
        <v>0.53963361405654042</v>
      </c>
      <c r="O75" s="175">
        <f ca="1">IF(N75="", "", _xlfn.RANK.EQ(N75, $N$2:$N$120) + COUNTIF($N$2:N75, N75) - 1)</f>
        <v>61</v>
      </c>
      <c r="Q75" s="32"/>
    </row>
    <row r="76" spans="1:17" ht="27.75" customHeight="1">
      <c r="A76" s="130">
        <v>75</v>
      </c>
      <c r="B76" s="143" t="str">
        <f>IF(DATA_IMPORT!A76="", "", DATA_IMPORT!A76)</f>
        <v/>
      </c>
      <c r="C76" s="143" t="str">
        <f>IF(DATA_IMPORT!B76="", "", DATA_IMPORT!B76)</f>
        <v/>
      </c>
      <c r="D76" s="303"/>
      <c r="E76" s="15"/>
      <c r="F76" s="15"/>
      <c r="G76" s="15"/>
      <c r="H76" s="15"/>
      <c r="I76" s="15"/>
      <c r="N76" s="110">
        <f ca="1">$Q$4 + RAND()</f>
        <v>0.76442005281140746</v>
      </c>
      <c r="O76" s="175">
        <f ca="1">IF(N76="", "", _xlfn.RANK.EQ(N76, $N$2:$N$120) + COUNTIF($N$2:N76, N76) - 1)</f>
        <v>30</v>
      </c>
      <c r="Q76" s="32"/>
    </row>
    <row r="77" spans="1:17" ht="27.75" customHeight="1">
      <c r="A77" s="130">
        <v>76</v>
      </c>
      <c r="B77" s="143" t="str">
        <f>IF(DATA_IMPORT!A77="", "", DATA_IMPORT!A77)</f>
        <v/>
      </c>
      <c r="C77" s="143" t="str">
        <f>IF(DATA_IMPORT!B77="", "", DATA_IMPORT!B77)</f>
        <v/>
      </c>
      <c r="D77" s="303"/>
      <c r="E77" s="15"/>
      <c r="F77" s="15"/>
      <c r="G77" s="15"/>
      <c r="H77" s="15"/>
      <c r="I77" s="15"/>
      <c r="N77" s="110">
        <f ca="1">$Q$4 + RAND()</f>
        <v>0.10095817905501858</v>
      </c>
      <c r="O77" s="175">
        <f ca="1">IF(N77="", "", _xlfn.RANK.EQ(N77, $N$2:$N$120) + COUNTIF($N$2:N77, N77) - 1)</f>
        <v>113</v>
      </c>
      <c r="Q77" s="32"/>
    </row>
    <row r="78" spans="1:17" ht="27.75" customHeight="1">
      <c r="A78" s="130">
        <v>77</v>
      </c>
      <c r="B78" s="143" t="str">
        <f>IF(DATA_IMPORT!A78="", "", DATA_IMPORT!A78)</f>
        <v/>
      </c>
      <c r="C78" s="143" t="str">
        <f>IF(DATA_IMPORT!B78="", "", DATA_IMPORT!B78)</f>
        <v/>
      </c>
      <c r="D78" s="303"/>
      <c r="E78" s="15"/>
      <c r="F78" s="15"/>
      <c r="G78" s="15"/>
      <c r="H78" s="15"/>
      <c r="I78" s="15"/>
      <c r="N78" s="110">
        <f ca="1">$Q$4 + RAND()</f>
        <v>0.92773007254491513</v>
      </c>
      <c r="O78" s="175">
        <f ca="1">IF(N78="", "", _xlfn.RANK.EQ(N78, $N$2:$N$120) + COUNTIF($N$2:N78, N78) - 1)</f>
        <v>7</v>
      </c>
      <c r="Q78" s="32"/>
    </row>
    <row r="79" spans="1:17" ht="27.75" customHeight="1">
      <c r="A79" s="130">
        <v>78</v>
      </c>
      <c r="B79" s="143" t="str">
        <f>IF(DATA_IMPORT!A79="", "", DATA_IMPORT!A79)</f>
        <v/>
      </c>
      <c r="C79" s="143" t="str">
        <f>IF(DATA_IMPORT!B79="", "", DATA_IMPORT!B79)</f>
        <v/>
      </c>
      <c r="D79" s="303"/>
      <c r="E79" s="15"/>
      <c r="F79" s="15"/>
      <c r="G79" s="15"/>
      <c r="H79" s="15"/>
      <c r="I79" s="15"/>
      <c r="N79" s="110">
        <f ca="1">$Q$4 + RAND()</f>
        <v>0.12566532386478313</v>
      </c>
      <c r="O79" s="175">
        <f ca="1">IF(N79="", "", _xlfn.RANK.EQ(N79, $N$2:$N$120) + COUNTIF($N$2:N79, N79) - 1)</f>
        <v>112</v>
      </c>
      <c r="Q79" s="32"/>
    </row>
    <row r="80" spans="1:17" ht="27.75" customHeight="1">
      <c r="A80" s="130">
        <v>79</v>
      </c>
      <c r="B80" s="143" t="str">
        <f>IF(DATA_IMPORT!A80="", "", DATA_IMPORT!A80)</f>
        <v/>
      </c>
      <c r="C80" s="143" t="str">
        <f>IF(DATA_IMPORT!B80="", "", DATA_IMPORT!B80)</f>
        <v/>
      </c>
      <c r="D80" s="303"/>
      <c r="E80" s="15"/>
      <c r="F80" s="15"/>
      <c r="G80" s="15"/>
      <c r="H80" s="15"/>
      <c r="I80" s="15"/>
      <c r="N80" s="110">
        <f ca="1">$Q$4 + RAND()</f>
        <v>0.95255006073524784</v>
      </c>
      <c r="O80" s="175">
        <f ca="1">IF(N80="", "", _xlfn.RANK.EQ(N80, $N$2:$N$120) + COUNTIF($N$2:N80, N80) - 1)</f>
        <v>6</v>
      </c>
      <c r="Q80" s="32"/>
    </row>
    <row r="81" spans="1:17" ht="27.75" customHeight="1">
      <c r="A81" s="130">
        <v>80</v>
      </c>
      <c r="B81" s="143" t="str">
        <f>IF(DATA_IMPORT!A81="", "", DATA_IMPORT!A81)</f>
        <v/>
      </c>
      <c r="C81" s="143" t="str">
        <f>IF(DATA_IMPORT!B81="", "", DATA_IMPORT!B81)</f>
        <v/>
      </c>
      <c r="D81" s="303"/>
      <c r="E81" s="15"/>
      <c r="F81" s="15"/>
      <c r="G81" s="15"/>
      <c r="H81" s="15"/>
      <c r="I81" s="15"/>
      <c r="N81" s="110">
        <f ca="1">$Q$4 + RAND()</f>
        <v>0.65572682184455877</v>
      </c>
      <c r="O81" s="175">
        <f ca="1">IF(N81="", "", _xlfn.RANK.EQ(N81, $N$2:$N$120) + COUNTIF($N$2:N81, N81) - 1)</f>
        <v>43</v>
      </c>
      <c r="Q81" s="32"/>
    </row>
    <row r="82" spans="1:17" ht="27.75" customHeight="1">
      <c r="A82" s="130">
        <v>81</v>
      </c>
      <c r="B82" s="143" t="str">
        <f>IF(DATA_IMPORT!A82="", "", DATA_IMPORT!A82)</f>
        <v/>
      </c>
      <c r="C82" s="143" t="str">
        <f>IF(DATA_IMPORT!B82="", "", DATA_IMPORT!B82)</f>
        <v/>
      </c>
      <c r="D82" s="303"/>
      <c r="E82" s="15"/>
      <c r="F82" s="15"/>
      <c r="G82" s="15"/>
      <c r="H82" s="15"/>
      <c r="I82" s="15"/>
      <c r="N82" s="110">
        <f ca="1">$Q$4 + RAND()</f>
        <v>0.46761774729918659</v>
      </c>
      <c r="O82" s="175">
        <f ca="1">IF(N82="", "", _xlfn.RANK.EQ(N82, $N$2:$N$120) + COUNTIF($N$2:N82, N82) - 1)</f>
        <v>72</v>
      </c>
      <c r="Q82" s="32"/>
    </row>
    <row r="83" spans="1:17" ht="27.75" customHeight="1">
      <c r="A83" s="130">
        <v>82</v>
      </c>
      <c r="B83" s="143" t="str">
        <f>IF(DATA_IMPORT!A83="", "", DATA_IMPORT!A83)</f>
        <v/>
      </c>
      <c r="C83" s="143" t="str">
        <f>IF(DATA_IMPORT!B83="", "", DATA_IMPORT!B83)</f>
        <v/>
      </c>
      <c r="D83" s="303"/>
      <c r="E83" s="15"/>
      <c r="F83" s="15"/>
      <c r="G83" s="15"/>
      <c r="H83" s="15"/>
      <c r="I83" s="15"/>
      <c r="N83" s="110">
        <f ca="1">$Q$4 + RAND()</f>
        <v>0.75036088223902564</v>
      </c>
      <c r="O83" s="175">
        <f ca="1">IF(N83="", "", _xlfn.RANK.EQ(N83, $N$2:$N$120) + COUNTIF($N$2:N83, N83) - 1)</f>
        <v>32</v>
      </c>
      <c r="Q83" s="32"/>
    </row>
    <row r="84" spans="1:17" ht="27.75" customHeight="1">
      <c r="A84" s="130">
        <v>83</v>
      </c>
      <c r="B84" s="143" t="str">
        <f>IF(DATA_IMPORT!A84="", "", DATA_IMPORT!A84)</f>
        <v/>
      </c>
      <c r="C84" s="143" t="str">
        <f>IF(DATA_IMPORT!B84="", "", DATA_IMPORT!B84)</f>
        <v/>
      </c>
      <c r="D84" s="303"/>
      <c r="E84" s="15"/>
      <c r="F84" s="15"/>
      <c r="G84" s="15"/>
      <c r="H84" s="15"/>
      <c r="I84" s="15"/>
      <c r="N84" s="110">
        <f ca="1">$Q$4 + RAND()</f>
        <v>0.80208785826542961</v>
      </c>
      <c r="O84" s="175">
        <f ca="1">IF(N84="", "", _xlfn.RANK.EQ(N84, $N$2:$N$120) + COUNTIF($N$2:N84, N84) - 1)</f>
        <v>20</v>
      </c>
      <c r="Q84" s="32"/>
    </row>
    <row r="85" spans="1:17" ht="27.75" customHeight="1">
      <c r="A85" s="130">
        <v>84</v>
      </c>
      <c r="B85" s="143" t="str">
        <f>IF(DATA_IMPORT!A85="", "", DATA_IMPORT!A85)</f>
        <v/>
      </c>
      <c r="C85" s="143" t="str">
        <f>IF(DATA_IMPORT!B85="", "", DATA_IMPORT!B85)</f>
        <v/>
      </c>
      <c r="D85" s="303"/>
      <c r="E85" s="15"/>
      <c r="F85" s="15"/>
      <c r="G85" s="15"/>
      <c r="H85" s="15"/>
      <c r="I85" s="15"/>
      <c r="N85" s="110">
        <f ca="1">$Q$4 + RAND()</f>
        <v>0.33556145732130771</v>
      </c>
      <c r="O85" s="175">
        <f ca="1">IF(N85="", "", _xlfn.RANK.EQ(N85, $N$2:$N$120) + COUNTIF($N$2:N85, N85) - 1)</f>
        <v>91</v>
      </c>
      <c r="Q85" s="32"/>
    </row>
    <row r="86" spans="1:17" ht="27.75" customHeight="1">
      <c r="A86" s="130">
        <v>85</v>
      </c>
      <c r="B86" s="143" t="str">
        <f>IF(DATA_IMPORT!A86="", "", DATA_IMPORT!A86)</f>
        <v/>
      </c>
      <c r="C86" s="143" t="str">
        <f>IF(DATA_IMPORT!B86="", "", DATA_IMPORT!B86)</f>
        <v/>
      </c>
      <c r="D86" s="303"/>
      <c r="E86" s="15"/>
      <c r="F86" s="15"/>
      <c r="G86" s="15"/>
      <c r="H86" s="15"/>
      <c r="I86" s="15"/>
      <c r="N86" s="110">
        <f ca="1">$Q$4 + RAND()</f>
        <v>0.64657291389431382</v>
      </c>
      <c r="O86" s="175">
        <f ca="1">IF(N86="", "", _xlfn.RANK.EQ(N86, $N$2:$N$120) + COUNTIF($N$2:N86, N86) - 1)</f>
        <v>45</v>
      </c>
      <c r="Q86" s="32"/>
    </row>
    <row r="87" spans="1:17" ht="27.75" customHeight="1">
      <c r="A87" s="130">
        <v>86</v>
      </c>
      <c r="B87" s="143" t="str">
        <f>IF(DATA_IMPORT!A87="", "", DATA_IMPORT!A87)</f>
        <v/>
      </c>
      <c r="C87" s="143" t="str">
        <f>IF(DATA_IMPORT!B87="", "", DATA_IMPORT!B87)</f>
        <v/>
      </c>
      <c r="D87" s="303"/>
      <c r="E87" s="15"/>
      <c r="F87" s="15"/>
      <c r="G87" s="15"/>
      <c r="H87" s="15"/>
      <c r="I87" s="15"/>
      <c r="N87" s="110">
        <f ca="1">$Q$4 + RAND()</f>
        <v>0.15439990793258407</v>
      </c>
      <c r="O87" s="175">
        <f ca="1">IF(N87="", "", _xlfn.RANK.EQ(N87, $N$2:$N$120) + COUNTIF($N$2:N87, N87) - 1)</f>
        <v>109</v>
      </c>
      <c r="Q87" s="32"/>
    </row>
    <row r="88" spans="1:17" ht="27.75" customHeight="1">
      <c r="A88" s="130">
        <v>87</v>
      </c>
      <c r="B88" s="143" t="str">
        <f>IF(DATA_IMPORT!A88="", "", DATA_IMPORT!A88)</f>
        <v/>
      </c>
      <c r="C88" s="143" t="str">
        <f>IF(DATA_IMPORT!B88="", "", DATA_IMPORT!B88)</f>
        <v/>
      </c>
      <c r="D88" s="303"/>
      <c r="E88" s="15"/>
      <c r="F88" s="15"/>
      <c r="G88" s="15"/>
      <c r="H88" s="15"/>
      <c r="I88" s="15"/>
      <c r="N88" s="110">
        <f ca="1">$Q$4 + RAND()</f>
        <v>0.18143935852323501</v>
      </c>
      <c r="O88" s="175">
        <f ca="1">IF(N88="", "", _xlfn.RANK.EQ(N88, $N$2:$N$120) + COUNTIF($N$2:N88, N88) - 1)</f>
        <v>107</v>
      </c>
      <c r="Q88" s="32"/>
    </row>
    <row r="89" spans="1:17" ht="27.75" customHeight="1">
      <c r="A89" s="130">
        <v>88</v>
      </c>
      <c r="B89" s="143" t="str">
        <f>IF(DATA_IMPORT!A89="", "", DATA_IMPORT!A89)</f>
        <v/>
      </c>
      <c r="C89" s="143" t="str">
        <f>IF(DATA_IMPORT!B89="", "", DATA_IMPORT!B89)</f>
        <v/>
      </c>
      <c r="D89" s="303"/>
      <c r="E89" s="15"/>
      <c r="F89" s="15"/>
      <c r="G89" s="15"/>
      <c r="H89" s="15"/>
      <c r="I89" s="15"/>
      <c r="N89" s="110">
        <f ca="1">$Q$4 + RAND()</f>
        <v>0.55896570903794973</v>
      </c>
      <c r="O89" s="175">
        <f ca="1">IF(N89="", "", _xlfn.RANK.EQ(N89, $N$2:$N$120) + COUNTIF($N$2:N89, N89) - 1)</f>
        <v>59</v>
      </c>
      <c r="Q89" s="32"/>
    </row>
    <row r="90" spans="1:17" ht="27.75" customHeight="1">
      <c r="A90" s="130">
        <v>89</v>
      </c>
      <c r="B90" s="143" t="str">
        <f>IF(DATA_IMPORT!A90="", "", DATA_IMPORT!A90)</f>
        <v/>
      </c>
      <c r="C90" s="143" t="str">
        <f>IF(DATA_IMPORT!B90="", "", DATA_IMPORT!B90)</f>
        <v/>
      </c>
      <c r="D90" s="303"/>
      <c r="E90" s="15"/>
      <c r="F90" s="15"/>
      <c r="G90" s="15"/>
      <c r="H90" s="15"/>
      <c r="I90" s="15"/>
      <c r="N90" s="110">
        <f ca="1">$Q$4 + RAND()</f>
        <v>0.73819936581193968</v>
      </c>
      <c r="O90" s="175">
        <f ca="1">IF(N90="", "", _xlfn.RANK.EQ(N90, $N$2:$N$120) + COUNTIF($N$2:N90, N90) - 1)</f>
        <v>33</v>
      </c>
      <c r="Q90" s="32"/>
    </row>
    <row r="91" spans="1:17" ht="27.75" customHeight="1">
      <c r="A91" s="130">
        <v>90</v>
      </c>
      <c r="B91" s="143" t="str">
        <f>IF(DATA_IMPORT!A91="", "", DATA_IMPORT!A91)</f>
        <v/>
      </c>
      <c r="C91" s="143" t="str">
        <f>IF(DATA_IMPORT!B91="", "", DATA_IMPORT!B91)</f>
        <v/>
      </c>
      <c r="D91" s="303"/>
      <c r="E91" s="15"/>
      <c r="F91" s="15"/>
      <c r="G91" s="15"/>
      <c r="H91" s="15"/>
      <c r="I91" s="15"/>
      <c r="N91" s="110">
        <f ca="1">$Q$4 + RAND()</f>
        <v>0.80164907005634722</v>
      </c>
      <c r="O91" s="175">
        <f ca="1">IF(N91="", "", _xlfn.RANK.EQ(N91, $N$2:$N$120) + COUNTIF($N$2:N91, N91) - 1)</f>
        <v>21</v>
      </c>
      <c r="Q91" s="32"/>
    </row>
    <row r="92" spans="1:17" ht="27.75" customHeight="1">
      <c r="A92" s="130">
        <v>91</v>
      </c>
      <c r="B92" s="143" t="str">
        <f>IF(DATA_IMPORT!A92="", "", DATA_IMPORT!A92)</f>
        <v/>
      </c>
      <c r="C92" s="143" t="str">
        <f>IF(DATA_IMPORT!B92="", "", DATA_IMPORT!B92)</f>
        <v/>
      </c>
      <c r="D92" s="303"/>
      <c r="E92" s="15"/>
      <c r="F92" s="15"/>
      <c r="G92" s="15"/>
      <c r="H92" s="15"/>
      <c r="I92" s="15"/>
      <c r="N92" s="110">
        <f ca="1">$Q$4 + RAND()</f>
        <v>0.66092211843554272</v>
      </c>
      <c r="O92" s="175">
        <f ca="1">IF(N92="", "", _xlfn.RANK.EQ(N92, $N$2:$N$120) + COUNTIF($N$2:N92, N92) - 1)</f>
        <v>40</v>
      </c>
      <c r="Q92" s="32"/>
    </row>
    <row r="93" spans="1:17" ht="27.75" customHeight="1">
      <c r="A93" s="130">
        <v>92</v>
      </c>
      <c r="B93" s="143" t="str">
        <f>IF(DATA_IMPORT!A93="", "", DATA_IMPORT!A93)</f>
        <v/>
      </c>
      <c r="C93" s="143" t="str">
        <f>IF(DATA_IMPORT!B93="", "", DATA_IMPORT!B93)</f>
        <v/>
      </c>
      <c r="D93" s="303"/>
      <c r="E93" s="15"/>
      <c r="F93" s="15"/>
      <c r="G93" s="15"/>
      <c r="H93" s="15"/>
      <c r="I93" s="15"/>
      <c r="N93" s="110">
        <f ca="1">$Q$4 + RAND()</f>
        <v>0.39711050962300176</v>
      </c>
      <c r="O93" s="175">
        <f ca="1">IF(N93="", "", _xlfn.RANK.EQ(N93, $N$2:$N$120) + COUNTIF($N$2:N93, N93) - 1)</f>
        <v>80</v>
      </c>
      <c r="Q93" s="32"/>
    </row>
    <row r="94" spans="1:17" ht="27.75" customHeight="1">
      <c r="A94" s="130">
        <v>93</v>
      </c>
      <c r="B94" s="143" t="str">
        <f>IF(DATA_IMPORT!A94="", "", DATA_IMPORT!A94)</f>
        <v/>
      </c>
      <c r="C94" s="143" t="str">
        <f>IF(DATA_IMPORT!B94="", "", DATA_IMPORT!B94)</f>
        <v/>
      </c>
      <c r="D94" s="303"/>
      <c r="E94" s="15"/>
      <c r="F94" s="15"/>
      <c r="G94" s="15"/>
      <c r="H94" s="15"/>
      <c r="I94" s="15"/>
      <c r="N94" s="110">
        <f ca="1">$Q$4 + RAND()</f>
        <v>0.21795262363750234</v>
      </c>
      <c r="O94" s="175">
        <f ca="1">IF(N94="", "", _xlfn.RANK.EQ(N94, $N$2:$N$120) + COUNTIF($N$2:N94, N94) - 1)</f>
        <v>102</v>
      </c>
      <c r="Q94" s="32"/>
    </row>
    <row r="95" spans="1:17" ht="27.75" customHeight="1">
      <c r="A95" s="130">
        <v>94</v>
      </c>
      <c r="B95" s="143" t="str">
        <f>IF(DATA_IMPORT!A95="", "", DATA_IMPORT!A95)</f>
        <v/>
      </c>
      <c r="C95" s="143" t="str">
        <f>IF(DATA_IMPORT!B95="", "", DATA_IMPORT!B95)</f>
        <v/>
      </c>
      <c r="D95" s="303"/>
      <c r="E95" s="15"/>
      <c r="F95" s="15"/>
      <c r="G95" s="15"/>
      <c r="H95" s="15"/>
      <c r="I95" s="15"/>
      <c r="N95" s="110">
        <f ca="1">$Q$4 + RAND()</f>
        <v>0.86880638724072368</v>
      </c>
      <c r="O95" s="175">
        <f ca="1">IF(N95="", "", _xlfn.RANK.EQ(N95, $N$2:$N$120) + COUNTIF($N$2:N95, N95) - 1)</f>
        <v>13</v>
      </c>
      <c r="Q95" s="32"/>
    </row>
    <row r="96" spans="1:17" ht="27.75" customHeight="1">
      <c r="A96" s="130">
        <v>95</v>
      </c>
      <c r="B96" s="143" t="str">
        <f>IF(DATA_IMPORT!A96="", "", DATA_IMPORT!A96)</f>
        <v/>
      </c>
      <c r="C96" s="143" t="str">
        <f>IF(DATA_IMPORT!B96="", "", DATA_IMPORT!B96)</f>
        <v/>
      </c>
      <c r="D96" s="303"/>
      <c r="E96" s="15"/>
      <c r="F96" s="15"/>
      <c r="G96" s="15"/>
      <c r="H96" s="15"/>
      <c r="I96" s="15"/>
      <c r="N96" s="110">
        <f ca="1">$Q$4 + RAND()</f>
        <v>0.61038843698461609</v>
      </c>
      <c r="O96" s="175">
        <f ca="1">IF(N96="", "", _xlfn.RANK.EQ(N96, $N$2:$N$120) + COUNTIF($N$2:N96, N96) - 1)</f>
        <v>53</v>
      </c>
      <c r="Q96" s="32"/>
    </row>
    <row r="97" spans="1:17" ht="27.75" customHeight="1">
      <c r="A97" s="130">
        <v>96</v>
      </c>
      <c r="B97" s="143" t="str">
        <f>IF(DATA_IMPORT!A97="", "", DATA_IMPORT!A97)</f>
        <v/>
      </c>
      <c r="C97" s="143" t="str">
        <f>IF(DATA_IMPORT!B97="", "", DATA_IMPORT!B97)</f>
        <v/>
      </c>
      <c r="D97" s="303"/>
      <c r="E97" s="15"/>
      <c r="F97" s="15"/>
      <c r="G97" s="15"/>
      <c r="H97" s="15"/>
      <c r="I97" s="15"/>
      <c r="N97" s="110">
        <f ca="1">$Q$4 + RAND()</f>
        <v>0.38975356545245499</v>
      </c>
      <c r="O97" s="175">
        <f ca="1">IF(N97="", "", _xlfn.RANK.EQ(N97, $N$2:$N$120) + COUNTIF($N$2:N97, N97) - 1)</f>
        <v>82</v>
      </c>
      <c r="Q97" s="32"/>
    </row>
    <row r="98" spans="1:17" ht="27.75" customHeight="1">
      <c r="A98" s="130">
        <v>97</v>
      </c>
      <c r="B98" s="143" t="str">
        <f>IF(DATA_IMPORT!A98="", "", DATA_IMPORT!A98)</f>
        <v/>
      </c>
      <c r="C98" s="143" t="str">
        <f>IF(DATA_IMPORT!B98="", "", DATA_IMPORT!B98)</f>
        <v/>
      </c>
      <c r="D98" s="303"/>
      <c r="E98" s="15"/>
      <c r="F98" s="15"/>
      <c r="G98" s="15"/>
      <c r="H98" s="15"/>
      <c r="I98" s="15"/>
      <c r="N98" s="110">
        <f ca="1">$Q$4 + RAND()</f>
        <v>0.38338566530466767</v>
      </c>
      <c r="O98" s="175">
        <f ca="1">IF(N98="", "", _xlfn.RANK.EQ(N98, $N$2:$N$120) + COUNTIF($N$2:N98, N98) - 1)</f>
        <v>83</v>
      </c>
      <c r="Q98" s="32"/>
    </row>
    <row r="99" spans="1:17" ht="27.75" customHeight="1">
      <c r="A99" s="130">
        <v>98</v>
      </c>
      <c r="B99" s="143" t="str">
        <f>IF(DATA_IMPORT!A99="", "", DATA_IMPORT!A99)</f>
        <v/>
      </c>
      <c r="C99" s="143" t="str">
        <f>IF(DATA_IMPORT!B99="", "", DATA_IMPORT!B99)</f>
        <v/>
      </c>
      <c r="D99" s="303"/>
      <c r="E99" s="15"/>
      <c r="F99" s="15"/>
      <c r="G99" s="15"/>
      <c r="H99" s="15"/>
      <c r="I99" s="15"/>
      <c r="N99" s="110">
        <f ca="1">$Q$4 + RAND()</f>
        <v>0.90191418661471823</v>
      </c>
      <c r="O99" s="175">
        <f ca="1">IF(N99="", "", _xlfn.RANK.EQ(N99, $N$2:$N$120) + COUNTIF($N$2:N99, N99) - 1)</f>
        <v>9</v>
      </c>
      <c r="Q99" s="32"/>
    </row>
    <row r="100" spans="1:17" ht="27.75" customHeight="1">
      <c r="A100" s="130">
        <v>99</v>
      </c>
      <c r="B100" s="143" t="str">
        <f>IF(DATA_IMPORT!A100="", "", DATA_IMPORT!A100)</f>
        <v/>
      </c>
      <c r="C100" s="143" t="str">
        <f>IF(DATA_IMPORT!B100="", "", DATA_IMPORT!B100)</f>
        <v/>
      </c>
      <c r="D100" s="303"/>
      <c r="E100" s="15"/>
      <c r="F100" s="15"/>
      <c r="G100" s="15"/>
      <c r="H100" s="15"/>
      <c r="I100" s="15"/>
      <c r="N100" s="110">
        <f ca="1">$Q$4 + RAND()</f>
        <v>0.22694383311296951</v>
      </c>
      <c r="O100" s="175">
        <f ca="1">IF(N100="", "", _xlfn.RANK.EQ(N100, $N$2:$N$120) + COUNTIF($N$2:N100, N100) - 1)</f>
        <v>100</v>
      </c>
      <c r="Q100" s="32"/>
    </row>
    <row r="101" spans="1:17" ht="27.75" customHeight="1">
      <c r="A101" s="130">
        <v>100</v>
      </c>
      <c r="B101" s="143" t="str">
        <f>IF(DATA_IMPORT!A101="", "", DATA_IMPORT!A101)</f>
        <v/>
      </c>
      <c r="C101" s="143" t="str">
        <f>IF(DATA_IMPORT!B101="", "", DATA_IMPORT!B101)</f>
        <v/>
      </c>
      <c r="D101" s="303"/>
      <c r="E101" s="15"/>
      <c r="F101" s="15"/>
      <c r="G101" s="15"/>
      <c r="H101" s="15"/>
      <c r="I101" s="15"/>
      <c r="N101" s="110">
        <f ca="1">$Q$4 + RAND()</f>
        <v>0.88948690269835762</v>
      </c>
      <c r="O101" s="175">
        <f ca="1">IF(N101="", "", _xlfn.RANK.EQ(N101, $N$2:$N$120) + COUNTIF($N$2:N101, N101) - 1)</f>
        <v>11</v>
      </c>
      <c r="Q101" s="32"/>
    </row>
    <row r="102" spans="1:17" ht="27.75" customHeight="1">
      <c r="A102" s="130">
        <v>101</v>
      </c>
      <c r="B102" s="143" t="str">
        <f>IF(DATA_IMPORT!A102="", "", DATA_IMPORT!A102)</f>
        <v/>
      </c>
      <c r="C102" s="143" t="str">
        <f>IF(DATA_IMPORT!B102="", "", DATA_IMPORT!B102)</f>
        <v/>
      </c>
      <c r="D102" s="303"/>
      <c r="E102" s="15"/>
      <c r="F102" s="15"/>
      <c r="G102" s="15"/>
      <c r="H102" s="15"/>
      <c r="I102" s="15"/>
      <c r="N102" s="110">
        <f ca="1">$Q$4 + RAND()</f>
        <v>0.21993574773192692</v>
      </c>
      <c r="O102" s="175">
        <f ca="1">IF(N102="", "", _xlfn.RANK.EQ(N102, $N$2:$N$120) + COUNTIF($N$2:N102, N102) - 1)</f>
        <v>101</v>
      </c>
      <c r="Q102" s="32"/>
    </row>
    <row r="103" spans="1:17" ht="27.75" customHeight="1">
      <c r="A103" s="130">
        <v>102</v>
      </c>
      <c r="B103" s="143" t="str">
        <f>IF(DATA_IMPORT!A103="", "", DATA_IMPORT!A103)</f>
        <v/>
      </c>
      <c r="C103" s="143" t="str">
        <f>IF(DATA_IMPORT!B103="", "", DATA_IMPORT!B103)</f>
        <v/>
      </c>
      <c r="D103" s="303"/>
      <c r="E103" s="15"/>
      <c r="F103" s="15"/>
      <c r="G103" s="15"/>
      <c r="H103" s="15"/>
      <c r="I103" s="15"/>
      <c r="N103" s="110">
        <f ca="1">$Q$4 + RAND()</f>
        <v>0.42672034795963254</v>
      </c>
      <c r="O103" s="175">
        <f ca="1">IF(N103="", "", _xlfn.RANK.EQ(N103, $N$2:$N$120) + COUNTIF($N$2:N103, N103) - 1)</f>
        <v>77</v>
      </c>
      <c r="Q103" s="32"/>
    </row>
    <row r="104" spans="1:17" ht="27.75" customHeight="1">
      <c r="A104" s="130">
        <v>103</v>
      </c>
      <c r="B104" s="143" t="str">
        <f>IF(DATA_IMPORT!A104="", "", DATA_IMPORT!A104)</f>
        <v/>
      </c>
      <c r="C104" s="143" t="str">
        <f>IF(DATA_IMPORT!B104="", "", DATA_IMPORT!B104)</f>
        <v/>
      </c>
      <c r="D104" s="303"/>
      <c r="E104" s="15"/>
      <c r="F104" s="15"/>
      <c r="G104" s="15"/>
      <c r="H104" s="15"/>
      <c r="I104" s="15"/>
      <c r="N104" s="110">
        <f ca="1">$Q$4 + RAND()</f>
        <v>0.78489073413832167</v>
      </c>
      <c r="O104" s="175">
        <f ca="1">IF(N104="", "", _xlfn.RANK.EQ(N104, $N$2:$N$120) + COUNTIF($N$2:N104, N104) - 1)</f>
        <v>25</v>
      </c>
      <c r="Q104" s="32"/>
    </row>
    <row r="105" spans="1:17" ht="27.75" customHeight="1">
      <c r="A105" s="130">
        <v>104</v>
      </c>
      <c r="B105" s="143" t="str">
        <f>IF(DATA_IMPORT!A105="", "", DATA_IMPORT!A105)</f>
        <v/>
      </c>
      <c r="C105" s="143" t="str">
        <f>IF(DATA_IMPORT!B105="", "", DATA_IMPORT!B105)</f>
        <v/>
      </c>
      <c r="D105" s="303"/>
      <c r="E105" s="15"/>
      <c r="F105" s="15"/>
      <c r="G105" s="15"/>
      <c r="H105" s="15"/>
      <c r="I105" s="15"/>
      <c r="N105" s="110">
        <f ca="1">$Q$4 + RAND()</f>
        <v>0.63691582551903259</v>
      </c>
      <c r="O105" s="175">
        <f ca="1">IF(N105="", "", _xlfn.RANK.EQ(N105, $N$2:$N$120) + COUNTIF($N$2:N105, N105) - 1)</f>
        <v>48</v>
      </c>
      <c r="Q105" s="32"/>
    </row>
    <row r="106" spans="1:17" ht="27.75" customHeight="1">
      <c r="A106" s="130">
        <v>105</v>
      </c>
      <c r="B106" s="143" t="str">
        <f>IF(DATA_IMPORT!A106="", "", DATA_IMPORT!A106)</f>
        <v/>
      </c>
      <c r="C106" s="143" t="str">
        <f>IF(DATA_IMPORT!B106="", "", DATA_IMPORT!B106)</f>
        <v/>
      </c>
      <c r="D106" s="303"/>
      <c r="E106" s="15"/>
      <c r="F106" s="15"/>
      <c r="G106" s="15"/>
      <c r="H106" s="15"/>
      <c r="I106" s="15"/>
      <c r="N106" s="110">
        <f ca="1">$Q$4 + RAND()</f>
        <v>0.75558134220704753</v>
      </c>
      <c r="O106" s="175">
        <f ca="1">IF(N106="", "", _xlfn.RANK.EQ(N106, $N$2:$N$120) + COUNTIF($N$2:N106, N106) - 1)</f>
        <v>31</v>
      </c>
      <c r="Q106" s="32"/>
    </row>
    <row r="107" spans="1:17" ht="27.75" customHeight="1">
      <c r="A107" s="130">
        <v>106</v>
      </c>
      <c r="B107" s="143" t="str">
        <f>IF(DATA_IMPORT!A107="", "", DATA_IMPORT!A107)</f>
        <v/>
      </c>
      <c r="C107" s="143" t="str">
        <f>IF(DATA_IMPORT!B107="", "", DATA_IMPORT!B107)</f>
        <v/>
      </c>
      <c r="D107" s="303"/>
      <c r="E107" s="15"/>
      <c r="F107" s="15"/>
      <c r="G107" s="15"/>
      <c r="H107" s="15"/>
      <c r="I107" s="15"/>
      <c r="N107" s="110">
        <f ca="1">$Q$4 + RAND()</f>
        <v>0.33770572856929437</v>
      </c>
      <c r="O107" s="175">
        <f ca="1">IF(N107="", "", _xlfn.RANK.EQ(N107, $N$2:$N$120) + COUNTIF($N$2:N107, N107) - 1)</f>
        <v>89</v>
      </c>
      <c r="Q107" s="32"/>
    </row>
    <row r="108" spans="1:17" ht="27.75" customHeight="1">
      <c r="A108" s="130">
        <v>107</v>
      </c>
      <c r="B108" s="143" t="str">
        <f>IF(DATA_IMPORT!A108="", "", DATA_IMPORT!A108)</f>
        <v/>
      </c>
      <c r="C108" s="143" t="str">
        <f>IF(DATA_IMPORT!B108="", "", DATA_IMPORT!B108)</f>
        <v/>
      </c>
      <c r="D108" s="303"/>
      <c r="E108" s="15"/>
      <c r="F108" s="15"/>
      <c r="G108" s="15"/>
      <c r="H108" s="15"/>
      <c r="I108" s="15"/>
      <c r="N108" s="110">
        <f ca="1">$Q$4 + RAND()</f>
        <v>0.25378688323593879</v>
      </c>
      <c r="O108" s="175">
        <f ca="1">IF(N108="", "", _xlfn.RANK.EQ(N108, $N$2:$N$120) + COUNTIF($N$2:N108, N108) - 1)</f>
        <v>98</v>
      </c>
      <c r="Q108" s="32"/>
    </row>
    <row r="109" spans="1:17" ht="27.75" customHeight="1">
      <c r="A109" s="130">
        <v>108</v>
      </c>
      <c r="B109" s="143" t="str">
        <f>IF(DATA_IMPORT!A109="", "", DATA_IMPORT!A109)</f>
        <v/>
      </c>
      <c r="C109" s="143" t="str">
        <f>IF(DATA_IMPORT!B109="", "", DATA_IMPORT!B109)</f>
        <v/>
      </c>
      <c r="D109" s="303"/>
      <c r="E109" s="15"/>
      <c r="F109" s="15"/>
      <c r="G109" s="15"/>
      <c r="H109" s="15"/>
      <c r="I109" s="15"/>
      <c r="N109" s="110">
        <f ca="1">$Q$4 + RAND()</f>
        <v>0.79410563938502232</v>
      </c>
      <c r="O109" s="175">
        <f ca="1">IF(N109="", "", _xlfn.RANK.EQ(N109, $N$2:$N$120) + COUNTIF($N$2:N109, N109) - 1)</f>
        <v>22</v>
      </c>
      <c r="Q109" s="32"/>
    </row>
    <row r="110" spans="1:17" ht="27.75" customHeight="1">
      <c r="A110" s="130">
        <v>109</v>
      </c>
      <c r="B110" s="143" t="str">
        <f>IF(DATA_IMPORT!A110="", "", DATA_IMPORT!A110)</f>
        <v/>
      </c>
      <c r="C110" s="143" t="str">
        <f>IF(DATA_IMPORT!B110="", "", DATA_IMPORT!B110)</f>
        <v/>
      </c>
      <c r="D110" s="303"/>
      <c r="E110" s="15"/>
      <c r="F110" s="15"/>
      <c r="G110" s="15"/>
      <c r="H110" s="15"/>
      <c r="I110" s="15"/>
      <c r="N110" s="110">
        <f ca="1">$Q$4 + RAND()</f>
        <v>5.5921470259185702E-2</v>
      </c>
      <c r="O110" s="175">
        <f ca="1">IF(N110="", "", _xlfn.RANK.EQ(N110, $N$2:$N$120) + COUNTIF($N$2:N110, N110) - 1)</f>
        <v>116</v>
      </c>
      <c r="Q110" s="32"/>
    </row>
    <row r="111" spans="1:17" ht="27.75" customHeight="1">
      <c r="A111" s="130">
        <v>110</v>
      </c>
      <c r="B111" s="143" t="str">
        <f>IF(DATA_IMPORT!A111="", "", DATA_IMPORT!A111)</f>
        <v/>
      </c>
      <c r="C111" s="143" t="str">
        <f>IF(DATA_IMPORT!B111="", "", DATA_IMPORT!B111)</f>
        <v/>
      </c>
      <c r="D111" s="303"/>
      <c r="E111" s="15"/>
      <c r="F111" s="15"/>
      <c r="G111" s="15"/>
      <c r="H111" s="15"/>
      <c r="I111" s="15"/>
      <c r="N111" s="110">
        <f ca="1">$Q$4 + RAND()</f>
        <v>0.98088083028606288</v>
      </c>
      <c r="O111" s="175">
        <f ca="1">IF(N111="", "", _xlfn.RANK.EQ(N111, $N$2:$N$120) + COUNTIF($N$2:N111, N111) - 1)</f>
        <v>2</v>
      </c>
      <c r="Q111" s="32"/>
    </row>
    <row r="112" spans="1:17" ht="27.75" customHeight="1">
      <c r="A112" s="130">
        <v>111</v>
      </c>
      <c r="B112" s="143" t="str">
        <f>IF(DATA_IMPORT!A112="", "", DATA_IMPORT!A112)</f>
        <v/>
      </c>
      <c r="C112" s="143" t="str">
        <f>IF(DATA_IMPORT!B112="", "", DATA_IMPORT!B112)</f>
        <v/>
      </c>
      <c r="D112" s="303"/>
      <c r="E112" s="15"/>
      <c r="F112" s="15"/>
      <c r="G112" s="15"/>
      <c r="H112" s="15"/>
      <c r="I112" s="15"/>
      <c r="N112" s="110">
        <f ca="1">$Q$4 + RAND()</f>
        <v>0.67009729183013622</v>
      </c>
      <c r="O112" s="175">
        <f ca="1">IF(N112="", "", _xlfn.RANK.EQ(N112, $N$2:$N$120) + COUNTIF($N$2:N112, N112) - 1)</f>
        <v>39</v>
      </c>
      <c r="Q112" s="32"/>
    </row>
    <row r="113" spans="1:17" ht="27.75" customHeight="1">
      <c r="A113" s="130">
        <v>112</v>
      </c>
      <c r="B113" s="143" t="str">
        <f>IF(DATA_IMPORT!A113="", "", DATA_IMPORT!A113)</f>
        <v/>
      </c>
      <c r="C113" s="143" t="str">
        <f>IF(DATA_IMPORT!B113="", "", DATA_IMPORT!B113)</f>
        <v/>
      </c>
      <c r="D113" s="303"/>
      <c r="E113" s="15"/>
      <c r="F113" s="15"/>
      <c r="G113" s="15"/>
      <c r="H113" s="15"/>
      <c r="I113" s="15"/>
      <c r="N113" s="110">
        <f ca="1">$Q$4 + RAND()</f>
        <v>0.36601787508014472</v>
      </c>
      <c r="O113" s="175">
        <f ca="1">IF(N113="", "", _xlfn.RANK.EQ(N113, $N$2:$N$120) + COUNTIF($N$2:N113, N113) - 1)</f>
        <v>85</v>
      </c>
      <c r="Q113" s="32"/>
    </row>
    <row r="114" spans="1:17" ht="27.75" customHeight="1">
      <c r="A114" s="130">
        <v>113</v>
      </c>
      <c r="B114" s="143" t="str">
        <f>IF(DATA_IMPORT!A114="", "", DATA_IMPORT!A114)</f>
        <v/>
      </c>
      <c r="C114" s="143" t="str">
        <f>IF(DATA_IMPORT!B114="", "", DATA_IMPORT!B114)</f>
        <v/>
      </c>
      <c r="D114" s="303"/>
      <c r="E114" s="15"/>
      <c r="F114" s="15"/>
      <c r="G114" s="15"/>
      <c r="H114" s="15"/>
      <c r="I114" s="15"/>
      <c r="N114" s="110">
        <f ca="1">$Q$4 + RAND()</f>
        <v>0.78776534255564901</v>
      </c>
      <c r="O114" s="175">
        <f ca="1">IF(N114="", "", _xlfn.RANK.EQ(N114, $N$2:$N$120) + COUNTIF($N$2:N114, N114) - 1)</f>
        <v>24</v>
      </c>
      <c r="Q114" s="32"/>
    </row>
    <row r="115" spans="1:17" ht="27.75" customHeight="1">
      <c r="A115" s="130">
        <v>114</v>
      </c>
      <c r="B115" s="143" t="str">
        <f>IF(DATA_IMPORT!A115="", "", DATA_IMPORT!A115)</f>
        <v/>
      </c>
      <c r="C115" s="143" t="str">
        <f>IF(DATA_IMPORT!B115="", "", DATA_IMPORT!B115)</f>
        <v/>
      </c>
      <c r="D115" s="303"/>
      <c r="E115" s="15"/>
      <c r="F115" s="15"/>
      <c r="G115" s="15"/>
      <c r="H115" s="15"/>
      <c r="I115" s="15"/>
      <c r="N115" s="110">
        <f ca="1">$Q$4 + RAND()</f>
        <v>0.41823341457979801</v>
      </c>
      <c r="O115" s="175">
        <f ca="1">IF(N115="", "", _xlfn.RANK.EQ(N115, $N$2:$N$120) + COUNTIF($N$2:N115, N115) - 1)</f>
        <v>78</v>
      </c>
      <c r="Q115" s="32"/>
    </row>
    <row r="116" spans="1:17" ht="27.75" customHeight="1">
      <c r="A116" s="130">
        <v>115</v>
      </c>
      <c r="B116" s="143" t="str">
        <f>IF(DATA_IMPORT!A116="", "", DATA_IMPORT!A116)</f>
        <v/>
      </c>
      <c r="C116" s="143" t="str">
        <f>IF(DATA_IMPORT!B116="", "", DATA_IMPORT!B116)</f>
        <v/>
      </c>
      <c r="D116" s="303"/>
      <c r="E116" s="15"/>
      <c r="F116" s="15"/>
      <c r="G116" s="15"/>
      <c r="H116" s="15"/>
      <c r="I116" s="15"/>
      <c r="N116" s="110">
        <f ca="1">$Q$4 + RAND()</f>
        <v>0.85386685016922059</v>
      </c>
      <c r="O116" s="175">
        <f ca="1">IF(N116="", "", _xlfn.RANK.EQ(N116, $N$2:$N$120) + COUNTIF($N$2:N116, N116) - 1)</f>
        <v>15</v>
      </c>
      <c r="Q116" s="32"/>
    </row>
    <row r="117" spans="1:17" ht="27.75" customHeight="1">
      <c r="A117" s="130">
        <v>116</v>
      </c>
      <c r="B117" s="143" t="str">
        <f>IF(DATA_IMPORT!A117="", "", DATA_IMPORT!A117)</f>
        <v/>
      </c>
      <c r="C117" s="143" t="str">
        <f>IF(DATA_IMPORT!B117="", "", DATA_IMPORT!B117)</f>
        <v/>
      </c>
      <c r="D117" s="303"/>
      <c r="E117" s="15"/>
      <c r="F117" s="15"/>
      <c r="G117" s="15"/>
      <c r="H117" s="15"/>
      <c r="I117" s="15"/>
      <c r="N117" s="110">
        <f ca="1">$Q$4 + RAND()</f>
        <v>0.31113246593343347</v>
      </c>
      <c r="O117" s="175">
        <f ca="1">IF(N117="", "", _xlfn.RANK.EQ(N117, $N$2:$N$120) + COUNTIF($N$2:N117, N117) - 1)</f>
        <v>93</v>
      </c>
      <c r="Q117" s="32"/>
    </row>
    <row r="118" spans="1:17" ht="27.75" customHeight="1">
      <c r="A118" s="130">
        <v>117</v>
      </c>
      <c r="B118" s="143" t="str">
        <f>IF(DATA_IMPORT!A118="", "", DATA_IMPORT!A118)</f>
        <v/>
      </c>
      <c r="C118" s="143" t="str">
        <f>IF(DATA_IMPORT!B118="", "", DATA_IMPORT!B118)</f>
        <v/>
      </c>
      <c r="D118" s="303"/>
      <c r="E118" s="15"/>
      <c r="F118" s="15"/>
      <c r="G118" s="15"/>
      <c r="H118" s="15"/>
      <c r="I118" s="15"/>
      <c r="N118" s="110">
        <f ca="1">$Q$4 + RAND()</f>
        <v>0.18565457052402967</v>
      </c>
      <c r="O118" s="175">
        <f ca="1">IF(N118="", "", _xlfn.RANK.EQ(N118, $N$2:$N$120) + COUNTIF($N$2:N118, N118) - 1)</f>
        <v>106</v>
      </c>
      <c r="Q118" s="32"/>
    </row>
    <row r="119" spans="1:17" ht="27.75" customHeight="1">
      <c r="A119" s="130">
        <v>118</v>
      </c>
      <c r="B119" s="143" t="str">
        <f>IF(DATA_IMPORT!A119="", "", DATA_IMPORT!A119)</f>
        <v/>
      </c>
      <c r="C119" s="143" t="str">
        <f>IF(DATA_IMPORT!B119="", "", DATA_IMPORT!B119)</f>
        <v/>
      </c>
      <c r="D119" s="303"/>
      <c r="E119" s="15"/>
      <c r="F119" s="15"/>
      <c r="G119" s="15"/>
      <c r="H119" s="15"/>
      <c r="I119" s="15"/>
      <c r="N119" s="110">
        <f ca="1">$Q$4 + RAND()</f>
        <v>0.32722472517885337</v>
      </c>
      <c r="O119" s="175">
        <f ca="1">IF(N119="", "", _xlfn.RANK.EQ(N119, $N$2:$N$120) + COUNTIF($N$2:N119, N119) - 1)</f>
        <v>92</v>
      </c>
      <c r="Q119" s="32"/>
    </row>
    <row r="120" spans="1:17" ht="27.75" customHeight="1">
      <c r="A120" s="130">
        <v>119</v>
      </c>
      <c r="B120" s="143" t="str">
        <f>IF(DATA_IMPORT!A120="", "", DATA_IMPORT!A120)</f>
        <v/>
      </c>
      <c r="C120" s="143" t="str">
        <f>IF(DATA_IMPORT!B120="", "", DATA_IMPORT!B120)</f>
        <v/>
      </c>
      <c r="D120" s="303"/>
      <c r="E120" s="15"/>
      <c r="F120" s="15"/>
      <c r="G120" s="15"/>
      <c r="H120" s="15"/>
      <c r="I120" s="15"/>
      <c r="N120" s="110">
        <f ca="1">$Q$4 + RAND()</f>
        <v>0.40293276043389836</v>
      </c>
      <c r="O120" s="175">
        <f ca="1">IF(N120="", "", _xlfn.RANK.EQ(N120, $N$2:$N$120) + COUNTIF($N$2:N120, N120) - 1)</f>
        <v>79</v>
      </c>
      <c r="Q120" s="32"/>
    </row>
    <row r="121" spans="1:17" ht="27.75" customHeight="1">
      <c r="A121" s="130">
        <v>120</v>
      </c>
      <c r="B121" s="143" t="str">
        <f>IF(DATA_IMPORT!A121="", "", DATA_IMPORT!A121)</f>
        <v/>
      </c>
      <c r="C121" s="143" t="str">
        <f>IF(DATA_IMPORT!B121="", "", DATA_IMPORT!B121)</f>
        <v/>
      </c>
      <c r="D121" s="303"/>
      <c r="E121" s="15"/>
      <c r="F121" s="15"/>
      <c r="G121" s="15"/>
      <c r="H121" s="15"/>
      <c r="I121" s="15"/>
      <c r="N121" s="110">
        <f ca="1">$Q$4 + RAND()</f>
        <v>0.30376479872995876</v>
      </c>
      <c r="O121" s="176"/>
      <c r="Q121" s="32"/>
    </row>
    <row r="122" spans="1:17" ht="27.75" customHeight="1">
      <c r="A122" s="130">
        <v>121</v>
      </c>
      <c r="B122" s="143" t="str">
        <f>IF(DATA_IMPORT!A122="", "", DATA_IMPORT!A122)</f>
        <v/>
      </c>
      <c r="C122" s="143" t="str">
        <f>IF(DATA_IMPORT!B122="", "", DATA_IMPORT!B122)</f>
        <v/>
      </c>
      <c r="D122" s="303"/>
      <c r="E122" s="15"/>
      <c r="F122" s="15"/>
      <c r="G122" s="15"/>
      <c r="H122" s="15"/>
      <c r="I122" s="15"/>
      <c r="N122" s="110">
        <f ca="1">$Q$4 + RAND()</f>
        <v>0.75548586136872387</v>
      </c>
      <c r="O122" s="176"/>
      <c r="Q122" s="32"/>
    </row>
    <row r="123" spans="1:17" ht="27.75" customHeight="1">
      <c r="A123" s="130">
        <v>122</v>
      </c>
      <c r="B123" s="143" t="str">
        <f>IF(DATA_IMPORT!A123="", "", DATA_IMPORT!A123)</f>
        <v/>
      </c>
      <c r="C123" s="143" t="str">
        <f>IF(DATA_IMPORT!B123="", "", DATA_IMPORT!B123)</f>
        <v/>
      </c>
      <c r="D123" s="303"/>
      <c r="E123" s="15"/>
      <c r="F123" s="15"/>
      <c r="G123" s="15"/>
      <c r="H123" s="15"/>
      <c r="I123" s="15"/>
      <c r="N123" s="110">
        <f ca="1">$Q$4 + RAND()</f>
        <v>0.84151143296460018</v>
      </c>
      <c r="O123" s="176"/>
      <c r="Q123" s="32"/>
    </row>
    <row r="124" spans="1:17" ht="27.75" customHeight="1">
      <c r="A124" s="130">
        <v>123</v>
      </c>
      <c r="B124" s="143" t="str">
        <f>IF(DATA_IMPORT!A124="", "", DATA_IMPORT!A124)</f>
        <v/>
      </c>
      <c r="C124" s="143" t="str">
        <f>IF(DATA_IMPORT!B124="", "", DATA_IMPORT!B124)</f>
        <v/>
      </c>
      <c r="D124" s="303"/>
      <c r="E124" s="15"/>
      <c r="F124" s="15"/>
      <c r="G124" s="15"/>
      <c r="H124" s="15"/>
      <c r="I124" s="15"/>
      <c r="N124" s="110">
        <f ca="1">$Q$4 + RAND()</f>
        <v>0.22299314475056808</v>
      </c>
      <c r="O124" s="176"/>
      <c r="Q124" s="32"/>
    </row>
    <row r="125" spans="1:17" ht="27.75" customHeight="1">
      <c r="A125" s="130">
        <v>124</v>
      </c>
      <c r="B125" s="143" t="str">
        <f>IF(DATA_IMPORT!A125="", "", DATA_IMPORT!A125)</f>
        <v/>
      </c>
      <c r="C125" s="143" t="str">
        <f>IF(DATA_IMPORT!B125="", "", DATA_IMPORT!B125)</f>
        <v/>
      </c>
      <c r="D125" s="303"/>
      <c r="E125" s="15"/>
      <c r="F125" s="15"/>
      <c r="G125" s="15"/>
      <c r="H125" s="15"/>
      <c r="I125" s="15"/>
      <c r="N125" s="110">
        <f ca="1">$Q$4 + RAND()</f>
        <v>0.86575011139261604</v>
      </c>
      <c r="O125" s="176"/>
      <c r="Q125" s="32"/>
    </row>
    <row r="126" spans="1:17" ht="27.75" customHeight="1">
      <c r="A126" s="130">
        <v>125</v>
      </c>
      <c r="B126" s="143" t="str">
        <f>IF(DATA_IMPORT!A126="", "", DATA_IMPORT!A126)</f>
        <v/>
      </c>
      <c r="C126" s="143" t="str">
        <f>IF(DATA_IMPORT!B126="", "", DATA_IMPORT!B126)</f>
        <v/>
      </c>
      <c r="D126" s="303"/>
      <c r="E126" s="15"/>
      <c r="F126" s="15"/>
      <c r="G126" s="15"/>
      <c r="H126" s="15"/>
      <c r="I126" s="15"/>
      <c r="N126" s="110">
        <f ca="1">$Q$4 + RAND()</f>
        <v>0.85186374068075021</v>
      </c>
      <c r="O126" s="176"/>
      <c r="Q126" s="32"/>
    </row>
    <row r="127" spans="1:17" ht="27.75" customHeight="1">
      <c r="A127" s="130">
        <v>126</v>
      </c>
      <c r="B127" s="143" t="str">
        <f>IF(DATA_IMPORT!A127="", "", DATA_IMPORT!A127)</f>
        <v/>
      </c>
      <c r="C127" s="143" t="str">
        <f>IF(DATA_IMPORT!B127="", "", DATA_IMPORT!B127)</f>
        <v/>
      </c>
      <c r="D127" s="303"/>
      <c r="E127" s="15"/>
      <c r="F127" s="15"/>
      <c r="G127" s="15"/>
      <c r="H127" s="15"/>
      <c r="I127" s="15"/>
      <c r="N127" s="110">
        <f ca="1">$Q$4 + RAND()</f>
        <v>2.806984996757711E-2</v>
      </c>
      <c r="O127" s="176"/>
      <c r="Q127" s="32"/>
    </row>
    <row r="128" spans="1:17" ht="27.75" customHeight="1">
      <c r="A128" s="130">
        <v>127</v>
      </c>
      <c r="B128" s="143" t="str">
        <f>IF(DATA_IMPORT!A128="", "", DATA_IMPORT!A128)</f>
        <v/>
      </c>
      <c r="C128" s="143" t="str">
        <f>IF(DATA_IMPORT!B128="", "", DATA_IMPORT!B128)</f>
        <v/>
      </c>
      <c r="D128" s="303"/>
      <c r="E128" s="15"/>
      <c r="F128" s="15"/>
      <c r="G128" s="15"/>
      <c r="H128" s="15"/>
      <c r="I128" s="15"/>
      <c r="N128" s="110">
        <f ca="1">$Q$4 + RAND()</f>
        <v>0.35071304104251433</v>
      </c>
      <c r="O128" s="176"/>
      <c r="Q128" s="32"/>
    </row>
    <row r="129" spans="1:17" ht="27.75" customHeight="1">
      <c r="A129" s="130">
        <v>128</v>
      </c>
      <c r="B129" s="143" t="str">
        <f>IF(DATA_IMPORT!A129="", "", DATA_IMPORT!A129)</f>
        <v/>
      </c>
      <c r="C129" s="143" t="str">
        <f>IF(DATA_IMPORT!B129="", "", DATA_IMPORT!B129)</f>
        <v/>
      </c>
      <c r="D129" s="303"/>
      <c r="E129" s="15"/>
      <c r="F129" s="15"/>
      <c r="G129" s="15"/>
      <c r="H129" s="15"/>
      <c r="I129" s="15"/>
      <c r="N129" s="110">
        <f ca="1">$Q$4 + RAND()</f>
        <v>0.9420483537206068</v>
      </c>
      <c r="O129" s="176"/>
      <c r="Q129" s="32"/>
    </row>
    <row r="130" spans="1:17" ht="27.75" hidden="1" customHeight="1">
      <c r="D130" s="304"/>
    </row>
    <row r="131" spans="1:17" ht="27.75" hidden="1" customHeight="1">
      <c r="D131" s="304"/>
    </row>
    <row r="132" spans="1:17" ht="27.75" hidden="1" customHeight="1">
      <c r="D132" s="304"/>
    </row>
    <row r="133" spans="1:17" ht="27.75" hidden="1" customHeight="1">
      <c r="D133" s="304"/>
    </row>
    <row r="134" spans="1:17" ht="27.75" hidden="1" customHeight="1">
      <c r="D134" s="304"/>
    </row>
    <row r="135" spans="1:17" ht="27.75" hidden="1" customHeight="1">
      <c r="D135" s="304"/>
    </row>
    <row r="136" spans="1:17" ht="27.75" hidden="1" customHeight="1">
      <c r="D136" s="304"/>
    </row>
    <row r="137" spans="1:17" ht="27.75" hidden="1" customHeight="1">
      <c r="D137" s="304"/>
    </row>
    <row r="138" spans="1:17" ht="27.75" hidden="1" customHeight="1">
      <c r="D138" s="304"/>
    </row>
    <row r="139" spans="1:17" ht="27.75" hidden="1" customHeight="1">
      <c r="D139" s="304"/>
    </row>
    <row r="140" spans="1:17" ht="27.75" hidden="1" customHeight="1">
      <c r="D140" s="304"/>
    </row>
    <row r="141" spans="1:17" ht="27.75" hidden="1" customHeight="1">
      <c r="D141" s="304"/>
    </row>
    <row r="142" spans="1:17" ht="27.75" hidden="1" customHeight="1">
      <c r="D142" s="304"/>
    </row>
    <row r="143" spans="1:17" ht="27.75" hidden="1" customHeight="1">
      <c r="D143" s="304"/>
    </row>
    <row r="144" spans="1:17" ht="27.75" hidden="1" customHeight="1">
      <c r="D144" s="304"/>
    </row>
    <row r="145" spans="4:4" ht="27.75" hidden="1" customHeight="1">
      <c r="D145" s="304"/>
    </row>
    <row r="146" spans="4:4" ht="27.75" hidden="1" customHeight="1">
      <c r="D146" s="304"/>
    </row>
    <row r="147" spans="4:4" ht="27.75" hidden="1" customHeight="1">
      <c r="D147" s="304"/>
    </row>
    <row r="148" spans="4:4" ht="27.75" hidden="1" customHeight="1">
      <c r="D148" s="304"/>
    </row>
    <row r="149" spans="4:4" ht="27.75" hidden="1" customHeight="1">
      <c r="D149" s="304"/>
    </row>
  </sheetData>
  <sheetProtection sheet="1" objects="1" scenarios="1"/>
  <protectedRanges>
    <protectedRange sqref="D2:D150" name="Opt In"/>
    <protectedRange sqref="Q4:Q5" name="Randomiser"/>
  </protectedRanges>
  <mergeCells count="2">
    <mergeCell ref="Q4:Q5"/>
    <mergeCell ref="Q2:Q3"/>
  </mergeCells>
  <dataValidations count="2">
    <dataValidation type="list" allowBlank="1" showInputMessage="1" showErrorMessage="1" sqref="D2:D122" xr:uid="{1BE1E955-E2CD-48BC-A008-F287FD435C9C}">
      <formula1>"Yes, No"</formula1>
    </dataValidation>
    <dataValidation allowBlank="1" showInputMessage="1" showErrorMessage="1" sqref="B1:C1048576" xr:uid="{0BCA53E8-EF56-4D4A-919F-2E816CD70D87}"/>
  </dataValidations>
  <pageMargins left="0.7" right="0.7" top="0.75" bottom="0.75" header="0.3" footer="0.3"/>
  <pageSetup paperSize="9" fitToWidth="0" fitToHeight="0" orientation="portrait"/>
  <drawing r:id="rId1"/>
  <tableParts count="1">
    <tablePart r:id="rId2"/>
  </tableParts>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tabColor rgb="FFFFFF00"/>
    <outlinePr summaryBelow="0" summaryRight="0"/>
  </sheetPr>
  <dimension ref="A1:U1137"/>
  <sheetViews>
    <sheetView showGridLines="0" workbookViewId="0">
      <pane ySplit="3" topLeftCell="A111" activePane="bottomLeft" state="frozen"/>
      <selection pane="bottomLeft" activeCell="D4" sqref="D4"/>
    </sheetView>
  </sheetViews>
  <sheetFormatPr defaultColWidth="0" defaultRowHeight="24.75" customHeight="1" zeroHeight="1"/>
  <cols>
    <col min="1" max="1" width="21.140625" style="3" customWidth="1"/>
    <col min="2" max="2" width="36.5703125" style="3" customWidth="1"/>
    <col min="3" max="6" width="21.140625" style="3" customWidth="1"/>
    <col min="7" max="7" width="21.140625" style="71" customWidth="1"/>
    <col min="8" max="8" width="21.140625" style="75" customWidth="1"/>
    <col min="9" max="9" width="33.140625" style="246" hidden="1" customWidth="1"/>
    <col min="10" max="16384" width="0" style="3" hidden="1"/>
  </cols>
  <sheetData>
    <row r="1" spans="1:20" ht="24.75" customHeight="1">
      <c r="A1" s="179"/>
      <c r="B1" s="319" t="s">
        <v>43</v>
      </c>
      <c r="C1" s="320"/>
      <c r="D1" s="320"/>
      <c r="E1" s="320"/>
      <c r="F1" s="320"/>
      <c r="G1" s="320"/>
      <c r="H1" s="320"/>
      <c r="I1" s="239"/>
      <c r="J1" s="94"/>
      <c r="K1" s="94"/>
    </row>
    <row r="2" spans="1:20" ht="30" customHeight="1">
      <c r="A2" s="179"/>
      <c r="B2" s="101" t="s">
        <v>44</v>
      </c>
      <c r="C2" s="199"/>
      <c r="D2" s="310"/>
      <c r="E2" s="310"/>
      <c r="F2" s="310"/>
      <c r="G2" s="310"/>
      <c r="H2" s="310"/>
      <c r="I2" s="240"/>
      <c r="J2" s="100"/>
      <c r="K2" s="100"/>
      <c r="L2" s="76"/>
    </row>
    <row r="3" spans="1:20" s="19" customFormat="1" ht="31.5" customHeight="1">
      <c r="A3" s="195" t="s">
        <v>27</v>
      </c>
      <c r="B3" s="196" t="s">
        <v>45</v>
      </c>
      <c r="C3" s="197" t="s">
        <v>46</v>
      </c>
      <c r="D3" s="196" t="s">
        <v>47</v>
      </c>
      <c r="E3" s="196" t="s">
        <v>48</v>
      </c>
      <c r="F3" s="196" t="s">
        <v>49</v>
      </c>
      <c r="G3" s="196" t="s">
        <v>50</v>
      </c>
      <c r="H3" s="198" t="s">
        <v>51</v>
      </c>
      <c r="I3" s="241" t="s">
        <v>52</v>
      </c>
      <c r="J3" s="238"/>
      <c r="K3" s="98"/>
      <c r="L3" s="82"/>
    </row>
    <row r="4" spans="1:20" ht="24.75" customHeight="1">
      <c r="A4" s="97">
        <v>1</v>
      </c>
      <c r="B4" s="108" t="str">
        <f>IF(DATA_IMPORT!A2="", "", DATA_IMPORT!A2)</f>
        <v/>
      </c>
      <c r="C4" s="115" t="str">
        <f>IF(DATA_IMPORT!C2="", "", DATA_IMPORT!C2)</f>
        <v/>
      </c>
      <c r="D4" s="297"/>
      <c r="E4" s="297"/>
      <c r="F4" s="297"/>
      <c r="G4" s="297"/>
      <c r="H4" s="111">
        <f>IF(D4=0, COUNTIF($C$4:$C$123, C4), COUNTIFS($C$4:$C$123, C4, $I$4:$I$123, "&gt;"&amp;I4) + 1)</f>
        <v>120</v>
      </c>
      <c r="I4" s="242">
        <f>D4 + (F4/1000) + (G4/1000000) + (E4/1000000000) + (A4/100000000000)</f>
        <v>9.9999999999999994E-12</v>
      </c>
      <c r="J4" s="99" t="str">
        <f>C4 &amp; (COUNTIFS($C$4:$C$123, C4, $H$4:$H$123, "&lt;"&amp;H4) + COUNTIFS($C$4:C4, C4, $H$4:H4, H4))</f>
        <v>1</v>
      </c>
      <c r="K4" s="95" t="str">
        <f>D4 &amp; "/" &amp; F4 &amp; "/" &amp; G4 &amp; "/" &amp; E4</f>
        <v>///</v>
      </c>
      <c r="T4" s="3" t="str">
        <f>_xlfn.XLOOKUP(B4, REGISTRATION!B:B, REGISTRATION!C:C, "No Team")</f>
        <v/>
      </c>
    </row>
    <row r="5" spans="1:20" ht="24.75" customHeight="1">
      <c r="A5" s="97">
        <v>2</v>
      </c>
      <c r="B5" s="108" t="str">
        <f>IF(DATA_IMPORT!A3="", "", DATA_IMPORT!A3)</f>
        <v/>
      </c>
      <c r="C5" s="115" t="str">
        <f>IF(DATA_IMPORT!C3="", "", DATA_IMPORT!C3)</f>
        <v/>
      </c>
      <c r="D5" s="297"/>
      <c r="E5" s="297"/>
      <c r="F5" s="297"/>
      <c r="G5" s="297"/>
      <c r="H5" s="111">
        <f t="shared" ref="H5:H68" si="0">IF(D5=0, COUNTIF($C$4:$C$123, C5), COUNTIFS($C$4:$C$123, C5, $I$4:$I$123, "&gt;"&amp;I5) + 1)</f>
        <v>120</v>
      </c>
      <c r="I5" s="242">
        <f>D5 + (F5/1000) + (G5/1000000) + (E5/1000000000) + (A5/100000000000)</f>
        <v>1.9999999999999999E-11</v>
      </c>
      <c r="J5" s="99" t="str">
        <f>C5 &amp; (COUNTIFS($C$4:$C$123, C5, $H$4:$H$123, "&lt;"&amp;H5) + COUNTIFS($C$4:C5, C5, $H$4:H5, H5))</f>
        <v>2</v>
      </c>
      <c r="K5" s="95" t="str">
        <f t="shared" ref="K5:K68" si="1">D5 &amp; "/" &amp; F5 &amp; "/" &amp; G5 &amp; "/" &amp; E5</f>
        <v>///</v>
      </c>
      <c r="T5" s="3" t="str">
        <f>_xlfn.XLOOKUP(B5, REGISTRATION!B:B, REGISTRATION!C:C, "No Team")</f>
        <v/>
      </c>
    </row>
    <row r="6" spans="1:20" ht="24.75" customHeight="1">
      <c r="A6" s="97">
        <v>3</v>
      </c>
      <c r="B6" s="108" t="str">
        <f>IF(DATA_IMPORT!A4="", "", DATA_IMPORT!A4)</f>
        <v/>
      </c>
      <c r="C6" s="115" t="str">
        <f>IF(DATA_IMPORT!C4="", "", DATA_IMPORT!C4)</f>
        <v/>
      </c>
      <c r="D6" s="297"/>
      <c r="E6" s="297"/>
      <c r="F6" s="297"/>
      <c r="G6" s="297"/>
      <c r="H6" s="111">
        <f t="shared" si="0"/>
        <v>120</v>
      </c>
      <c r="I6" s="242">
        <f>D6 + (F6/1000) + (G6/1000000) + (E6/1000000000) + (A6/100000000000)</f>
        <v>3E-11</v>
      </c>
      <c r="J6" s="99" t="str">
        <f>C6 &amp; (COUNTIFS($C$4:$C$123, C6, $H$4:$H$123, "&lt;"&amp;H6) + COUNTIFS($C$4:C6, C6, $H$4:H6, H6))</f>
        <v>3</v>
      </c>
      <c r="K6" s="95" t="str">
        <f t="shared" si="1"/>
        <v>///</v>
      </c>
      <c r="T6" s="3" t="str">
        <f>_xlfn.XLOOKUP(B6, REGISTRATION!B:B, REGISTRATION!C:C, "No Team")</f>
        <v/>
      </c>
    </row>
    <row r="7" spans="1:20" ht="24.75" customHeight="1">
      <c r="A7" s="97">
        <v>4</v>
      </c>
      <c r="B7" s="108" t="str">
        <f>IF(DATA_IMPORT!A5="", "", DATA_IMPORT!A5)</f>
        <v/>
      </c>
      <c r="C7" s="115" t="str">
        <f>IF(DATA_IMPORT!C5="", "", DATA_IMPORT!C5)</f>
        <v/>
      </c>
      <c r="D7" s="297"/>
      <c r="E7" s="297"/>
      <c r="F7" s="297"/>
      <c r="G7" s="297"/>
      <c r="H7" s="111">
        <f t="shared" si="0"/>
        <v>120</v>
      </c>
      <c r="I7" s="242">
        <f>D7 + (F7/1000) + (G7/1000000) + (E7/1000000000) + (A7/100000000000)</f>
        <v>3.9999999999999998E-11</v>
      </c>
      <c r="J7" s="99" t="str">
        <f>C7 &amp; (COUNTIFS($C$4:$C$123, C7, $H$4:$H$123, "&lt;"&amp;H7) + COUNTIFS($C$4:C7, C7, $H$4:H7, H7))</f>
        <v>4</v>
      </c>
      <c r="K7" s="95" t="str">
        <f t="shared" si="1"/>
        <v>///</v>
      </c>
      <c r="T7" s="3" t="str">
        <f>_xlfn.XLOOKUP(B7, REGISTRATION!B:B, REGISTRATION!C:C, "No Team")</f>
        <v/>
      </c>
    </row>
    <row r="8" spans="1:20" ht="24.75" customHeight="1">
      <c r="A8" s="97">
        <v>5</v>
      </c>
      <c r="B8" s="108" t="str">
        <f>IF(DATA_IMPORT!A6="", "", DATA_IMPORT!A6)</f>
        <v/>
      </c>
      <c r="C8" s="115" t="str">
        <f>IF(DATA_IMPORT!C6="", "", DATA_IMPORT!C6)</f>
        <v/>
      </c>
      <c r="D8" s="297"/>
      <c r="E8" s="297"/>
      <c r="F8" s="297"/>
      <c r="G8" s="297"/>
      <c r="H8" s="111">
        <f t="shared" si="0"/>
        <v>120</v>
      </c>
      <c r="I8" s="242">
        <f>D8 + (F8/1000) + (G8/1000000) + (E8/1000000000) + (A8/100000000000)</f>
        <v>5.0000000000000002E-11</v>
      </c>
      <c r="J8" s="99" t="str">
        <f>C8 &amp; (COUNTIFS($C$4:$C$123, C8, $H$4:$H$123, "&lt;"&amp;H8) + COUNTIFS($C$4:C8, C8, $H$4:H8, H8))</f>
        <v>5</v>
      </c>
      <c r="K8" s="95" t="str">
        <f t="shared" si="1"/>
        <v>///</v>
      </c>
      <c r="T8" s="3" t="str">
        <f>_xlfn.XLOOKUP(B8, REGISTRATION!B:B, REGISTRATION!C:C, "No Team")</f>
        <v/>
      </c>
    </row>
    <row r="9" spans="1:20" ht="24.75" customHeight="1">
      <c r="A9" s="97">
        <v>6</v>
      </c>
      <c r="B9" s="108" t="str">
        <f>IF(DATA_IMPORT!A7="", "", DATA_IMPORT!A7)</f>
        <v/>
      </c>
      <c r="C9" s="115" t="str">
        <f>IF(DATA_IMPORT!C7="", "", DATA_IMPORT!C7)</f>
        <v/>
      </c>
      <c r="D9" s="297"/>
      <c r="E9" s="297"/>
      <c r="F9" s="297"/>
      <c r="G9" s="297"/>
      <c r="H9" s="111">
        <f t="shared" si="0"/>
        <v>120</v>
      </c>
      <c r="I9" s="242">
        <f>D9 + (F9/1000) + (G9/1000000) + (E9/1000000000) + (A9/100000000000)</f>
        <v>6E-11</v>
      </c>
      <c r="J9" s="99" t="str">
        <f>C9 &amp; (COUNTIFS($C$4:$C$123, C9, $H$4:$H$123, "&lt;"&amp;H9) + COUNTIFS($C$4:C9, C9, $H$4:H9, H9))</f>
        <v>6</v>
      </c>
      <c r="K9" s="95" t="str">
        <f t="shared" si="1"/>
        <v>///</v>
      </c>
      <c r="T9" s="3" t="str">
        <f>_xlfn.XLOOKUP(B9, REGISTRATION!B:B, REGISTRATION!C:C, "No Team")</f>
        <v/>
      </c>
    </row>
    <row r="10" spans="1:20" ht="24.75" customHeight="1">
      <c r="A10" s="97">
        <v>7</v>
      </c>
      <c r="B10" s="108" t="str">
        <f>IF(DATA_IMPORT!A8="", "", DATA_IMPORT!A8)</f>
        <v/>
      </c>
      <c r="C10" s="115" t="str">
        <f>IF(DATA_IMPORT!C8="", "", DATA_IMPORT!C8)</f>
        <v/>
      </c>
      <c r="D10" s="297"/>
      <c r="E10" s="297"/>
      <c r="F10" s="297"/>
      <c r="G10" s="297"/>
      <c r="H10" s="111">
        <f t="shared" si="0"/>
        <v>120</v>
      </c>
      <c r="I10" s="242">
        <f>D10 + (F10/1000) + (G10/1000000) + (E10/1000000000) + (A10/100000000000)</f>
        <v>7.0000000000000004E-11</v>
      </c>
      <c r="J10" s="99" t="str">
        <f>C10 &amp; (COUNTIFS($C$4:$C$123, C10, $H$4:$H$123, "&lt;"&amp;H10) + COUNTIFS($C$4:C10, C10, $H$4:H10, H10))</f>
        <v>7</v>
      </c>
      <c r="K10" s="95" t="str">
        <f t="shared" si="1"/>
        <v>///</v>
      </c>
      <c r="T10" s="3" t="str">
        <f>_xlfn.XLOOKUP(B10, REGISTRATION!B:B, REGISTRATION!C:C, "No Team")</f>
        <v/>
      </c>
    </row>
    <row r="11" spans="1:20" ht="24.75" customHeight="1">
      <c r="A11" s="97">
        <v>8</v>
      </c>
      <c r="B11" s="108" t="str">
        <f>IF(DATA_IMPORT!A9="", "", DATA_IMPORT!A9)</f>
        <v/>
      </c>
      <c r="C11" s="115" t="str">
        <f>IF(DATA_IMPORT!C9="", "", DATA_IMPORT!C9)</f>
        <v/>
      </c>
      <c r="D11" s="297"/>
      <c r="E11" s="297"/>
      <c r="F11" s="297"/>
      <c r="G11" s="297"/>
      <c r="H11" s="111">
        <f t="shared" si="0"/>
        <v>120</v>
      </c>
      <c r="I11" s="242">
        <f>D11 + (F11/1000) + (G11/1000000) + (E11/1000000000) + (A11/100000000000)</f>
        <v>7.9999999999999995E-11</v>
      </c>
      <c r="J11" s="99" t="str">
        <f>C11 &amp; (COUNTIFS($C$4:$C$123, C11, $H$4:$H$123, "&lt;"&amp;H11) + COUNTIFS($C$4:C11, C11, $H$4:H11, H11))</f>
        <v>8</v>
      </c>
      <c r="K11" s="95" t="str">
        <f t="shared" si="1"/>
        <v>///</v>
      </c>
      <c r="T11" s="3" t="str">
        <f>_xlfn.XLOOKUP(B11, REGISTRATION!B:B, REGISTRATION!C:C, "No Team")</f>
        <v/>
      </c>
    </row>
    <row r="12" spans="1:20" ht="24.75" customHeight="1">
      <c r="A12" s="97">
        <v>9</v>
      </c>
      <c r="B12" s="108" t="str">
        <f>IF(DATA_IMPORT!A10="", "", DATA_IMPORT!A10)</f>
        <v/>
      </c>
      <c r="C12" s="115" t="str">
        <f>IF(DATA_IMPORT!C10="", "", DATA_IMPORT!C10)</f>
        <v/>
      </c>
      <c r="D12" s="297"/>
      <c r="E12" s="297"/>
      <c r="F12" s="297"/>
      <c r="G12" s="297"/>
      <c r="H12" s="111">
        <f t="shared" si="0"/>
        <v>120</v>
      </c>
      <c r="I12" s="242">
        <f>D12 + (F12/1000) + (G12/1000000) + (E12/1000000000) + (A12/100000000000)</f>
        <v>8.9999999999999999E-11</v>
      </c>
      <c r="J12" s="99" t="str">
        <f>C12 &amp; (COUNTIFS($C$4:$C$123, C12, $H$4:$H$123, "&lt;"&amp;H12) + COUNTIFS($C$4:C12, C12, $H$4:H12, H12))</f>
        <v>9</v>
      </c>
      <c r="K12" s="95" t="str">
        <f t="shared" si="1"/>
        <v>///</v>
      </c>
      <c r="T12" s="3" t="str">
        <f>_xlfn.XLOOKUP(B12, REGISTRATION!B:B, REGISTRATION!C:C, "No Team")</f>
        <v/>
      </c>
    </row>
    <row r="13" spans="1:20" ht="24.75" customHeight="1">
      <c r="A13" s="97">
        <v>10</v>
      </c>
      <c r="B13" s="108" t="str">
        <f>IF(DATA_IMPORT!A11="", "", DATA_IMPORT!A11)</f>
        <v/>
      </c>
      <c r="C13" s="115" t="str">
        <f>IF(DATA_IMPORT!C11="", "", DATA_IMPORT!C11)</f>
        <v/>
      </c>
      <c r="D13" s="297"/>
      <c r="E13" s="297"/>
      <c r="F13" s="297"/>
      <c r="G13" s="297"/>
      <c r="H13" s="111">
        <f t="shared" si="0"/>
        <v>120</v>
      </c>
      <c r="I13" s="242">
        <f>D13 + (F13/1000) + (G13/1000000) + (E13/1000000000) + (A13/100000000000)</f>
        <v>1E-10</v>
      </c>
      <c r="J13" s="99" t="str">
        <f>C13 &amp; (COUNTIFS($C$4:$C$123, C13, $H$4:$H$123, "&lt;"&amp;H13) + COUNTIFS($C$4:C13, C13, $H$4:H13, H13))</f>
        <v>10</v>
      </c>
      <c r="K13" s="95" t="str">
        <f t="shared" si="1"/>
        <v>///</v>
      </c>
      <c r="T13" s="3" t="str">
        <f>_xlfn.XLOOKUP(B13, REGISTRATION!B:B, REGISTRATION!C:C, "No Team")</f>
        <v/>
      </c>
    </row>
    <row r="14" spans="1:20" ht="24.75" customHeight="1">
      <c r="A14" s="97">
        <v>11</v>
      </c>
      <c r="B14" s="108" t="str">
        <f>IF(DATA_IMPORT!A12="", "", DATA_IMPORT!A12)</f>
        <v/>
      </c>
      <c r="C14" s="115" t="str">
        <f>IF(DATA_IMPORT!C12="", "", DATA_IMPORT!C12)</f>
        <v/>
      </c>
      <c r="D14" s="297"/>
      <c r="E14" s="297"/>
      <c r="F14" s="297"/>
      <c r="G14" s="297"/>
      <c r="H14" s="111">
        <f t="shared" si="0"/>
        <v>120</v>
      </c>
      <c r="I14" s="242">
        <f>D14 + (F14/1000) + (G14/1000000) + (E14/1000000000) + (A14/100000000000)</f>
        <v>1.0999999999999999E-10</v>
      </c>
      <c r="J14" s="99" t="str">
        <f>C14 &amp; (COUNTIFS($C$4:$C$123, C14, $H$4:$H$123, "&lt;"&amp;H14) + COUNTIFS($C$4:C14, C14, $H$4:H14, H14))</f>
        <v>11</v>
      </c>
      <c r="K14" s="95" t="str">
        <f t="shared" si="1"/>
        <v>///</v>
      </c>
      <c r="T14" s="3" t="str">
        <f>_xlfn.XLOOKUP(B14, REGISTRATION!B:B, REGISTRATION!C:C, "No Team")</f>
        <v/>
      </c>
    </row>
    <row r="15" spans="1:20" ht="24.75" customHeight="1">
      <c r="A15" s="97">
        <v>12</v>
      </c>
      <c r="B15" s="108" t="str">
        <f>IF(DATA_IMPORT!A13="", "", DATA_IMPORT!A13)</f>
        <v/>
      </c>
      <c r="C15" s="115" t="str">
        <f>IF(DATA_IMPORT!C13="", "", DATA_IMPORT!C13)</f>
        <v/>
      </c>
      <c r="D15" s="297"/>
      <c r="E15" s="297"/>
      <c r="F15" s="297"/>
      <c r="G15" s="297"/>
      <c r="H15" s="111">
        <f t="shared" si="0"/>
        <v>120</v>
      </c>
      <c r="I15" s="242">
        <f>D15 + (F15/1000) + (G15/1000000) + (E15/1000000000) + (A15/100000000000)</f>
        <v>1.2E-10</v>
      </c>
      <c r="J15" s="99" t="str">
        <f>C15 &amp; (COUNTIFS($C$4:$C$123, C15, $H$4:$H$123, "&lt;"&amp;H15) + COUNTIFS($C$4:C15, C15, $H$4:H15, H15))</f>
        <v>12</v>
      </c>
      <c r="K15" s="95" t="str">
        <f t="shared" si="1"/>
        <v>///</v>
      </c>
      <c r="T15" s="3" t="str">
        <f>_xlfn.XLOOKUP(B15, REGISTRATION!B:B, REGISTRATION!C:C, "No Team")</f>
        <v/>
      </c>
    </row>
    <row r="16" spans="1:20" ht="24.75" customHeight="1">
      <c r="A16" s="97">
        <v>13</v>
      </c>
      <c r="B16" s="108" t="str">
        <f>IF(DATA_IMPORT!A14="", "", DATA_IMPORT!A14)</f>
        <v/>
      </c>
      <c r="C16" s="115" t="str">
        <f>IF(DATA_IMPORT!C14="", "", DATA_IMPORT!C14)</f>
        <v/>
      </c>
      <c r="D16" s="297"/>
      <c r="E16" s="297"/>
      <c r="F16" s="297"/>
      <c r="G16" s="297"/>
      <c r="H16" s="111">
        <f t="shared" si="0"/>
        <v>120</v>
      </c>
      <c r="I16" s="242">
        <f>D16 + (F16/1000) + (G16/1000000) + (E16/1000000000) + (A16/100000000000)</f>
        <v>1.2999999999999999E-10</v>
      </c>
      <c r="J16" s="99" t="str">
        <f>C16 &amp; (COUNTIFS($C$4:$C$123, C16, $H$4:$H$123, "&lt;"&amp;H16) + COUNTIFS($C$4:C16, C16, $H$4:H16, H16))</f>
        <v>13</v>
      </c>
      <c r="K16" s="95" t="str">
        <f t="shared" si="1"/>
        <v>///</v>
      </c>
      <c r="T16" s="3" t="str">
        <f>_xlfn.XLOOKUP(B16, REGISTRATION!B:B, REGISTRATION!C:C, "No Team")</f>
        <v/>
      </c>
    </row>
    <row r="17" spans="1:21" ht="24.75" customHeight="1">
      <c r="A17" s="97">
        <v>14</v>
      </c>
      <c r="B17" s="108" t="str">
        <f>IF(DATA_IMPORT!A15="", "", DATA_IMPORT!A15)</f>
        <v/>
      </c>
      <c r="C17" s="115" t="str">
        <f>IF(DATA_IMPORT!C15="", "", DATA_IMPORT!C15)</f>
        <v/>
      </c>
      <c r="D17" s="297"/>
      <c r="E17" s="297"/>
      <c r="F17" s="297"/>
      <c r="G17" s="297"/>
      <c r="H17" s="111">
        <f t="shared" si="0"/>
        <v>120</v>
      </c>
      <c r="I17" s="242">
        <f>D17 + (F17/1000) + (G17/1000000) + (E17/1000000000) + (A17/100000000000)</f>
        <v>1.4000000000000001E-10</v>
      </c>
      <c r="J17" s="99" t="str">
        <f>C17 &amp; (COUNTIFS($C$4:$C$123, C17, $H$4:$H$123, "&lt;"&amp;H17) + COUNTIFS($C$4:C17, C17, $H$4:H17, H17))</f>
        <v>14</v>
      </c>
      <c r="K17" s="95" t="str">
        <f t="shared" si="1"/>
        <v>///</v>
      </c>
      <c r="T17" s="3" t="str">
        <f>_xlfn.XLOOKUP(B17, REGISTRATION!B:B, REGISTRATION!C:C, "No Team")</f>
        <v/>
      </c>
      <c r="U17" s="3">
        <f>COUNTIF('DAY 1 SCORES'!$C$4:$C$123, "?*")</f>
        <v>0</v>
      </c>
    </row>
    <row r="18" spans="1:21" ht="24.75" customHeight="1">
      <c r="A18" s="97">
        <v>15</v>
      </c>
      <c r="B18" s="108" t="str">
        <f>IF(DATA_IMPORT!A16="", "", DATA_IMPORT!A16)</f>
        <v/>
      </c>
      <c r="C18" s="115" t="str">
        <f>IF(DATA_IMPORT!C16="", "", DATA_IMPORT!C16)</f>
        <v/>
      </c>
      <c r="D18" s="297"/>
      <c r="E18" s="297"/>
      <c r="F18" s="297"/>
      <c r="G18" s="297"/>
      <c r="H18" s="111">
        <f t="shared" si="0"/>
        <v>120</v>
      </c>
      <c r="I18" s="242">
        <f>D18 + (F18/1000) + (G18/1000000) + (E18/1000000000) + (A18/100000000000)</f>
        <v>1.5E-10</v>
      </c>
      <c r="J18" s="99" t="str">
        <f>C18 &amp; (COUNTIFS($C$4:$C$123, C18, $H$4:$H$123, "&lt;"&amp;H18) + COUNTIFS($C$4:C18, C18, $H$4:H18, H18))</f>
        <v>15</v>
      </c>
      <c r="K18" s="95" t="str">
        <f t="shared" si="1"/>
        <v>///</v>
      </c>
      <c r="T18" s="3" t="str">
        <f>_xlfn.XLOOKUP(B18, REGISTRATION!B:B, REGISTRATION!C:C, "No Team")</f>
        <v/>
      </c>
    </row>
    <row r="19" spans="1:21" ht="24.75" customHeight="1">
      <c r="A19" s="97">
        <v>16</v>
      </c>
      <c r="B19" s="108" t="str">
        <f>IF(DATA_IMPORT!A17="", "", DATA_IMPORT!A17)</f>
        <v/>
      </c>
      <c r="C19" s="115" t="str">
        <f>IF(DATA_IMPORT!C17="", "", DATA_IMPORT!C17)</f>
        <v/>
      </c>
      <c r="D19" s="297"/>
      <c r="E19" s="297"/>
      <c r="F19" s="297"/>
      <c r="G19" s="297"/>
      <c r="H19" s="111">
        <f t="shared" si="0"/>
        <v>120</v>
      </c>
      <c r="I19" s="242">
        <f>D19 + (F19/1000) + (G19/1000000) + (E19/1000000000) + (A19/100000000000)</f>
        <v>1.5999999999999999E-10</v>
      </c>
      <c r="J19" s="99" t="str">
        <f>C19 &amp; (COUNTIFS($C$4:$C$123, C19, $H$4:$H$123, "&lt;"&amp;H19) + COUNTIFS($C$4:C19, C19, $H$4:H19, H19))</f>
        <v>16</v>
      </c>
      <c r="K19" s="95" t="str">
        <f t="shared" si="1"/>
        <v>///</v>
      </c>
      <c r="T19" s="3" t="str">
        <f>_xlfn.XLOOKUP(B19, REGISTRATION!B:B, REGISTRATION!C:C, "No Team")</f>
        <v/>
      </c>
    </row>
    <row r="20" spans="1:21" ht="24.75" customHeight="1">
      <c r="A20" s="97">
        <v>17</v>
      </c>
      <c r="B20" s="108" t="str">
        <f>IF(DATA_IMPORT!A18="", "", DATA_IMPORT!A18)</f>
        <v/>
      </c>
      <c r="C20" s="115" t="str">
        <f>IF(DATA_IMPORT!C18="", "", DATA_IMPORT!C18)</f>
        <v/>
      </c>
      <c r="D20" s="297"/>
      <c r="E20" s="297"/>
      <c r="F20" s="297"/>
      <c r="G20" s="297"/>
      <c r="H20" s="111">
        <f t="shared" si="0"/>
        <v>120</v>
      </c>
      <c r="I20" s="242">
        <f>D20 + (F20/1000) + (G20/1000000) + (E20/1000000000) + (A20/100000000000)</f>
        <v>1.7000000000000001E-10</v>
      </c>
      <c r="J20" s="99" t="str">
        <f>C20 &amp; (COUNTIFS($C$4:$C$123, C20, $H$4:$H$123, "&lt;"&amp;H20) + COUNTIFS($C$4:C20, C20, $H$4:H20, H20))</f>
        <v>17</v>
      </c>
      <c r="K20" s="95" t="str">
        <f t="shared" si="1"/>
        <v>///</v>
      </c>
      <c r="T20" s="3" t="str">
        <f>_xlfn.XLOOKUP(B20, REGISTRATION!B:B, REGISTRATION!C:C, "No Team")</f>
        <v/>
      </c>
    </row>
    <row r="21" spans="1:21" ht="24.75" customHeight="1">
      <c r="A21" s="97">
        <v>18</v>
      </c>
      <c r="B21" s="108" t="str">
        <f>IF(DATA_IMPORT!A19="", "", DATA_IMPORT!A19)</f>
        <v/>
      </c>
      <c r="C21" s="115" t="str">
        <f>IF(DATA_IMPORT!C19="", "", DATA_IMPORT!C19)</f>
        <v/>
      </c>
      <c r="D21" s="297"/>
      <c r="E21" s="297"/>
      <c r="F21" s="297"/>
      <c r="G21" s="297"/>
      <c r="H21" s="111">
        <f t="shared" si="0"/>
        <v>120</v>
      </c>
      <c r="I21" s="242">
        <f>D21 + (F21/1000) + (G21/1000000) + (E21/1000000000) + (A21/100000000000)</f>
        <v>1.8E-10</v>
      </c>
      <c r="J21" s="99" t="str">
        <f>C21 &amp; (COUNTIFS($C$4:$C$123, C21, $H$4:$H$123, "&lt;"&amp;H21) + COUNTIFS($C$4:C21, C21, $H$4:H21, H21))</f>
        <v>18</v>
      </c>
      <c r="K21" s="95" t="str">
        <f t="shared" si="1"/>
        <v>///</v>
      </c>
      <c r="T21" s="3" t="str">
        <f>_xlfn.XLOOKUP(B21, REGISTRATION!B:B, REGISTRATION!C:C, "No Team")</f>
        <v/>
      </c>
    </row>
    <row r="22" spans="1:21" ht="24.75" customHeight="1">
      <c r="A22" s="97">
        <v>19</v>
      </c>
      <c r="B22" s="108" t="str">
        <f>IF(DATA_IMPORT!A20="", "", DATA_IMPORT!A20)</f>
        <v/>
      </c>
      <c r="C22" s="115" t="str">
        <f>IF(DATA_IMPORT!C20="", "", DATA_IMPORT!C20)</f>
        <v/>
      </c>
      <c r="D22" s="297"/>
      <c r="E22" s="297"/>
      <c r="F22" s="297"/>
      <c r="G22" s="297"/>
      <c r="H22" s="111">
        <f t="shared" si="0"/>
        <v>120</v>
      </c>
      <c r="I22" s="242">
        <f>D22 + (F22/1000) + (G22/1000000) + (E22/1000000000) + (A22/100000000000)</f>
        <v>1.8999999999999999E-10</v>
      </c>
      <c r="J22" s="99" t="str">
        <f>C22 &amp; (COUNTIFS($C$4:$C$123, C22, $H$4:$H$123, "&lt;"&amp;H22) + COUNTIFS($C$4:C22, C22, $H$4:H22, H22))</f>
        <v>19</v>
      </c>
      <c r="K22" s="95" t="str">
        <f t="shared" si="1"/>
        <v>///</v>
      </c>
      <c r="T22" s="3" t="str">
        <f>_xlfn.XLOOKUP(B22, REGISTRATION!B:B, REGISTRATION!C:C, "No Team")</f>
        <v/>
      </c>
    </row>
    <row r="23" spans="1:21" ht="24.75" customHeight="1">
      <c r="A23" s="97">
        <v>20</v>
      </c>
      <c r="B23" s="108" t="str">
        <f>IF(DATA_IMPORT!A21="", "", DATA_IMPORT!A21)</f>
        <v/>
      </c>
      <c r="C23" s="115" t="str">
        <f>IF(DATA_IMPORT!C21="", "", DATA_IMPORT!C21)</f>
        <v/>
      </c>
      <c r="D23" s="297"/>
      <c r="E23" s="297"/>
      <c r="F23" s="297"/>
      <c r="G23" s="297"/>
      <c r="H23" s="111">
        <f t="shared" si="0"/>
        <v>120</v>
      </c>
      <c r="I23" s="242">
        <f>D23 + (F23/1000) + (G23/1000000) + (E23/1000000000) + (A23/100000000000)</f>
        <v>2.0000000000000001E-10</v>
      </c>
      <c r="J23" s="99" t="str">
        <f>C23 &amp; (COUNTIFS($C$4:$C$123, C23, $H$4:$H$123, "&lt;"&amp;H23) + COUNTIFS($C$4:C23, C23, $H$4:H23, H23))</f>
        <v>20</v>
      </c>
      <c r="K23" s="95" t="str">
        <f t="shared" si="1"/>
        <v>///</v>
      </c>
      <c r="T23" s="3" t="str">
        <f>_xlfn.XLOOKUP(B23, REGISTRATION!B:B, REGISTRATION!C:C, "No Team")</f>
        <v/>
      </c>
    </row>
    <row r="24" spans="1:21" ht="24.75" customHeight="1">
      <c r="A24" s="97">
        <v>21</v>
      </c>
      <c r="B24" s="108" t="str">
        <f>IF(DATA_IMPORT!A22="", "", DATA_IMPORT!A22)</f>
        <v/>
      </c>
      <c r="C24" s="115" t="str">
        <f>IF(DATA_IMPORT!C22="", "", DATA_IMPORT!C22)</f>
        <v/>
      </c>
      <c r="D24" s="297"/>
      <c r="E24" s="297"/>
      <c r="F24" s="297"/>
      <c r="G24" s="297"/>
      <c r="H24" s="111">
        <f t="shared" si="0"/>
        <v>120</v>
      </c>
      <c r="I24" s="242">
        <f>D24 + (F24/1000) + (G24/1000000) + (E24/1000000000) + (A24/100000000000)</f>
        <v>2.1E-10</v>
      </c>
      <c r="J24" s="99" t="str">
        <f>C24 &amp; (COUNTIFS($C$4:$C$123, C24, $H$4:$H$123, "&lt;"&amp;H24) + COUNTIFS($C$4:C24, C24, $H$4:H24, H24))</f>
        <v>21</v>
      </c>
      <c r="K24" s="95" t="str">
        <f t="shared" si="1"/>
        <v>///</v>
      </c>
      <c r="T24" s="3" t="str">
        <f>_xlfn.XLOOKUP(B24, REGISTRATION!B:B, REGISTRATION!C:C, "No Team")</f>
        <v/>
      </c>
    </row>
    <row r="25" spans="1:21" ht="24.75" customHeight="1">
      <c r="A25" s="97">
        <v>22</v>
      </c>
      <c r="B25" s="108" t="str">
        <f>IF(DATA_IMPORT!A23="", "", DATA_IMPORT!A23)</f>
        <v/>
      </c>
      <c r="C25" s="115" t="str">
        <f>IF(DATA_IMPORT!C23="", "", DATA_IMPORT!C23)</f>
        <v/>
      </c>
      <c r="D25" s="297"/>
      <c r="E25" s="297"/>
      <c r="F25" s="297"/>
      <c r="G25" s="297"/>
      <c r="H25" s="111">
        <f t="shared" si="0"/>
        <v>120</v>
      </c>
      <c r="I25" s="242">
        <f>D25 + (F25/1000) + (G25/1000000) + (E25/1000000000) + (A25/100000000000)</f>
        <v>2.1999999999999999E-10</v>
      </c>
      <c r="J25" s="99" t="str">
        <f>C25 &amp; (COUNTIFS($C$4:$C$123, C25, $H$4:$H$123, "&lt;"&amp;H25) + COUNTIFS($C$4:C25, C25, $H$4:H25, H25))</f>
        <v>22</v>
      </c>
      <c r="K25" s="95" t="str">
        <f t="shared" si="1"/>
        <v>///</v>
      </c>
      <c r="T25" s="3" t="str">
        <f>_xlfn.XLOOKUP(B25, REGISTRATION!B:B, REGISTRATION!C:C, "No Team")</f>
        <v/>
      </c>
    </row>
    <row r="26" spans="1:21" ht="24.75" customHeight="1">
      <c r="A26" s="97">
        <v>23</v>
      </c>
      <c r="B26" s="108" t="str">
        <f>IF(DATA_IMPORT!A24="", "", DATA_IMPORT!A24)</f>
        <v/>
      </c>
      <c r="C26" s="115" t="str">
        <f>IF(DATA_IMPORT!C24="", "", DATA_IMPORT!C24)</f>
        <v/>
      </c>
      <c r="D26" s="297"/>
      <c r="E26" s="297"/>
      <c r="F26" s="297"/>
      <c r="G26" s="297"/>
      <c r="H26" s="111">
        <f t="shared" si="0"/>
        <v>120</v>
      </c>
      <c r="I26" s="242">
        <f>D26 + (F26/1000) + (G26/1000000) + (E26/1000000000) + (A26/100000000000)</f>
        <v>2.3000000000000001E-10</v>
      </c>
      <c r="J26" s="99" t="str">
        <f>C26 &amp; (COUNTIFS($C$4:$C$123, C26, $H$4:$H$123, "&lt;"&amp;H26) + COUNTIFS($C$4:C26, C26, $H$4:H26, H26))</f>
        <v>23</v>
      </c>
      <c r="K26" s="95" t="str">
        <f t="shared" si="1"/>
        <v>///</v>
      </c>
      <c r="T26" s="3" t="str">
        <f>_xlfn.XLOOKUP(B26, REGISTRATION!B:B, REGISTRATION!C:C, "No Team")</f>
        <v/>
      </c>
    </row>
    <row r="27" spans="1:21" ht="24.75" customHeight="1">
      <c r="A27" s="97">
        <v>24</v>
      </c>
      <c r="B27" s="108" t="str">
        <f>IF(DATA_IMPORT!A25="", "", DATA_IMPORT!A25)</f>
        <v/>
      </c>
      <c r="C27" s="115" t="str">
        <f>IF(DATA_IMPORT!C25="", "", DATA_IMPORT!C25)</f>
        <v/>
      </c>
      <c r="D27" s="297"/>
      <c r="E27" s="297"/>
      <c r="F27" s="297"/>
      <c r="G27" s="297"/>
      <c r="H27" s="111">
        <f t="shared" si="0"/>
        <v>120</v>
      </c>
      <c r="I27" s="242">
        <f>D27 + (F27/1000) + (G27/1000000) + (E27/1000000000) + (A27/100000000000)</f>
        <v>2.4E-10</v>
      </c>
      <c r="J27" s="99" t="str">
        <f>C27 &amp; (COUNTIFS($C$4:$C$123, C27, $H$4:$H$123, "&lt;"&amp;H27) + COUNTIFS($C$4:C27, C27, $H$4:H27, H27))</f>
        <v>24</v>
      </c>
      <c r="K27" s="95" t="str">
        <f t="shared" si="1"/>
        <v>///</v>
      </c>
      <c r="T27" s="3" t="str">
        <f>_xlfn.XLOOKUP(B27, REGISTRATION!B:B, REGISTRATION!C:C, "No Team")</f>
        <v/>
      </c>
    </row>
    <row r="28" spans="1:21" ht="24.75" customHeight="1">
      <c r="A28" s="97">
        <v>25</v>
      </c>
      <c r="B28" s="108" t="str">
        <f>IF(DATA_IMPORT!A26="", "", DATA_IMPORT!A26)</f>
        <v/>
      </c>
      <c r="C28" s="115" t="str">
        <f>IF(DATA_IMPORT!C26="", "", DATA_IMPORT!C26)</f>
        <v/>
      </c>
      <c r="D28" s="297"/>
      <c r="E28" s="297"/>
      <c r="F28" s="297"/>
      <c r="G28" s="297"/>
      <c r="H28" s="111">
        <f t="shared" si="0"/>
        <v>120</v>
      </c>
      <c r="I28" s="242">
        <f>D28 + (F28/1000) + (G28/1000000) + (E28/1000000000) + (A28/100000000000)</f>
        <v>2.5000000000000002E-10</v>
      </c>
      <c r="J28" s="99" t="str">
        <f>C28 &amp; (COUNTIFS($C$4:$C$123, C28, $H$4:$H$123, "&lt;"&amp;H28) + COUNTIFS($C$4:C28, C28, $H$4:H28, H28))</f>
        <v>25</v>
      </c>
      <c r="K28" s="95" t="str">
        <f t="shared" si="1"/>
        <v>///</v>
      </c>
      <c r="T28" s="3" t="str">
        <f>_xlfn.XLOOKUP(B28, REGISTRATION!B:B, REGISTRATION!C:C, "No Team")</f>
        <v/>
      </c>
    </row>
    <row r="29" spans="1:21" ht="24.75" customHeight="1">
      <c r="A29" s="97">
        <v>26</v>
      </c>
      <c r="B29" s="108" t="str">
        <f>IF(DATA_IMPORT!A27="", "", DATA_IMPORT!A27)</f>
        <v/>
      </c>
      <c r="C29" s="115" t="str">
        <f>IF(DATA_IMPORT!C27="", "", DATA_IMPORT!C27)</f>
        <v/>
      </c>
      <c r="D29" s="297"/>
      <c r="E29" s="297"/>
      <c r="F29" s="297"/>
      <c r="G29" s="297"/>
      <c r="H29" s="111">
        <f t="shared" si="0"/>
        <v>120</v>
      </c>
      <c r="I29" s="242">
        <f>D29 + (F29/1000) + (G29/1000000) + (E29/1000000000) + (A29/100000000000)</f>
        <v>2.5999999999999998E-10</v>
      </c>
      <c r="J29" s="99" t="str">
        <f>C29 &amp; (COUNTIFS($C$4:$C$123, C29, $H$4:$H$123, "&lt;"&amp;H29) + COUNTIFS($C$4:C29, C29, $H$4:H29, H29))</f>
        <v>26</v>
      </c>
      <c r="K29" s="95" t="str">
        <f t="shared" si="1"/>
        <v>///</v>
      </c>
      <c r="T29" s="3" t="str">
        <f>_xlfn.XLOOKUP(B29, REGISTRATION!B:B, REGISTRATION!C:C, "No Team")</f>
        <v/>
      </c>
    </row>
    <row r="30" spans="1:21" ht="24.75" customHeight="1">
      <c r="A30" s="97">
        <v>27</v>
      </c>
      <c r="B30" s="108" t="str">
        <f>IF(DATA_IMPORT!A28="", "", DATA_IMPORT!A28)</f>
        <v/>
      </c>
      <c r="C30" s="115" t="str">
        <f>IF(DATA_IMPORT!C28="", "", DATA_IMPORT!C28)</f>
        <v/>
      </c>
      <c r="D30" s="297"/>
      <c r="E30" s="297"/>
      <c r="F30" s="297"/>
      <c r="G30" s="297"/>
      <c r="H30" s="111">
        <f t="shared" si="0"/>
        <v>120</v>
      </c>
      <c r="I30" s="242">
        <f>D30 + (F30/1000) + (G30/1000000) + (E30/1000000000) + (A30/100000000000)</f>
        <v>2.7E-10</v>
      </c>
      <c r="J30" s="99" t="str">
        <f>C30 &amp; (COUNTIFS($C$4:$C$123, C30, $H$4:$H$123, "&lt;"&amp;H30) + COUNTIFS($C$4:C30, C30, $H$4:H30, H30))</f>
        <v>27</v>
      </c>
      <c r="K30" s="95" t="str">
        <f t="shared" si="1"/>
        <v>///</v>
      </c>
      <c r="T30" s="3" t="str">
        <f>_xlfn.XLOOKUP(B30, REGISTRATION!B:B, REGISTRATION!C:C, "No Team")</f>
        <v/>
      </c>
    </row>
    <row r="31" spans="1:21" ht="24.75" customHeight="1">
      <c r="A31" s="97">
        <v>28</v>
      </c>
      <c r="B31" s="108" t="str">
        <f>IF(DATA_IMPORT!A29="", "", DATA_IMPORT!A29)</f>
        <v/>
      </c>
      <c r="C31" s="115" t="str">
        <f>IF(DATA_IMPORT!C29="", "", DATA_IMPORT!C29)</f>
        <v/>
      </c>
      <c r="D31" s="297"/>
      <c r="E31" s="297"/>
      <c r="F31" s="297"/>
      <c r="G31" s="297"/>
      <c r="H31" s="111">
        <f t="shared" si="0"/>
        <v>120</v>
      </c>
      <c r="I31" s="242">
        <f>D31 + (F31/1000) + (G31/1000000) + (E31/1000000000) + (A31/100000000000)</f>
        <v>2.8000000000000002E-10</v>
      </c>
      <c r="J31" s="99" t="str">
        <f>C31 &amp; (COUNTIFS($C$4:$C$123, C31, $H$4:$H$123, "&lt;"&amp;H31) + COUNTIFS($C$4:C31, C31, $H$4:H31, H31))</f>
        <v>28</v>
      </c>
      <c r="K31" s="95" t="str">
        <f t="shared" si="1"/>
        <v>///</v>
      </c>
      <c r="T31" s="3" t="str">
        <f>_xlfn.XLOOKUP(B31, REGISTRATION!B:B, REGISTRATION!C:C, "No Team")</f>
        <v/>
      </c>
    </row>
    <row r="32" spans="1:21" ht="24.75" customHeight="1">
      <c r="A32" s="97">
        <v>29</v>
      </c>
      <c r="B32" s="108" t="str">
        <f>IF(DATA_IMPORT!A30="", "", DATA_IMPORT!A30)</f>
        <v/>
      </c>
      <c r="C32" s="115" t="str">
        <f>IF(DATA_IMPORT!C30="", "", DATA_IMPORT!C30)</f>
        <v/>
      </c>
      <c r="D32" s="297"/>
      <c r="E32" s="297"/>
      <c r="F32" s="297"/>
      <c r="G32" s="297"/>
      <c r="H32" s="111">
        <f t="shared" si="0"/>
        <v>120</v>
      </c>
      <c r="I32" s="242">
        <f>D32 + (F32/1000) + (G32/1000000) + (E32/1000000000) + (A32/100000000000)</f>
        <v>2.8999999999999998E-10</v>
      </c>
      <c r="J32" s="99" t="str">
        <f>C32 &amp; (COUNTIFS($C$4:$C$123, C32, $H$4:$H$123, "&lt;"&amp;H32) + COUNTIFS($C$4:C32, C32, $H$4:H32, H32))</f>
        <v>29</v>
      </c>
      <c r="K32" s="95" t="str">
        <f t="shared" si="1"/>
        <v>///</v>
      </c>
      <c r="T32" s="3" t="str">
        <f>_xlfn.XLOOKUP(B32, REGISTRATION!B:B, REGISTRATION!C:C, "No Team")</f>
        <v/>
      </c>
    </row>
    <row r="33" spans="1:20" ht="24.75" customHeight="1">
      <c r="A33" s="97">
        <v>30</v>
      </c>
      <c r="B33" s="108" t="str">
        <f>IF(DATA_IMPORT!A31="", "", DATA_IMPORT!A31)</f>
        <v/>
      </c>
      <c r="C33" s="115" t="str">
        <f>IF(DATA_IMPORT!C31="", "", DATA_IMPORT!C31)</f>
        <v/>
      </c>
      <c r="D33" s="297"/>
      <c r="E33" s="297"/>
      <c r="F33" s="297"/>
      <c r="G33" s="297"/>
      <c r="H33" s="111">
        <f t="shared" si="0"/>
        <v>120</v>
      </c>
      <c r="I33" s="242">
        <f>D33 + (F33/1000) + (G33/1000000) + (E33/1000000000) + (A33/100000000000)</f>
        <v>3E-10</v>
      </c>
      <c r="J33" s="99" t="str">
        <f>C33 &amp; (COUNTIFS($C$4:$C$123, C33, $H$4:$H$123, "&lt;"&amp;H33) + COUNTIFS($C$4:C33, C33, $H$4:H33, H33))</f>
        <v>30</v>
      </c>
      <c r="K33" s="95" t="str">
        <f t="shared" si="1"/>
        <v>///</v>
      </c>
      <c r="T33" s="3" t="str">
        <f>_xlfn.XLOOKUP(B33, REGISTRATION!B:B, REGISTRATION!C:C, "No Team")</f>
        <v/>
      </c>
    </row>
    <row r="34" spans="1:20" ht="24.75" customHeight="1">
      <c r="A34" s="97">
        <v>31</v>
      </c>
      <c r="B34" s="108" t="str">
        <f>IF(DATA_IMPORT!A32="", "", DATA_IMPORT!A32)</f>
        <v/>
      </c>
      <c r="C34" s="115" t="str">
        <f>IF(DATA_IMPORT!C32="", "", DATA_IMPORT!C32)</f>
        <v/>
      </c>
      <c r="D34" s="297"/>
      <c r="E34" s="297"/>
      <c r="F34" s="297"/>
      <c r="G34" s="297"/>
      <c r="H34" s="111">
        <f t="shared" si="0"/>
        <v>120</v>
      </c>
      <c r="I34" s="242">
        <f>D34 + (F34/1000) + (G34/1000000) + (E34/1000000000) + (A34/100000000000)</f>
        <v>3.1000000000000002E-10</v>
      </c>
      <c r="J34" s="99" t="str">
        <f>C34 &amp; (COUNTIFS($C$4:$C$123, C34, $H$4:$H$123, "&lt;"&amp;H34) + COUNTIFS($C$4:C34, C34, $H$4:H34, H34))</f>
        <v>31</v>
      </c>
      <c r="K34" s="95" t="str">
        <f t="shared" si="1"/>
        <v>///</v>
      </c>
      <c r="T34" s="3" t="str">
        <f>_xlfn.XLOOKUP(B34, REGISTRATION!B:B, REGISTRATION!C:C, "No Team")</f>
        <v/>
      </c>
    </row>
    <row r="35" spans="1:20" ht="24.75" customHeight="1">
      <c r="A35" s="97">
        <v>32</v>
      </c>
      <c r="B35" s="108" t="str">
        <f>IF(DATA_IMPORT!A33="", "", DATA_IMPORT!A33)</f>
        <v/>
      </c>
      <c r="C35" s="115" t="str">
        <f>IF(DATA_IMPORT!C33="", "", DATA_IMPORT!C33)</f>
        <v/>
      </c>
      <c r="D35" s="297"/>
      <c r="E35" s="297"/>
      <c r="F35" s="297"/>
      <c r="G35" s="297"/>
      <c r="H35" s="111">
        <f t="shared" si="0"/>
        <v>120</v>
      </c>
      <c r="I35" s="242">
        <f>D35 + (F35/1000) + (G35/1000000) + (E35/1000000000) + (A35/100000000000)</f>
        <v>3.1999999999999998E-10</v>
      </c>
      <c r="J35" s="99" t="str">
        <f>C35 &amp; (COUNTIFS($C$4:$C$123, C35, $H$4:$H$123, "&lt;"&amp;H35) + COUNTIFS($C$4:C35, C35, $H$4:H35, H35))</f>
        <v>32</v>
      </c>
      <c r="K35" s="95" t="str">
        <f t="shared" si="1"/>
        <v>///</v>
      </c>
      <c r="T35" s="3" t="str">
        <f>_xlfn.XLOOKUP(B35, REGISTRATION!B:B, REGISTRATION!C:C, "No Team")</f>
        <v/>
      </c>
    </row>
    <row r="36" spans="1:20" ht="24.75" customHeight="1">
      <c r="A36" s="97">
        <v>33</v>
      </c>
      <c r="B36" s="108" t="str">
        <f>IF(DATA_IMPORT!A34="", "", DATA_IMPORT!A34)</f>
        <v/>
      </c>
      <c r="C36" s="115" t="str">
        <f>IF(DATA_IMPORT!C34="", "", DATA_IMPORT!C34)</f>
        <v/>
      </c>
      <c r="D36" s="297"/>
      <c r="E36" s="297"/>
      <c r="F36" s="297"/>
      <c r="G36" s="297"/>
      <c r="H36" s="111">
        <f t="shared" si="0"/>
        <v>120</v>
      </c>
      <c r="I36" s="242">
        <f>D36 + (F36/1000) + (G36/1000000) + (E36/1000000000) + (A36/100000000000)</f>
        <v>3.3E-10</v>
      </c>
      <c r="J36" s="99" t="str">
        <f>C36 &amp; (COUNTIFS($C$4:$C$123, C36, $H$4:$H$123, "&lt;"&amp;H36) + COUNTIFS($C$4:C36, C36, $H$4:H36, H36))</f>
        <v>33</v>
      </c>
      <c r="K36" s="95" t="str">
        <f t="shared" si="1"/>
        <v>///</v>
      </c>
      <c r="T36" s="3" t="str">
        <f>_xlfn.XLOOKUP(B36, REGISTRATION!B:B, REGISTRATION!C:C, "No Team")</f>
        <v/>
      </c>
    </row>
    <row r="37" spans="1:20" ht="24.75" customHeight="1">
      <c r="A37" s="97">
        <v>34</v>
      </c>
      <c r="B37" s="108" t="str">
        <f>IF(DATA_IMPORT!A35="", "", DATA_IMPORT!A35)</f>
        <v/>
      </c>
      <c r="C37" s="115" t="str">
        <f>IF(DATA_IMPORT!C35="", "", DATA_IMPORT!C35)</f>
        <v/>
      </c>
      <c r="D37" s="297"/>
      <c r="E37" s="297"/>
      <c r="F37" s="297"/>
      <c r="G37" s="297"/>
      <c r="H37" s="111">
        <f t="shared" si="0"/>
        <v>120</v>
      </c>
      <c r="I37" s="242">
        <f>D37 + (F37/1000) + (G37/1000000) + (E37/1000000000) + (A37/100000000000)</f>
        <v>3.4000000000000001E-10</v>
      </c>
      <c r="J37" s="99" t="str">
        <f>C37 &amp; (COUNTIFS($C$4:$C$123, C37, $H$4:$H$123, "&lt;"&amp;H37) + COUNTIFS($C$4:C37, C37, $H$4:H37, H37))</f>
        <v>34</v>
      </c>
      <c r="K37" s="95" t="str">
        <f t="shared" si="1"/>
        <v>///</v>
      </c>
      <c r="T37" s="3" t="str">
        <f>_xlfn.XLOOKUP(B37, REGISTRATION!B:B, REGISTRATION!C:C, "No Team")</f>
        <v/>
      </c>
    </row>
    <row r="38" spans="1:20" ht="24.75" customHeight="1">
      <c r="A38" s="97">
        <v>35</v>
      </c>
      <c r="B38" s="108" t="str">
        <f>IF(DATA_IMPORT!A36="", "", DATA_IMPORT!A36)</f>
        <v/>
      </c>
      <c r="C38" s="115" t="str">
        <f>IF(DATA_IMPORT!C36="", "", DATA_IMPORT!C36)</f>
        <v/>
      </c>
      <c r="D38" s="297"/>
      <c r="E38" s="297"/>
      <c r="F38" s="297"/>
      <c r="G38" s="297"/>
      <c r="H38" s="111">
        <f t="shared" si="0"/>
        <v>120</v>
      </c>
      <c r="I38" s="242">
        <f>D38 + (F38/1000) + (G38/1000000) + (E38/1000000000) + (A38/100000000000)</f>
        <v>3.4999999999999998E-10</v>
      </c>
      <c r="J38" s="99" t="str">
        <f>C38 &amp; (COUNTIFS($C$4:$C$123, C38, $H$4:$H$123, "&lt;"&amp;H38) + COUNTIFS($C$4:C38, C38, $H$4:H38, H38))</f>
        <v>35</v>
      </c>
      <c r="K38" s="95" t="str">
        <f t="shared" si="1"/>
        <v>///</v>
      </c>
      <c r="T38" s="3" t="str">
        <f>_xlfn.XLOOKUP(B38, REGISTRATION!B:B, REGISTRATION!C:C, "No Team")</f>
        <v/>
      </c>
    </row>
    <row r="39" spans="1:20" ht="24.75" customHeight="1">
      <c r="A39" s="97">
        <v>36</v>
      </c>
      <c r="B39" s="108" t="str">
        <f>IF(DATA_IMPORT!A37="", "", DATA_IMPORT!A37)</f>
        <v/>
      </c>
      <c r="C39" s="115" t="str">
        <f>IF(DATA_IMPORT!C37="", "", DATA_IMPORT!C37)</f>
        <v/>
      </c>
      <c r="D39" s="297"/>
      <c r="E39" s="297"/>
      <c r="F39" s="297"/>
      <c r="G39" s="297"/>
      <c r="H39" s="111">
        <f t="shared" si="0"/>
        <v>120</v>
      </c>
      <c r="I39" s="242">
        <f>D39 + (F39/1000) + (G39/1000000) + (E39/1000000000) + (A39/100000000000)</f>
        <v>3.6E-10</v>
      </c>
      <c r="J39" s="99" t="str">
        <f>C39 &amp; (COUNTIFS($C$4:$C$123, C39, $H$4:$H$123, "&lt;"&amp;H39) + COUNTIFS($C$4:C39, C39, $H$4:H39, H39))</f>
        <v>36</v>
      </c>
      <c r="K39" s="95" t="str">
        <f t="shared" si="1"/>
        <v>///</v>
      </c>
      <c r="T39" s="3" t="str">
        <f>_xlfn.XLOOKUP(B39, REGISTRATION!B:B, REGISTRATION!C:C, "No Team")</f>
        <v/>
      </c>
    </row>
    <row r="40" spans="1:20" ht="24.75" customHeight="1">
      <c r="A40" s="97">
        <v>37</v>
      </c>
      <c r="B40" s="108" t="str">
        <f>IF(DATA_IMPORT!A38="", "", DATA_IMPORT!A38)</f>
        <v/>
      </c>
      <c r="C40" s="115" t="str">
        <f>IF(DATA_IMPORT!C38="", "", DATA_IMPORT!C38)</f>
        <v/>
      </c>
      <c r="D40" s="297"/>
      <c r="E40" s="297"/>
      <c r="F40" s="297"/>
      <c r="G40" s="297"/>
      <c r="H40" s="111">
        <f t="shared" si="0"/>
        <v>120</v>
      </c>
      <c r="I40" s="242">
        <f>D40 + (F40/1000) + (G40/1000000) + (E40/1000000000) + (A40/100000000000)</f>
        <v>3.7000000000000001E-10</v>
      </c>
      <c r="J40" s="99" t="str">
        <f>C40 &amp; (COUNTIFS($C$4:$C$123, C40, $H$4:$H$123, "&lt;"&amp;H40) + COUNTIFS($C$4:C40, C40, $H$4:H40, H40))</f>
        <v>37</v>
      </c>
      <c r="K40" s="95" t="str">
        <f t="shared" si="1"/>
        <v>///</v>
      </c>
      <c r="T40" s="3" t="str">
        <f>_xlfn.XLOOKUP(B40, REGISTRATION!B:B, REGISTRATION!C:C, "No Team")</f>
        <v/>
      </c>
    </row>
    <row r="41" spans="1:20" ht="24.75" customHeight="1">
      <c r="A41" s="97">
        <v>38</v>
      </c>
      <c r="B41" s="108" t="str">
        <f>IF(DATA_IMPORT!A39="", "", DATA_IMPORT!A39)</f>
        <v/>
      </c>
      <c r="C41" s="115" t="str">
        <f>IF(DATA_IMPORT!C39="", "", DATA_IMPORT!C39)</f>
        <v/>
      </c>
      <c r="D41" s="297"/>
      <c r="E41" s="297"/>
      <c r="F41" s="297"/>
      <c r="G41" s="297"/>
      <c r="H41" s="111">
        <f t="shared" si="0"/>
        <v>120</v>
      </c>
      <c r="I41" s="242">
        <f>D41 + (F41/1000) + (G41/1000000) + (E41/1000000000) + (A41/100000000000)</f>
        <v>3.7999999999999998E-10</v>
      </c>
      <c r="J41" s="99" t="str">
        <f>C41 &amp; (COUNTIFS($C$4:$C$123, C41, $H$4:$H$123, "&lt;"&amp;H41) + COUNTIFS($C$4:C41, C41, $H$4:H41, H41))</f>
        <v>38</v>
      </c>
      <c r="K41" s="95" t="str">
        <f t="shared" si="1"/>
        <v>///</v>
      </c>
    </row>
    <row r="42" spans="1:20" ht="24.75" customHeight="1">
      <c r="A42" s="97">
        <v>39</v>
      </c>
      <c r="B42" s="108" t="str">
        <f>IF(DATA_IMPORT!A40="", "", DATA_IMPORT!A40)</f>
        <v/>
      </c>
      <c r="C42" s="115" t="str">
        <f>IF(DATA_IMPORT!C40="", "", DATA_IMPORT!C40)</f>
        <v/>
      </c>
      <c r="D42" s="297"/>
      <c r="E42" s="297"/>
      <c r="F42" s="297"/>
      <c r="G42" s="297"/>
      <c r="H42" s="111">
        <f t="shared" si="0"/>
        <v>120</v>
      </c>
      <c r="I42" s="242">
        <f>D42 + (F42/1000) + (G42/1000000) + (E42/1000000000) + (A42/100000000000)</f>
        <v>3.9E-10</v>
      </c>
      <c r="J42" s="99" t="str">
        <f>C42 &amp; (COUNTIFS($C$4:$C$123, C42, $H$4:$H$123, "&lt;"&amp;H42) + COUNTIFS($C$4:C42, C42, $H$4:H42, H42))</f>
        <v>39</v>
      </c>
      <c r="K42" s="95" t="str">
        <f t="shared" si="1"/>
        <v>///</v>
      </c>
    </row>
    <row r="43" spans="1:20" ht="24.75" customHeight="1">
      <c r="A43" s="97">
        <v>40</v>
      </c>
      <c r="B43" s="108" t="str">
        <f>IF(DATA_IMPORT!A41="", "", DATA_IMPORT!A41)</f>
        <v/>
      </c>
      <c r="C43" s="115" t="str">
        <f>IF(DATA_IMPORT!C41="", "", DATA_IMPORT!C41)</f>
        <v/>
      </c>
      <c r="D43" s="297"/>
      <c r="E43" s="297"/>
      <c r="F43" s="297"/>
      <c r="G43" s="297"/>
      <c r="H43" s="111">
        <f t="shared" si="0"/>
        <v>120</v>
      </c>
      <c r="I43" s="242">
        <f>D43 + (F43/1000) + (G43/1000000) + (E43/1000000000) + (A43/100000000000)</f>
        <v>4.0000000000000001E-10</v>
      </c>
      <c r="J43" s="99" t="str">
        <f>C43 &amp; (COUNTIFS($C$4:$C$123, C43, $H$4:$H$123, "&lt;"&amp;H43) + COUNTIFS($C$4:C43, C43, $H$4:H43, H43))</f>
        <v>40</v>
      </c>
      <c r="K43" s="95" t="str">
        <f t="shared" si="1"/>
        <v>///</v>
      </c>
    </row>
    <row r="44" spans="1:20" ht="24.75" customHeight="1">
      <c r="A44" s="97">
        <v>41</v>
      </c>
      <c r="B44" s="108" t="str">
        <f>IF(DATA_IMPORT!A42="", "", DATA_IMPORT!A42)</f>
        <v/>
      </c>
      <c r="C44" s="115" t="str">
        <f>IF(DATA_IMPORT!C42="", "", DATA_IMPORT!C42)</f>
        <v/>
      </c>
      <c r="D44" s="297"/>
      <c r="E44" s="297"/>
      <c r="F44" s="297"/>
      <c r="G44" s="297"/>
      <c r="H44" s="111">
        <f t="shared" si="0"/>
        <v>120</v>
      </c>
      <c r="I44" s="242">
        <f>D44 + (F44/1000) + (G44/1000000) + (E44/1000000000) + (A44/100000000000)</f>
        <v>4.0999999999999998E-10</v>
      </c>
      <c r="J44" s="99" t="str">
        <f>C44 &amp; (COUNTIFS($C$4:$C$123, C44, $H$4:$H$123, "&lt;"&amp;H44) + COUNTIFS($C$4:C44, C44, $H$4:H44, H44))</f>
        <v>41</v>
      </c>
      <c r="K44" s="95" t="str">
        <f t="shared" si="1"/>
        <v>///</v>
      </c>
    </row>
    <row r="45" spans="1:20" ht="24.75" customHeight="1">
      <c r="A45" s="97">
        <v>42</v>
      </c>
      <c r="B45" s="108" t="str">
        <f>IF(DATA_IMPORT!A43="", "", DATA_IMPORT!A43)</f>
        <v/>
      </c>
      <c r="C45" s="115" t="str">
        <f>IF(DATA_IMPORT!C43="", "", DATA_IMPORT!C43)</f>
        <v/>
      </c>
      <c r="D45" s="297"/>
      <c r="E45" s="297"/>
      <c r="F45" s="297"/>
      <c r="G45" s="297"/>
      <c r="H45" s="111">
        <f t="shared" si="0"/>
        <v>120</v>
      </c>
      <c r="I45" s="242">
        <f>D45 + (F45/1000) + (G45/1000000) + (E45/1000000000) + (A45/100000000000)</f>
        <v>4.2E-10</v>
      </c>
      <c r="J45" s="99" t="str">
        <f>C45 &amp; (COUNTIFS($C$4:$C$123, C45, $H$4:$H$123, "&lt;"&amp;H45) + COUNTIFS($C$4:C45, C45, $H$4:H45, H45))</f>
        <v>42</v>
      </c>
      <c r="K45" s="95" t="str">
        <f t="shared" si="1"/>
        <v>///</v>
      </c>
    </row>
    <row r="46" spans="1:20" ht="24.75" customHeight="1">
      <c r="A46" s="97">
        <v>43</v>
      </c>
      <c r="B46" s="108" t="str">
        <f>IF(DATA_IMPORT!A44="", "", DATA_IMPORT!A44)</f>
        <v/>
      </c>
      <c r="C46" s="115" t="str">
        <f>IF(DATA_IMPORT!C44="", "", DATA_IMPORT!C44)</f>
        <v/>
      </c>
      <c r="D46" s="297"/>
      <c r="E46" s="297"/>
      <c r="F46" s="297"/>
      <c r="G46" s="297"/>
      <c r="H46" s="111">
        <f t="shared" si="0"/>
        <v>120</v>
      </c>
      <c r="I46" s="242">
        <f>D46 + (F46/1000) + (G46/1000000) + (E46/1000000000) + (A46/100000000000)</f>
        <v>4.3000000000000001E-10</v>
      </c>
      <c r="J46" s="99" t="str">
        <f>C46 &amp; (COUNTIFS($C$4:$C$123, C46, $H$4:$H$123, "&lt;"&amp;H46) + COUNTIFS($C$4:C46, C46, $H$4:H46, H46))</f>
        <v>43</v>
      </c>
      <c r="K46" s="95" t="str">
        <f t="shared" si="1"/>
        <v>///</v>
      </c>
    </row>
    <row r="47" spans="1:20" ht="24.75" customHeight="1">
      <c r="A47" s="97">
        <v>44</v>
      </c>
      <c r="B47" s="108" t="str">
        <f>IF(DATA_IMPORT!A45="", "", DATA_IMPORT!A45)</f>
        <v/>
      </c>
      <c r="C47" s="115" t="str">
        <f>IF(DATA_IMPORT!C45="", "", DATA_IMPORT!C45)</f>
        <v/>
      </c>
      <c r="D47" s="297"/>
      <c r="E47" s="297"/>
      <c r="F47" s="297"/>
      <c r="G47" s="297"/>
      <c r="H47" s="111">
        <f t="shared" si="0"/>
        <v>120</v>
      </c>
      <c r="I47" s="242">
        <f>D47 + (F47/1000) + (G47/1000000) + (E47/1000000000) + (A47/100000000000)</f>
        <v>4.3999999999999998E-10</v>
      </c>
      <c r="J47" s="99" t="str">
        <f>C47 &amp; (COUNTIFS($C$4:$C$123, C47, $H$4:$H$123, "&lt;"&amp;H47) + COUNTIFS($C$4:C47, C47, $H$4:H47, H47))</f>
        <v>44</v>
      </c>
      <c r="K47" s="95" t="str">
        <f t="shared" si="1"/>
        <v>///</v>
      </c>
    </row>
    <row r="48" spans="1:20" ht="24.75" customHeight="1">
      <c r="A48" s="97">
        <v>45</v>
      </c>
      <c r="B48" s="108" t="str">
        <f>IF(DATA_IMPORT!A46="", "", DATA_IMPORT!A46)</f>
        <v/>
      </c>
      <c r="C48" s="115" t="str">
        <f>IF(DATA_IMPORT!C46="", "", DATA_IMPORT!C46)</f>
        <v/>
      </c>
      <c r="D48" s="297"/>
      <c r="E48" s="297"/>
      <c r="F48" s="297"/>
      <c r="G48" s="297"/>
      <c r="H48" s="111">
        <f t="shared" si="0"/>
        <v>120</v>
      </c>
      <c r="I48" s="242">
        <f>D48 + (F48/1000) + (G48/1000000) + (E48/1000000000) + (A48/100000000000)</f>
        <v>4.5E-10</v>
      </c>
      <c r="J48" s="99" t="str">
        <f>C48 &amp; (COUNTIFS($C$4:$C$123, C48, $H$4:$H$123, "&lt;"&amp;H48) + COUNTIFS($C$4:C48, C48, $H$4:H48, H48))</f>
        <v>45</v>
      </c>
      <c r="K48" s="95" t="str">
        <f t="shared" si="1"/>
        <v>///</v>
      </c>
    </row>
    <row r="49" spans="1:11" ht="24.75" customHeight="1">
      <c r="A49" s="97">
        <v>46</v>
      </c>
      <c r="B49" s="108" t="str">
        <f>IF(DATA_IMPORT!A47="", "", DATA_IMPORT!A47)</f>
        <v/>
      </c>
      <c r="C49" s="115" t="str">
        <f>IF(DATA_IMPORT!C47="", "", DATA_IMPORT!C47)</f>
        <v/>
      </c>
      <c r="D49" s="297"/>
      <c r="E49" s="297"/>
      <c r="F49" s="297"/>
      <c r="G49" s="297"/>
      <c r="H49" s="111">
        <f t="shared" si="0"/>
        <v>120</v>
      </c>
      <c r="I49" s="242">
        <f>D49 + (F49/1000) + (G49/1000000) + (E49/1000000000) + (A49/100000000000)</f>
        <v>4.6000000000000001E-10</v>
      </c>
      <c r="J49" s="99" t="str">
        <f>C49 &amp; (COUNTIFS($C$4:$C$123, C49, $H$4:$H$123, "&lt;"&amp;H49) + COUNTIFS($C$4:C49, C49, $H$4:H49, H49))</f>
        <v>46</v>
      </c>
      <c r="K49" s="95" t="str">
        <f t="shared" si="1"/>
        <v>///</v>
      </c>
    </row>
    <row r="50" spans="1:11" ht="24.75" customHeight="1">
      <c r="A50" s="97">
        <v>47</v>
      </c>
      <c r="B50" s="108" t="str">
        <f>IF(DATA_IMPORT!A48="", "", DATA_IMPORT!A48)</f>
        <v/>
      </c>
      <c r="C50" s="115" t="str">
        <f>IF(DATA_IMPORT!C48="", "", DATA_IMPORT!C48)</f>
        <v/>
      </c>
      <c r="D50" s="297"/>
      <c r="E50" s="297"/>
      <c r="F50" s="297"/>
      <c r="G50" s="297"/>
      <c r="H50" s="111">
        <f t="shared" si="0"/>
        <v>120</v>
      </c>
      <c r="I50" s="242">
        <f>D50 + (F50/1000) + (G50/1000000) + (E50/1000000000) + (A50/100000000000)</f>
        <v>4.7000000000000003E-10</v>
      </c>
      <c r="J50" s="99" t="str">
        <f>C50 &amp; (COUNTIFS($C$4:$C$123, C50, $H$4:$H$123, "&lt;"&amp;H50) + COUNTIFS($C$4:C50, C50, $H$4:H50, H50))</f>
        <v>47</v>
      </c>
      <c r="K50" s="95" t="str">
        <f t="shared" si="1"/>
        <v>///</v>
      </c>
    </row>
    <row r="51" spans="1:11" ht="24.75" customHeight="1">
      <c r="A51" s="97">
        <v>48</v>
      </c>
      <c r="B51" s="108" t="str">
        <f>IF(DATA_IMPORT!A49="", "", DATA_IMPORT!A49)</f>
        <v/>
      </c>
      <c r="C51" s="115" t="str">
        <f>IF(DATA_IMPORT!C49="", "", DATA_IMPORT!C49)</f>
        <v/>
      </c>
      <c r="D51" s="297"/>
      <c r="E51" s="297"/>
      <c r="F51" s="297"/>
      <c r="G51" s="297"/>
      <c r="H51" s="111">
        <f t="shared" si="0"/>
        <v>120</v>
      </c>
      <c r="I51" s="242">
        <f>D51 + (F51/1000) + (G51/1000000) + (E51/1000000000) + (A51/100000000000)</f>
        <v>4.8E-10</v>
      </c>
      <c r="J51" s="99" t="str">
        <f>C51 &amp; (COUNTIFS($C$4:$C$123, C51, $H$4:$H$123, "&lt;"&amp;H51) + COUNTIFS($C$4:C51, C51, $H$4:H51, H51))</f>
        <v>48</v>
      </c>
      <c r="K51" s="95" t="str">
        <f t="shared" si="1"/>
        <v>///</v>
      </c>
    </row>
    <row r="52" spans="1:11" ht="24.75" customHeight="1">
      <c r="A52" s="97">
        <v>49</v>
      </c>
      <c r="B52" s="108" t="str">
        <f>IF(DATA_IMPORT!A50="", "", DATA_IMPORT!A50)</f>
        <v/>
      </c>
      <c r="C52" s="115" t="str">
        <f>IF(DATA_IMPORT!C50="", "", DATA_IMPORT!C50)</f>
        <v/>
      </c>
      <c r="D52" s="297"/>
      <c r="E52" s="297"/>
      <c r="F52" s="297"/>
      <c r="G52" s="297"/>
      <c r="H52" s="111">
        <f t="shared" si="0"/>
        <v>120</v>
      </c>
      <c r="I52" s="242">
        <f>D52 + (F52/1000) + (G52/1000000) + (E52/1000000000) + (A52/100000000000)</f>
        <v>4.8999999999999996E-10</v>
      </c>
      <c r="J52" s="99" t="str">
        <f>C52 &amp; (COUNTIFS($C$4:$C$123, C52, $H$4:$H$123, "&lt;"&amp;H52) + COUNTIFS($C$4:C52, C52, $H$4:H52, H52))</f>
        <v>49</v>
      </c>
      <c r="K52" s="95" t="str">
        <f t="shared" si="1"/>
        <v>///</v>
      </c>
    </row>
    <row r="53" spans="1:11" ht="24.75" customHeight="1">
      <c r="A53" s="97">
        <v>50</v>
      </c>
      <c r="B53" s="108" t="str">
        <f>IF(DATA_IMPORT!A51="", "", DATA_IMPORT!A51)</f>
        <v/>
      </c>
      <c r="C53" s="115" t="str">
        <f>IF(DATA_IMPORT!C51="", "", DATA_IMPORT!C51)</f>
        <v/>
      </c>
      <c r="D53" s="297"/>
      <c r="E53" s="297"/>
      <c r="F53" s="297"/>
      <c r="G53" s="297"/>
      <c r="H53" s="111">
        <f t="shared" si="0"/>
        <v>120</v>
      </c>
      <c r="I53" s="242">
        <f>D53 + (F53/1000) + (G53/1000000) + (E53/1000000000) + (A53/100000000000)</f>
        <v>5.0000000000000003E-10</v>
      </c>
      <c r="J53" s="99" t="str">
        <f>C53 &amp; (COUNTIFS($C$4:$C$123, C53, $H$4:$H$123, "&lt;"&amp;H53) + COUNTIFS($C$4:C53, C53, $H$4:H53, H53))</f>
        <v>50</v>
      </c>
      <c r="K53" s="95" t="str">
        <f t="shared" si="1"/>
        <v>///</v>
      </c>
    </row>
    <row r="54" spans="1:11" ht="24.75" customHeight="1">
      <c r="A54" s="97">
        <v>51</v>
      </c>
      <c r="B54" s="108" t="str">
        <f>IF(DATA_IMPORT!A52="", "", DATA_IMPORT!A52)</f>
        <v/>
      </c>
      <c r="C54" s="115" t="str">
        <f>IF(DATA_IMPORT!C52="", "", DATA_IMPORT!C52)</f>
        <v/>
      </c>
      <c r="D54" s="297"/>
      <c r="E54" s="297"/>
      <c r="F54" s="297"/>
      <c r="G54" s="297"/>
      <c r="H54" s="111">
        <f t="shared" si="0"/>
        <v>120</v>
      </c>
      <c r="I54" s="242">
        <f>D54 + (F54/1000) + (G54/1000000) + (E54/1000000000) + (A54/100000000000)</f>
        <v>5.1E-10</v>
      </c>
      <c r="J54" s="99" t="str">
        <f>C54 &amp; (COUNTIFS($C$4:$C$123, C54, $H$4:$H$123, "&lt;"&amp;H54) + COUNTIFS($C$4:C54, C54, $H$4:H54, H54))</f>
        <v>51</v>
      </c>
      <c r="K54" s="95" t="str">
        <f t="shared" si="1"/>
        <v>///</v>
      </c>
    </row>
    <row r="55" spans="1:11" ht="24.75" customHeight="1">
      <c r="A55" s="97">
        <v>52</v>
      </c>
      <c r="B55" s="108" t="str">
        <f>IF(DATA_IMPORT!A53="", "", DATA_IMPORT!A53)</f>
        <v/>
      </c>
      <c r="C55" s="115" t="str">
        <f>IF(DATA_IMPORT!C53="", "", DATA_IMPORT!C53)</f>
        <v/>
      </c>
      <c r="D55" s="297"/>
      <c r="E55" s="297"/>
      <c r="F55" s="297"/>
      <c r="G55" s="297"/>
      <c r="H55" s="111">
        <f t="shared" si="0"/>
        <v>120</v>
      </c>
      <c r="I55" s="242">
        <f>D55 + (F55/1000) + (G55/1000000) + (E55/1000000000) + (A55/100000000000)</f>
        <v>5.1999999999999996E-10</v>
      </c>
      <c r="J55" s="99" t="str">
        <f>C55 &amp; (COUNTIFS($C$4:$C$123, C55, $H$4:$H$123, "&lt;"&amp;H55) + COUNTIFS($C$4:C55, C55, $H$4:H55, H55))</f>
        <v>52</v>
      </c>
      <c r="K55" s="95" t="str">
        <f t="shared" si="1"/>
        <v>///</v>
      </c>
    </row>
    <row r="56" spans="1:11" ht="24.75" customHeight="1">
      <c r="A56" s="97">
        <v>53</v>
      </c>
      <c r="B56" s="108" t="str">
        <f>IF(DATA_IMPORT!A54="", "", DATA_IMPORT!A54)</f>
        <v/>
      </c>
      <c r="C56" s="115" t="str">
        <f>IF(DATA_IMPORT!C54="", "", DATA_IMPORT!C54)</f>
        <v/>
      </c>
      <c r="D56" s="297"/>
      <c r="E56" s="297"/>
      <c r="F56" s="297"/>
      <c r="G56" s="297"/>
      <c r="H56" s="111">
        <f t="shared" si="0"/>
        <v>120</v>
      </c>
      <c r="I56" s="242">
        <f>D56 + (F56/1000) + (G56/1000000) + (E56/1000000000) + (A56/100000000000)</f>
        <v>5.3000000000000003E-10</v>
      </c>
      <c r="J56" s="99" t="str">
        <f>C56 &amp; (COUNTIFS($C$4:$C$123, C56, $H$4:$H$123, "&lt;"&amp;H56) + COUNTIFS($C$4:C56, C56, $H$4:H56, H56))</f>
        <v>53</v>
      </c>
      <c r="K56" s="95" t="str">
        <f t="shared" si="1"/>
        <v>///</v>
      </c>
    </row>
    <row r="57" spans="1:11" ht="24.75" customHeight="1">
      <c r="A57" s="97">
        <v>54</v>
      </c>
      <c r="B57" s="108" t="str">
        <f>IF(DATA_IMPORT!A55="", "", DATA_IMPORT!A55)</f>
        <v/>
      </c>
      <c r="C57" s="115" t="str">
        <f>IF(DATA_IMPORT!C55="", "", DATA_IMPORT!C55)</f>
        <v/>
      </c>
      <c r="D57" s="297"/>
      <c r="E57" s="297"/>
      <c r="F57" s="297"/>
      <c r="G57" s="297"/>
      <c r="H57" s="111">
        <f t="shared" si="0"/>
        <v>120</v>
      </c>
      <c r="I57" s="242">
        <f>D57 + (F57/1000) + (G57/1000000) + (E57/1000000000) + (A57/100000000000)</f>
        <v>5.4E-10</v>
      </c>
      <c r="J57" s="99" t="str">
        <f>C57 &amp; (COUNTIFS($C$4:$C$123, C57, $H$4:$H$123, "&lt;"&amp;H57) + COUNTIFS($C$4:C57, C57, $H$4:H57, H57))</f>
        <v>54</v>
      </c>
      <c r="K57" s="95" t="str">
        <f t="shared" si="1"/>
        <v>///</v>
      </c>
    </row>
    <row r="58" spans="1:11" ht="24.75" customHeight="1">
      <c r="A58" s="97">
        <v>55</v>
      </c>
      <c r="B58" s="108" t="str">
        <f>IF(DATA_IMPORT!A56="", "", DATA_IMPORT!A56)</f>
        <v/>
      </c>
      <c r="C58" s="115" t="str">
        <f>IF(DATA_IMPORT!C56="", "", DATA_IMPORT!C56)</f>
        <v/>
      </c>
      <c r="D58" s="297"/>
      <c r="E58" s="297"/>
      <c r="F58" s="297"/>
      <c r="G58" s="297"/>
      <c r="H58" s="111">
        <f t="shared" si="0"/>
        <v>120</v>
      </c>
      <c r="I58" s="242">
        <f>D58 + (F58/1000) + (G58/1000000) + (E58/1000000000) + (A58/100000000000)</f>
        <v>5.4999999999999996E-10</v>
      </c>
      <c r="J58" s="99" t="str">
        <f>C58 &amp; (COUNTIFS($C$4:$C$123, C58, $H$4:$H$123, "&lt;"&amp;H58) + COUNTIFS($C$4:C58, C58, $H$4:H58, H58))</f>
        <v>55</v>
      </c>
      <c r="K58" s="95" t="str">
        <f t="shared" si="1"/>
        <v>///</v>
      </c>
    </row>
    <row r="59" spans="1:11" ht="24.75" customHeight="1">
      <c r="A59" s="97">
        <v>56</v>
      </c>
      <c r="B59" s="108" t="str">
        <f>IF(DATA_IMPORT!A57="", "", DATA_IMPORT!A57)</f>
        <v/>
      </c>
      <c r="C59" s="115" t="str">
        <f>IF(DATA_IMPORT!C57="", "", DATA_IMPORT!C57)</f>
        <v/>
      </c>
      <c r="D59" s="297"/>
      <c r="E59" s="297"/>
      <c r="F59" s="297"/>
      <c r="G59" s="297"/>
      <c r="H59" s="111">
        <f t="shared" si="0"/>
        <v>120</v>
      </c>
      <c r="I59" s="242">
        <f>D59 + (F59/1000) + (G59/1000000) + (E59/1000000000) + (A59/100000000000)</f>
        <v>5.6000000000000003E-10</v>
      </c>
      <c r="J59" s="99" t="str">
        <f>C59 &amp; (COUNTIFS($C$4:$C$123, C59, $H$4:$H$123, "&lt;"&amp;H59) + COUNTIFS($C$4:C59, C59, $H$4:H59, H59))</f>
        <v>56</v>
      </c>
      <c r="K59" s="95" t="str">
        <f t="shared" si="1"/>
        <v>///</v>
      </c>
    </row>
    <row r="60" spans="1:11" ht="24.75" customHeight="1">
      <c r="A60" s="97">
        <v>57</v>
      </c>
      <c r="B60" s="108" t="str">
        <f>IF(DATA_IMPORT!A58="", "", DATA_IMPORT!A58)</f>
        <v/>
      </c>
      <c r="C60" s="115" t="str">
        <f>IF(DATA_IMPORT!C58="", "", DATA_IMPORT!C58)</f>
        <v/>
      </c>
      <c r="D60" s="297"/>
      <c r="E60" s="297"/>
      <c r="F60" s="297"/>
      <c r="G60" s="297"/>
      <c r="H60" s="111">
        <f t="shared" si="0"/>
        <v>120</v>
      </c>
      <c r="I60" s="242">
        <f>D60 + (F60/1000) + (G60/1000000) + (E60/1000000000) + (A60/100000000000)</f>
        <v>5.7E-10</v>
      </c>
      <c r="J60" s="99" t="str">
        <f>C60 &amp; (COUNTIFS($C$4:$C$123, C60, $H$4:$H$123, "&lt;"&amp;H60) + COUNTIFS($C$4:C60, C60, $H$4:H60, H60))</f>
        <v>57</v>
      </c>
      <c r="K60" s="95" t="str">
        <f t="shared" si="1"/>
        <v>///</v>
      </c>
    </row>
    <row r="61" spans="1:11" ht="24.75" customHeight="1">
      <c r="A61" s="97">
        <v>58</v>
      </c>
      <c r="B61" s="108" t="str">
        <f>IF(DATA_IMPORT!A59="", "", DATA_IMPORT!A59)</f>
        <v/>
      </c>
      <c r="C61" s="115" t="str">
        <f>IF(DATA_IMPORT!C59="", "", DATA_IMPORT!C59)</f>
        <v/>
      </c>
      <c r="D61" s="297"/>
      <c r="E61" s="297"/>
      <c r="F61" s="297"/>
      <c r="G61" s="297"/>
      <c r="H61" s="111">
        <f t="shared" si="0"/>
        <v>120</v>
      </c>
      <c r="I61" s="242">
        <f>D61 + (F61/1000) + (G61/1000000) + (E61/1000000000) + (A61/100000000000)</f>
        <v>5.7999999999999996E-10</v>
      </c>
      <c r="J61" s="99" t="str">
        <f>C61 &amp; (COUNTIFS($C$4:$C$123, C61, $H$4:$H$123, "&lt;"&amp;H61) + COUNTIFS($C$4:C61, C61, $H$4:H61, H61))</f>
        <v>58</v>
      </c>
      <c r="K61" s="95" t="str">
        <f t="shared" si="1"/>
        <v>///</v>
      </c>
    </row>
    <row r="62" spans="1:11" ht="24.75" customHeight="1">
      <c r="A62" s="97">
        <v>59</v>
      </c>
      <c r="B62" s="108" t="str">
        <f>IF(DATA_IMPORT!A60="", "", DATA_IMPORT!A60)</f>
        <v/>
      </c>
      <c r="C62" s="115" t="str">
        <f>IF(DATA_IMPORT!C60="", "", DATA_IMPORT!C60)</f>
        <v/>
      </c>
      <c r="D62" s="297"/>
      <c r="E62" s="297"/>
      <c r="F62" s="297"/>
      <c r="G62" s="297"/>
      <c r="H62" s="111">
        <f t="shared" si="0"/>
        <v>120</v>
      </c>
      <c r="I62" s="242">
        <f>D62 + (F62/1000) + (G62/1000000) + (E62/1000000000) + (A62/100000000000)</f>
        <v>5.9000000000000003E-10</v>
      </c>
      <c r="J62" s="99" t="str">
        <f>C62 &amp; (COUNTIFS($C$4:$C$123, C62, $H$4:$H$123, "&lt;"&amp;H62) + COUNTIFS($C$4:C62, C62, $H$4:H62, H62))</f>
        <v>59</v>
      </c>
      <c r="K62" s="95" t="str">
        <f t="shared" si="1"/>
        <v>///</v>
      </c>
    </row>
    <row r="63" spans="1:11" ht="24.75" customHeight="1">
      <c r="A63" s="97">
        <v>60</v>
      </c>
      <c r="B63" s="108" t="str">
        <f>IF(DATA_IMPORT!A61="", "", DATA_IMPORT!A61)</f>
        <v/>
      </c>
      <c r="C63" s="115" t="str">
        <f>IF(DATA_IMPORT!C61="", "", DATA_IMPORT!C61)</f>
        <v/>
      </c>
      <c r="D63" s="297"/>
      <c r="E63" s="297"/>
      <c r="F63" s="297"/>
      <c r="G63" s="297"/>
      <c r="H63" s="111">
        <f t="shared" si="0"/>
        <v>120</v>
      </c>
      <c r="I63" s="242">
        <f>D63 + (F63/1000) + (G63/1000000) + (E63/1000000000) + (A63/100000000000)</f>
        <v>6E-10</v>
      </c>
      <c r="J63" s="99" t="str">
        <f>C63 &amp; (COUNTIFS($C$4:$C$123, C63, $H$4:$H$123, "&lt;"&amp;H63) + COUNTIFS($C$4:C63, C63, $H$4:H63, H63))</f>
        <v>60</v>
      </c>
      <c r="K63" s="95" t="str">
        <f t="shared" si="1"/>
        <v>///</v>
      </c>
    </row>
    <row r="64" spans="1:11" ht="24.75" customHeight="1">
      <c r="A64" s="97">
        <v>61</v>
      </c>
      <c r="B64" s="108" t="str">
        <f>IF(DATA_IMPORT!A62="", "", DATA_IMPORT!A62)</f>
        <v/>
      </c>
      <c r="C64" s="115" t="str">
        <f>IF(DATA_IMPORT!C62="", "", DATA_IMPORT!C62)</f>
        <v/>
      </c>
      <c r="D64" s="297"/>
      <c r="E64" s="297"/>
      <c r="F64" s="297"/>
      <c r="G64" s="297"/>
      <c r="H64" s="111">
        <f t="shared" si="0"/>
        <v>120</v>
      </c>
      <c r="I64" s="242">
        <f>D64 + (F64/1000) + (G64/1000000) + (E64/1000000000) + (A64/100000000000)</f>
        <v>6.0999999999999996E-10</v>
      </c>
      <c r="J64" s="99" t="str">
        <f>C64 &amp; (COUNTIFS($C$4:$C$123, C64, $H$4:$H$123, "&lt;"&amp;H64) + COUNTIFS($C$4:C64, C64, $H$4:H64, H64))</f>
        <v>61</v>
      </c>
      <c r="K64" s="95" t="str">
        <f t="shared" si="1"/>
        <v>///</v>
      </c>
    </row>
    <row r="65" spans="1:11" ht="24.75" customHeight="1">
      <c r="A65" s="97">
        <v>62</v>
      </c>
      <c r="B65" s="108" t="str">
        <f>IF(DATA_IMPORT!A63="", "", DATA_IMPORT!A63)</f>
        <v/>
      </c>
      <c r="C65" s="115" t="str">
        <f>IF(DATA_IMPORT!C63="", "", DATA_IMPORT!C63)</f>
        <v/>
      </c>
      <c r="D65" s="297"/>
      <c r="E65" s="297"/>
      <c r="F65" s="297"/>
      <c r="G65" s="297"/>
      <c r="H65" s="111">
        <f t="shared" si="0"/>
        <v>120</v>
      </c>
      <c r="I65" s="242">
        <f>D65 + (F65/1000) + (G65/1000000) + (E65/1000000000) + (A65/100000000000)</f>
        <v>6.2000000000000003E-10</v>
      </c>
      <c r="J65" s="99" t="str">
        <f>C65 &amp; (COUNTIFS($C$4:$C$123, C65, $H$4:$H$123, "&lt;"&amp;H65) + COUNTIFS($C$4:C65, C65, $H$4:H65, H65))</f>
        <v>62</v>
      </c>
      <c r="K65" s="95" t="str">
        <f t="shared" si="1"/>
        <v>///</v>
      </c>
    </row>
    <row r="66" spans="1:11" ht="24.75" customHeight="1">
      <c r="A66" s="97">
        <v>63</v>
      </c>
      <c r="B66" s="108" t="str">
        <f>IF(DATA_IMPORT!A64="", "", DATA_IMPORT!A64)</f>
        <v/>
      </c>
      <c r="C66" s="115" t="str">
        <f>IF(DATA_IMPORT!C64="", "", DATA_IMPORT!C64)</f>
        <v/>
      </c>
      <c r="D66" s="297"/>
      <c r="E66" s="297"/>
      <c r="F66" s="297"/>
      <c r="G66" s="297"/>
      <c r="H66" s="111">
        <f t="shared" si="0"/>
        <v>120</v>
      </c>
      <c r="I66" s="242">
        <f>D66 + (F66/1000) + (G66/1000000) + (E66/1000000000) + (A66/100000000000)</f>
        <v>6.3E-10</v>
      </c>
      <c r="J66" s="99" t="str">
        <f>C66 &amp; (COUNTIFS($C$4:$C$123, C66, $H$4:$H$123, "&lt;"&amp;H66) + COUNTIFS($C$4:C66, C66, $H$4:H66, H66))</f>
        <v>63</v>
      </c>
      <c r="K66" s="95" t="str">
        <f t="shared" si="1"/>
        <v>///</v>
      </c>
    </row>
    <row r="67" spans="1:11" ht="24.75" customHeight="1">
      <c r="A67" s="97">
        <v>64</v>
      </c>
      <c r="B67" s="108" t="str">
        <f>IF(DATA_IMPORT!A65="", "", DATA_IMPORT!A65)</f>
        <v/>
      </c>
      <c r="C67" s="115" t="str">
        <f>IF(DATA_IMPORT!C65="", "", DATA_IMPORT!C65)</f>
        <v/>
      </c>
      <c r="D67" s="297"/>
      <c r="E67" s="297"/>
      <c r="F67" s="297"/>
      <c r="G67" s="297"/>
      <c r="H67" s="111">
        <f t="shared" si="0"/>
        <v>120</v>
      </c>
      <c r="I67" s="242">
        <f>D67 + (F67/1000) + (G67/1000000) + (E67/1000000000) + (A67/100000000000)</f>
        <v>6.3999999999999996E-10</v>
      </c>
      <c r="J67" s="99" t="str">
        <f>C67 &amp; (COUNTIFS($C$4:$C$123, C67, $H$4:$H$123, "&lt;"&amp;H67) + COUNTIFS($C$4:C67, C67, $H$4:H67, H67))</f>
        <v>64</v>
      </c>
      <c r="K67" s="95" t="str">
        <f t="shared" si="1"/>
        <v>///</v>
      </c>
    </row>
    <row r="68" spans="1:11" ht="24.75" customHeight="1">
      <c r="A68" s="97">
        <v>65</v>
      </c>
      <c r="B68" s="108" t="str">
        <f>IF(DATA_IMPORT!A66="", "", DATA_IMPORT!A66)</f>
        <v/>
      </c>
      <c r="C68" s="115" t="str">
        <f>IF(DATA_IMPORT!C66="", "", DATA_IMPORT!C66)</f>
        <v/>
      </c>
      <c r="D68" s="297"/>
      <c r="E68" s="297"/>
      <c r="F68" s="297"/>
      <c r="G68" s="297"/>
      <c r="H68" s="111">
        <f t="shared" si="0"/>
        <v>120</v>
      </c>
      <c r="I68" s="242">
        <f>D68 + (F68/1000) + (G68/1000000) + (E68/1000000000) + (A68/100000000000)</f>
        <v>6.5000000000000003E-10</v>
      </c>
      <c r="J68" s="99" t="str">
        <f>C68 &amp; (COUNTIFS($C$4:$C$123, C68, $H$4:$H$123, "&lt;"&amp;H68) + COUNTIFS($C$4:C68, C68, $H$4:H68, H68))</f>
        <v>65</v>
      </c>
      <c r="K68" s="95" t="str">
        <f t="shared" si="1"/>
        <v>///</v>
      </c>
    </row>
    <row r="69" spans="1:11" ht="24.75" customHeight="1">
      <c r="A69" s="97">
        <v>66</v>
      </c>
      <c r="B69" s="108" t="str">
        <f>IF(DATA_IMPORT!A67="", "", DATA_IMPORT!A67)</f>
        <v/>
      </c>
      <c r="C69" s="115" t="str">
        <f>IF(DATA_IMPORT!C67="", "", DATA_IMPORT!C67)</f>
        <v/>
      </c>
      <c r="D69" s="297"/>
      <c r="E69" s="297"/>
      <c r="F69" s="297"/>
      <c r="G69" s="297"/>
      <c r="H69" s="111">
        <f t="shared" ref="H69:H132" si="2">IF(D69=0, COUNTIF($C$4:$C$123, C69), COUNTIFS($C$4:$C$123, C69, $I$4:$I$123, "&gt;"&amp;I69) + 1)</f>
        <v>120</v>
      </c>
      <c r="I69" s="242">
        <f>D69 + (F69/1000) + (G69/1000000) + (E69/1000000000) + (A69/100000000000)</f>
        <v>6.6E-10</v>
      </c>
      <c r="J69" s="99" t="str">
        <f>C69 &amp; (COUNTIFS($C$4:$C$123, C69, $H$4:$H$123, "&lt;"&amp;H69) + COUNTIFS($C$4:C69, C69, $H$4:H69, H69))</f>
        <v>66</v>
      </c>
      <c r="K69" s="95" t="str">
        <f t="shared" ref="K69:K123" si="3">D69 &amp; "/" &amp; F69 &amp; "/" &amp; G69 &amp; "/" &amp; E69</f>
        <v>///</v>
      </c>
    </row>
    <row r="70" spans="1:11" ht="24.75" customHeight="1">
      <c r="A70" s="97">
        <v>67</v>
      </c>
      <c r="B70" s="108" t="str">
        <f>IF(DATA_IMPORT!A68="", "", DATA_IMPORT!A68)</f>
        <v/>
      </c>
      <c r="C70" s="115" t="str">
        <f>IF(DATA_IMPORT!C68="", "", DATA_IMPORT!C68)</f>
        <v/>
      </c>
      <c r="D70" s="297"/>
      <c r="E70" s="297"/>
      <c r="F70" s="297"/>
      <c r="G70" s="297"/>
      <c r="H70" s="111">
        <f t="shared" si="2"/>
        <v>120</v>
      </c>
      <c r="I70" s="242">
        <f>D70 + (F70/1000) + (G70/1000000) + (E70/1000000000) + (A70/100000000000)</f>
        <v>6.6999999999999996E-10</v>
      </c>
      <c r="J70" s="99" t="str">
        <f>C70 &amp; (COUNTIFS($C$4:$C$123, C70, $H$4:$H$123, "&lt;"&amp;H70) + COUNTIFS($C$4:C70, C70, $H$4:H70, H70))</f>
        <v>67</v>
      </c>
      <c r="K70" s="95" t="str">
        <f t="shared" si="3"/>
        <v>///</v>
      </c>
    </row>
    <row r="71" spans="1:11" ht="24.75" customHeight="1">
      <c r="A71" s="97">
        <v>68</v>
      </c>
      <c r="B71" s="108" t="str">
        <f>IF(DATA_IMPORT!A69="", "", DATA_IMPORT!A69)</f>
        <v/>
      </c>
      <c r="C71" s="115" t="str">
        <f>IF(DATA_IMPORT!C69="", "", DATA_IMPORT!C69)</f>
        <v/>
      </c>
      <c r="D71" s="297"/>
      <c r="E71" s="297"/>
      <c r="F71" s="297"/>
      <c r="G71" s="297"/>
      <c r="H71" s="111">
        <f t="shared" si="2"/>
        <v>120</v>
      </c>
      <c r="I71" s="242">
        <f>D71 + (F71/1000) + (G71/1000000) + (E71/1000000000) + (A71/100000000000)</f>
        <v>6.8000000000000003E-10</v>
      </c>
      <c r="J71" s="99" t="str">
        <f>C71 &amp; (COUNTIFS($C$4:$C$123, C71, $H$4:$H$123, "&lt;"&amp;H71) + COUNTIFS($C$4:C71, C71, $H$4:H71, H71))</f>
        <v>68</v>
      </c>
      <c r="K71" s="95" t="str">
        <f t="shared" si="3"/>
        <v>///</v>
      </c>
    </row>
    <row r="72" spans="1:11" ht="24.75" customHeight="1">
      <c r="A72" s="97">
        <v>69</v>
      </c>
      <c r="B72" s="108" t="str">
        <f>IF(DATA_IMPORT!A70="", "", DATA_IMPORT!A70)</f>
        <v/>
      </c>
      <c r="C72" s="115" t="str">
        <f>IF(DATA_IMPORT!C70="", "", DATA_IMPORT!C70)</f>
        <v/>
      </c>
      <c r="D72" s="297"/>
      <c r="E72" s="297"/>
      <c r="F72" s="297"/>
      <c r="G72" s="297"/>
      <c r="H72" s="111">
        <f t="shared" si="2"/>
        <v>120</v>
      </c>
      <c r="I72" s="242">
        <f>D72 + (F72/1000) + (G72/1000000) + (E72/1000000000) + (A72/100000000000)</f>
        <v>6.9E-10</v>
      </c>
      <c r="J72" s="99" t="str">
        <f>C72 &amp; (COUNTIFS($C$4:$C$123, C72, $H$4:$H$123, "&lt;"&amp;H72) + COUNTIFS($C$4:C72, C72, $H$4:H72, H72))</f>
        <v>69</v>
      </c>
      <c r="K72" s="95" t="str">
        <f t="shared" si="3"/>
        <v>///</v>
      </c>
    </row>
    <row r="73" spans="1:11" ht="24.75" customHeight="1">
      <c r="A73" s="97">
        <v>70</v>
      </c>
      <c r="B73" s="108" t="str">
        <f>IF(DATA_IMPORT!A71="", "", DATA_IMPORT!A71)</f>
        <v/>
      </c>
      <c r="C73" s="115" t="str">
        <f>IF(DATA_IMPORT!C71="", "", DATA_IMPORT!C71)</f>
        <v/>
      </c>
      <c r="D73" s="297"/>
      <c r="E73" s="297"/>
      <c r="F73" s="297"/>
      <c r="G73" s="297"/>
      <c r="H73" s="111">
        <f t="shared" si="2"/>
        <v>120</v>
      </c>
      <c r="I73" s="242">
        <f>D73 + (F73/1000) + (G73/1000000) + (E73/1000000000) + (A73/100000000000)</f>
        <v>6.9999999999999996E-10</v>
      </c>
      <c r="J73" s="99" t="str">
        <f>C73 &amp; (COUNTIFS($C$4:$C$123, C73, $H$4:$H$123, "&lt;"&amp;H73) + COUNTIFS($C$4:C73, C73, $H$4:H73, H73))</f>
        <v>70</v>
      </c>
      <c r="K73" s="95" t="str">
        <f t="shared" si="3"/>
        <v>///</v>
      </c>
    </row>
    <row r="74" spans="1:11" ht="24.75" customHeight="1">
      <c r="A74" s="97">
        <v>71</v>
      </c>
      <c r="B74" s="108" t="str">
        <f>IF(DATA_IMPORT!A72="", "", DATA_IMPORT!A72)</f>
        <v/>
      </c>
      <c r="C74" s="115" t="str">
        <f>IF(DATA_IMPORT!C72="", "", DATA_IMPORT!C72)</f>
        <v/>
      </c>
      <c r="D74" s="297"/>
      <c r="E74" s="297"/>
      <c r="F74" s="297"/>
      <c r="G74" s="297"/>
      <c r="H74" s="111">
        <f t="shared" si="2"/>
        <v>120</v>
      </c>
      <c r="I74" s="242">
        <f>D74 + (F74/1000) + (G74/1000000) + (E74/1000000000) + (A74/100000000000)</f>
        <v>7.1000000000000003E-10</v>
      </c>
      <c r="J74" s="99" t="str">
        <f>C74 &amp; (COUNTIFS($C$4:$C$123, C74, $H$4:$H$123, "&lt;"&amp;H74) + COUNTIFS($C$4:C74, C74, $H$4:H74, H74))</f>
        <v>71</v>
      </c>
      <c r="K74" s="95" t="str">
        <f t="shared" si="3"/>
        <v>///</v>
      </c>
    </row>
    <row r="75" spans="1:11" ht="24.75" customHeight="1">
      <c r="A75" s="97">
        <v>72</v>
      </c>
      <c r="B75" s="108" t="str">
        <f>IF(DATA_IMPORT!A73="", "", DATA_IMPORT!A73)</f>
        <v/>
      </c>
      <c r="C75" s="115" t="str">
        <f>IF(DATA_IMPORT!C73="", "", DATA_IMPORT!C73)</f>
        <v/>
      </c>
      <c r="D75" s="297"/>
      <c r="E75" s="297"/>
      <c r="F75" s="297"/>
      <c r="G75" s="297"/>
      <c r="H75" s="111">
        <f t="shared" si="2"/>
        <v>120</v>
      </c>
      <c r="I75" s="242">
        <f>D75 + (F75/1000) + (G75/1000000) + (E75/1000000000) + (A75/100000000000)</f>
        <v>7.2E-10</v>
      </c>
      <c r="J75" s="99" t="str">
        <f>C75 &amp; (COUNTIFS($C$4:$C$123, C75, $H$4:$H$123, "&lt;"&amp;H75) + COUNTIFS($C$4:C75, C75, $H$4:H75, H75))</f>
        <v>72</v>
      </c>
      <c r="K75" s="95" t="str">
        <f t="shared" si="3"/>
        <v>///</v>
      </c>
    </row>
    <row r="76" spans="1:11" ht="24.75" customHeight="1">
      <c r="A76" s="97">
        <v>73</v>
      </c>
      <c r="B76" s="108" t="str">
        <f>IF(DATA_IMPORT!A74="", "", DATA_IMPORT!A74)</f>
        <v/>
      </c>
      <c r="C76" s="115" t="str">
        <f>IF(DATA_IMPORT!C74="", "", DATA_IMPORT!C74)</f>
        <v/>
      </c>
      <c r="D76" s="297"/>
      <c r="E76" s="297"/>
      <c r="F76" s="297"/>
      <c r="G76" s="297"/>
      <c r="H76" s="111">
        <f t="shared" si="2"/>
        <v>120</v>
      </c>
      <c r="I76" s="242">
        <f>D76 + (F76/1000) + (G76/1000000) + (E76/1000000000) + (A76/100000000000)</f>
        <v>7.2999999999999996E-10</v>
      </c>
      <c r="J76" s="99" t="str">
        <f>C76 &amp; (COUNTIFS($C$4:$C$123, C76, $H$4:$H$123, "&lt;"&amp;H76) + COUNTIFS($C$4:C76, C76, $H$4:H76, H76))</f>
        <v>73</v>
      </c>
      <c r="K76" s="95" t="str">
        <f t="shared" si="3"/>
        <v>///</v>
      </c>
    </row>
    <row r="77" spans="1:11" ht="24.75" customHeight="1">
      <c r="A77" s="97">
        <v>74</v>
      </c>
      <c r="B77" s="108" t="str">
        <f>IF(DATA_IMPORT!A75="", "", DATA_IMPORT!A75)</f>
        <v/>
      </c>
      <c r="C77" s="115" t="str">
        <f>IF(DATA_IMPORT!C75="", "", DATA_IMPORT!C75)</f>
        <v/>
      </c>
      <c r="D77" s="297"/>
      <c r="E77" s="297"/>
      <c r="F77" s="297"/>
      <c r="G77" s="297"/>
      <c r="H77" s="111">
        <f t="shared" si="2"/>
        <v>120</v>
      </c>
      <c r="I77" s="242">
        <f>D77 + (F77/1000) + (G77/1000000) + (E77/1000000000) + (A77/100000000000)</f>
        <v>7.4000000000000003E-10</v>
      </c>
      <c r="J77" s="99" t="str">
        <f>C77 &amp; (COUNTIFS($C$4:$C$123, C77, $H$4:$H$123, "&lt;"&amp;H77) + COUNTIFS($C$4:C77, C77, $H$4:H77, H77))</f>
        <v>74</v>
      </c>
      <c r="K77" s="95" t="str">
        <f t="shared" si="3"/>
        <v>///</v>
      </c>
    </row>
    <row r="78" spans="1:11" ht="24.75" customHeight="1">
      <c r="A78" s="97">
        <v>75</v>
      </c>
      <c r="B78" s="108" t="str">
        <f>IF(DATA_IMPORT!A76="", "", DATA_IMPORT!A76)</f>
        <v/>
      </c>
      <c r="C78" s="115" t="str">
        <f>IF(DATA_IMPORT!C76="", "", DATA_IMPORT!C76)</f>
        <v/>
      </c>
      <c r="D78" s="297"/>
      <c r="E78" s="297"/>
      <c r="F78" s="297"/>
      <c r="G78" s="297"/>
      <c r="H78" s="111">
        <f t="shared" si="2"/>
        <v>120</v>
      </c>
      <c r="I78" s="242">
        <f>D78 + (F78/1000) + (G78/1000000) + (E78/1000000000) + (A78/100000000000)</f>
        <v>7.5E-10</v>
      </c>
      <c r="J78" s="99" t="str">
        <f>C78 &amp; (COUNTIFS($C$4:$C$123, C78, $H$4:$H$123, "&lt;"&amp;H78) + COUNTIFS($C$4:C78, C78, $H$4:H78, H78))</f>
        <v>75</v>
      </c>
      <c r="K78" s="95" t="str">
        <f t="shared" si="3"/>
        <v>///</v>
      </c>
    </row>
    <row r="79" spans="1:11" ht="24.75" customHeight="1">
      <c r="A79" s="97">
        <v>76</v>
      </c>
      <c r="B79" s="108" t="str">
        <f>IF(DATA_IMPORT!A77="", "", DATA_IMPORT!A77)</f>
        <v/>
      </c>
      <c r="C79" s="115" t="str">
        <f>IF(DATA_IMPORT!C77="", "", DATA_IMPORT!C77)</f>
        <v/>
      </c>
      <c r="D79" s="297"/>
      <c r="E79" s="297"/>
      <c r="F79" s="297"/>
      <c r="G79" s="297"/>
      <c r="H79" s="111">
        <f t="shared" si="2"/>
        <v>120</v>
      </c>
      <c r="I79" s="242">
        <f>D79 + (F79/1000) + (G79/1000000) + (E79/1000000000) + (A79/100000000000)</f>
        <v>7.5999999999999996E-10</v>
      </c>
      <c r="J79" s="99" t="str">
        <f>C79 &amp; (COUNTIFS($C$4:$C$123, C79, $H$4:$H$123, "&lt;"&amp;H79) + COUNTIFS($C$4:C79, C79, $H$4:H79, H79))</f>
        <v>76</v>
      </c>
      <c r="K79" s="95" t="str">
        <f t="shared" si="3"/>
        <v>///</v>
      </c>
    </row>
    <row r="80" spans="1:11" ht="24.75" customHeight="1">
      <c r="A80" s="97">
        <v>77</v>
      </c>
      <c r="B80" s="108" t="str">
        <f>IF(DATA_IMPORT!A78="", "", DATA_IMPORT!A78)</f>
        <v/>
      </c>
      <c r="C80" s="115" t="str">
        <f>IF(DATA_IMPORT!C78="", "", DATA_IMPORT!C78)</f>
        <v/>
      </c>
      <c r="D80" s="297"/>
      <c r="E80" s="297"/>
      <c r="F80" s="297"/>
      <c r="G80" s="297"/>
      <c r="H80" s="111">
        <f t="shared" si="2"/>
        <v>120</v>
      </c>
      <c r="I80" s="242">
        <f>D80 + (F80/1000) + (G80/1000000) + (E80/1000000000) + (A80/100000000000)</f>
        <v>7.7000000000000003E-10</v>
      </c>
      <c r="J80" s="99" t="str">
        <f>C80 &amp; (COUNTIFS($C$4:$C$123, C80, $H$4:$H$123, "&lt;"&amp;H80) + COUNTIFS($C$4:C80, C80, $H$4:H80, H80))</f>
        <v>77</v>
      </c>
      <c r="K80" s="95" t="str">
        <f t="shared" si="3"/>
        <v>///</v>
      </c>
    </row>
    <row r="81" spans="1:11" ht="24.75" customHeight="1">
      <c r="A81" s="97">
        <v>78</v>
      </c>
      <c r="B81" s="108" t="str">
        <f>IF(DATA_IMPORT!A79="", "", DATA_IMPORT!A79)</f>
        <v/>
      </c>
      <c r="C81" s="115" t="str">
        <f>IF(DATA_IMPORT!C79="", "", DATA_IMPORT!C79)</f>
        <v/>
      </c>
      <c r="D81" s="297"/>
      <c r="E81" s="297"/>
      <c r="F81" s="297"/>
      <c r="G81" s="297"/>
      <c r="H81" s="111">
        <f t="shared" si="2"/>
        <v>120</v>
      </c>
      <c r="I81" s="242">
        <f>D81 + (F81/1000) + (G81/1000000) + (E81/1000000000) + (A81/100000000000)</f>
        <v>7.7999999999999999E-10</v>
      </c>
      <c r="J81" s="99" t="str">
        <f>C81 &amp; (COUNTIFS($C$4:$C$123, C81, $H$4:$H$123, "&lt;"&amp;H81) + COUNTIFS($C$4:C81, C81, $H$4:H81, H81))</f>
        <v>78</v>
      </c>
      <c r="K81" s="95" t="str">
        <f t="shared" si="3"/>
        <v>///</v>
      </c>
    </row>
    <row r="82" spans="1:11" ht="24.75" customHeight="1">
      <c r="A82" s="97">
        <v>79</v>
      </c>
      <c r="B82" s="108" t="str">
        <f>IF(DATA_IMPORT!A80="", "", DATA_IMPORT!A80)</f>
        <v/>
      </c>
      <c r="C82" s="115" t="str">
        <f>IF(DATA_IMPORT!C80="", "", DATA_IMPORT!C80)</f>
        <v/>
      </c>
      <c r="D82" s="297"/>
      <c r="E82" s="297"/>
      <c r="F82" s="297"/>
      <c r="G82" s="297"/>
      <c r="H82" s="111">
        <f t="shared" si="2"/>
        <v>120</v>
      </c>
      <c r="I82" s="242">
        <f>D82 + (F82/1000) + (G82/1000000) + (E82/1000000000) + (A82/100000000000)</f>
        <v>7.8999999999999996E-10</v>
      </c>
      <c r="J82" s="99" t="str">
        <f>C82 &amp; (COUNTIFS($C$4:$C$123, C82, $H$4:$H$123, "&lt;"&amp;H82) + COUNTIFS($C$4:C82, C82, $H$4:H82, H82))</f>
        <v>79</v>
      </c>
      <c r="K82" s="95" t="str">
        <f t="shared" si="3"/>
        <v>///</v>
      </c>
    </row>
    <row r="83" spans="1:11" ht="24.75" customHeight="1">
      <c r="A83" s="97">
        <v>80</v>
      </c>
      <c r="B83" s="108" t="str">
        <f>IF(DATA_IMPORT!A81="", "", DATA_IMPORT!A81)</f>
        <v/>
      </c>
      <c r="C83" s="115" t="str">
        <f>IF(DATA_IMPORT!C81="", "", DATA_IMPORT!C81)</f>
        <v/>
      </c>
      <c r="D83" s="297"/>
      <c r="E83" s="297"/>
      <c r="F83" s="297"/>
      <c r="G83" s="297"/>
      <c r="H83" s="111">
        <f t="shared" si="2"/>
        <v>120</v>
      </c>
      <c r="I83" s="242">
        <f>D83 + (F83/1000) + (G83/1000000) + (E83/1000000000) + (A83/100000000000)</f>
        <v>8.0000000000000003E-10</v>
      </c>
      <c r="J83" s="99" t="str">
        <f>C83 &amp; (COUNTIFS($C$4:$C$123, C83, $H$4:$H$123, "&lt;"&amp;H83) + COUNTIFS($C$4:C83, C83, $H$4:H83, H83))</f>
        <v>80</v>
      </c>
      <c r="K83" s="95" t="str">
        <f t="shared" si="3"/>
        <v>///</v>
      </c>
    </row>
    <row r="84" spans="1:11" ht="24.75" customHeight="1">
      <c r="A84" s="97">
        <v>81</v>
      </c>
      <c r="B84" s="108" t="str">
        <f>IF(DATA_IMPORT!A82="", "", DATA_IMPORT!A82)</f>
        <v/>
      </c>
      <c r="C84" s="115" t="str">
        <f>IF(DATA_IMPORT!C82="", "", DATA_IMPORT!C82)</f>
        <v/>
      </c>
      <c r="D84" s="297"/>
      <c r="E84" s="297"/>
      <c r="F84" s="297"/>
      <c r="G84" s="297"/>
      <c r="H84" s="111">
        <f t="shared" si="2"/>
        <v>120</v>
      </c>
      <c r="I84" s="242">
        <f>D84 + (F84/1000) + (G84/1000000) + (E84/1000000000) + (A84/100000000000)</f>
        <v>8.0999999999999999E-10</v>
      </c>
      <c r="J84" s="99" t="str">
        <f>C84 &amp; (COUNTIFS($C$4:$C$123, C84, $H$4:$H$123, "&lt;"&amp;H84) + COUNTIFS($C$4:C84, C84, $H$4:H84, H84))</f>
        <v>81</v>
      </c>
      <c r="K84" s="95" t="str">
        <f t="shared" si="3"/>
        <v>///</v>
      </c>
    </row>
    <row r="85" spans="1:11" ht="24.75" customHeight="1">
      <c r="A85" s="97">
        <v>82</v>
      </c>
      <c r="B85" s="108" t="str">
        <f>IF(DATA_IMPORT!A83="", "", DATA_IMPORT!A83)</f>
        <v/>
      </c>
      <c r="C85" s="115" t="str">
        <f>IF(DATA_IMPORT!C83="", "", DATA_IMPORT!C83)</f>
        <v/>
      </c>
      <c r="D85" s="297"/>
      <c r="E85" s="297"/>
      <c r="F85" s="297"/>
      <c r="G85" s="297"/>
      <c r="H85" s="111">
        <f t="shared" si="2"/>
        <v>120</v>
      </c>
      <c r="I85" s="242">
        <f>D85 + (F85/1000) + (G85/1000000) + (E85/1000000000) + (A85/100000000000)</f>
        <v>8.1999999999999996E-10</v>
      </c>
      <c r="J85" s="99" t="str">
        <f>C85 &amp; (COUNTIFS($C$4:$C$123, C85, $H$4:$H$123, "&lt;"&amp;H85) + COUNTIFS($C$4:C85, C85, $H$4:H85, H85))</f>
        <v>82</v>
      </c>
      <c r="K85" s="95" t="str">
        <f t="shared" si="3"/>
        <v>///</v>
      </c>
    </row>
    <row r="86" spans="1:11" ht="24.75" customHeight="1">
      <c r="A86" s="97">
        <v>83</v>
      </c>
      <c r="B86" s="108" t="str">
        <f>IF(DATA_IMPORT!A84="", "", DATA_IMPORT!A84)</f>
        <v/>
      </c>
      <c r="C86" s="115" t="str">
        <f>IF(DATA_IMPORT!C84="", "", DATA_IMPORT!C84)</f>
        <v/>
      </c>
      <c r="D86" s="297"/>
      <c r="E86" s="297"/>
      <c r="F86" s="297"/>
      <c r="G86" s="297"/>
      <c r="H86" s="111">
        <f t="shared" si="2"/>
        <v>120</v>
      </c>
      <c r="I86" s="242">
        <f>D86 + (F86/1000) + (G86/1000000) + (E86/1000000000) + (A86/100000000000)</f>
        <v>8.3000000000000003E-10</v>
      </c>
      <c r="J86" s="99" t="str">
        <f>C86 &amp; (COUNTIFS($C$4:$C$123, C86, $H$4:$H$123, "&lt;"&amp;H86) + COUNTIFS($C$4:C86, C86, $H$4:H86, H86))</f>
        <v>83</v>
      </c>
      <c r="K86" s="95" t="str">
        <f t="shared" si="3"/>
        <v>///</v>
      </c>
    </row>
    <row r="87" spans="1:11" ht="24.75" customHeight="1">
      <c r="A87" s="97">
        <v>84</v>
      </c>
      <c r="B87" s="108" t="str">
        <f>IF(DATA_IMPORT!A85="", "", DATA_IMPORT!A85)</f>
        <v/>
      </c>
      <c r="C87" s="115" t="str">
        <f>IF(DATA_IMPORT!C85="", "", DATA_IMPORT!C85)</f>
        <v/>
      </c>
      <c r="D87" s="297"/>
      <c r="E87" s="297"/>
      <c r="F87" s="297"/>
      <c r="G87" s="297"/>
      <c r="H87" s="111">
        <f t="shared" si="2"/>
        <v>120</v>
      </c>
      <c r="I87" s="242">
        <f>D87 + (F87/1000) + (G87/1000000) + (E87/1000000000) + (A87/100000000000)</f>
        <v>8.3999999999999999E-10</v>
      </c>
      <c r="J87" s="99" t="str">
        <f>C87 &amp; (COUNTIFS($C$4:$C$123, C87, $H$4:$H$123, "&lt;"&amp;H87) + COUNTIFS($C$4:C87, C87, $H$4:H87, H87))</f>
        <v>84</v>
      </c>
      <c r="K87" s="95" t="str">
        <f t="shared" si="3"/>
        <v>///</v>
      </c>
    </row>
    <row r="88" spans="1:11" ht="24.75" customHeight="1">
      <c r="A88" s="97">
        <v>85</v>
      </c>
      <c r="B88" s="108" t="str">
        <f>IF(DATA_IMPORT!A86="", "", DATA_IMPORT!A86)</f>
        <v/>
      </c>
      <c r="C88" s="115" t="str">
        <f>IF(DATA_IMPORT!C86="", "", DATA_IMPORT!C86)</f>
        <v/>
      </c>
      <c r="D88" s="297"/>
      <c r="E88" s="297"/>
      <c r="F88" s="297"/>
      <c r="G88" s="297"/>
      <c r="H88" s="111">
        <f t="shared" si="2"/>
        <v>120</v>
      </c>
      <c r="I88" s="242">
        <f>D88 + (F88/1000) + (G88/1000000) + (E88/1000000000) + (A88/100000000000)</f>
        <v>8.4999999999999996E-10</v>
      </c>
      <c r="J88" s="99" t="str">
        <f>C88 &amp; (COUNTIFS($C$4:$C$123, C88, $H$4:$H$123, "&lt;"&amp;H88) + COUNTIFS($C$4:C88, C88, $H$4:H88, H88))</f>
        <v>85</v>
      </c>
      <c r="K88" s="95" t="str">
        <f t="shared" si="3"/>
        <v>///</v>
      </c>
    </row>
    <row r="89" spans="1:11" ht="24.75" customHeight="1">
      <c r="A89" s="97">
        <v>86</v>
      </c>
      <c r="B89" s="108" t="str">
        <f>IF(DATA_IMPORT!A87="", "", DATA_IMPORT!A87)</f>
        <v/>
      </c>
      <c r="C89" s="115" t="str">
        <f>IF(DATA_IMPORT!C87="", "", DATA_IMPORT!C87)</f>
        <v/>
      </c>
      <c r="D89" s="297"/>
      <c r="E89" s="297"/>
      <c r="F89" s="297"/>
      <c r="G89" s="297"/>
      <c r="H89" s="111">
        <f t="shared" si="2"/>
        <v>120</v>
      </c>
      <c r="I89" s="242">
        <f>D89 + (F89/1000) + (G89/1000000) + (E89/1000000000) + (A89/100000000000)</f>
        <v>8.6000000000000003E-10</v>
      </c>
      <c r="J89" s="99" t="str">
        <f>C89 &amp; (COUNTIFS($C$4:$C$123, C89, $H$4:$H$123, "&lt;"&amp;H89) + COUNTIFS($C$4:C89, C89, $H$4:H89, H89))</f>
        <v>86</v>
      </c>
      <c r="K89" s="95" t="str">
        <f t="shared" si="3"/>
        <v>///</v>
      </c>
    </row>
    <row r="90" spans="1:11" ht="24.75" customHeight="1">
      <c r="A90" s="97">
        <v>87</v>
      </c>
      <c r="B90" s="108" t="str">
        <f>IF(DATA_IMPORT!A88="", "", DATA_IMPORT!A88)</f>
        <v/>
      </c>
      <c r="C90" s="115" t="str">
        <f>IF(DATA_IMPORT!C88="", "", DATA_IMPORT!C88)</f>
        <v/>
      </c>
      <c r="D90" s="297"/>
      <c r="E90" s="297"/>
      <c r="F90" s="297"/>
      <c r="G90" s="297"/>
      <c r="H90" s="111">
        <f t="shared" si="2"/>
        <v>120</v>
      </c>
      <c r="I90" s="242">
        <f>D90 + (F90/1000) + (G90/1000000) + (E90/1000000000) + (A90/100000000000)</f>
        <v>8.6999999999999999E-10</v>
      </c>
      <c r="J90" s="99" t="str">
        <f>C90 &amp; (COUNTIFS($C$4:$C$123, C90, $H$4:$H$123, "&lt;"&amp;H90) + COUNTIFS($C$4:C90, C90, $H$4:H90, H90))</f>
        <v>87</v>
      </c>
      <c r="K90" s="95" t="str">
        <f t="shared" si="3"/>
        <v>///</v>
      </c>
    </row>
    <row r="91" spans="1:11" ht="24.75" customHeight="1">
      <c r="A91" s="97">
        <v>88</v>
      </c>
      <c r="B91" s="108" t="str">
        <f>IF(DATA_IMPORT!A89="", "", DATA_IMPORT!A89)</f>
        <v/>
      </c>
      <c r="C91" s="115" t="str">
        <f>IF(DATA_IMPORT!C89="", "", DATA_IMPORT!C89)</f>
        <v/>
      </c>
      <c r="D91" s="297"/>
      <c r="E91" s="297"/>
      <c r="F91" s="297"/>
      <c r="G91" s="297"/>
      <c r="H91" s="111">
        <f t="shared" si="2"/>
        <v>120</v>
      </c>
      <c r="I91" s="242">
        <f>D91 + (F91/1000) + (G91/1000000) + (E91/1000000000) + (A91/100000000000)</f>
        <v>8.7999999999999996E-10</v>
      </c>
      <c r="J91" s="99" t="str">
        <f>C91 &amp; (COUNTIFS($C$4:$C$123, C91, $H$4:$H$123, "&lt;"&amp;H91) + COUNTIFS($C$4:C91, C91, $H$4:H91, H91))</f>
        <v>88</v>
      </c>
      <c r="K91" s="95" t="str">
        <f t="shared" si="3"/>
        <v>///</v>
      </c>
    </row>
    <row r="92" spans="1:11" ht="24.75" customHeight="1">
      <c r="A92" s="97">
        <v>89</v>
      </c>
      <c r="B92" s="108" t="str">
        <f>IF(DATA_IMPORT!A90="", "", DATA_IMPORT!A90)</f>
        <v/>
      </c>
      <c r="C92" s="115" t="str">
        <f>IF(DATA_IMPORT!C90="", "", DATA_IMPORT!C90)</f>
        <v/>
      </c>
      <c r="D92" s="297"/>
      <c r="E92" s="297"/>
      <c r="F92" s="297"/>
      <c r="G92" s="297"/>
      <c r="H92" s="111">
        <f t="shared" si="2"/>
        <v>120</v>
      </c>
      <c r="I92" s="242">
        <f>D92 + (F92/1000) + (G92/1000000) + (E92/1000000000) + (A92/100000000000)</f>
        <v>8.9000000000000003E-10</v>
      </c>
      <c r="J92" s="99" t="str">
        <f>C92 &amp; (COUNTIFS($C$4:$C$123, C92, $H$4:$H$123, "&lt;"&amp;H92) + COUNTIFS($C$4:C92, C92, $H$4:H92, H92))</f>
        <v>89</v>
      </c>
      <c r="K92" s="95" t="str">
        <f t="shared" si="3"/>
        <v>///</v>
      </c>
    </row>
    <row r="93" spans="1:11" ht="24.75" customHeight="1">
      <c r="A93" s="97">
        <v>90</v>
      </c>
      <c r="B93" s="108" t="str">
        <f>IF(DATA_IMPORT!A91="", "", DATA_IMPORT!A91)</f>
        <v/>
      </c>
      <c r="C93" s="115" t="str">
        <f>IF(DATA_IMPORT!C91="", "", DATA_IMPORT!C91)</f>
        <v/>
      </c>
      <c r="D93" s="297"/>
      <c r="E93" s="297"/>
      <c r="F93" s="297"/>
      <c r="G93" s="297"/>
      <c r="H93" s="111">
        <f t="shared" si="2"/>
        <v>120</v>
      </c>
      <c r="I93" s="242">
        <f>D93 + (F93/1000) + (G93/1000000) + (E93/1000000000) + (A93/100000000000)</f>
        <v>8.9999999999999999E-10</v>
      </c>
      <c r="J93" s="99" t="str">
        <f>C93 &amp; (COUNTIFS($C$4:$C$123, C93, $H$4:$H$123, "&lt;"&amp;H93) + COUNTIFS($C$4:C93, C93, $H$4:H93, H93))</f>
        <v>90</v>
      </c>
      <c r="K93" s="95" t="str">
        <f t="shared" si="3"/>
        <v>///</v>
      </c>
    </row>
    <row r="94" spans="1:11" ht="24.75" customHeight="1">
      <c r="A94" s="97">
        <v>91</v>
      </c>
      <c r="B94" s="108" t="str">
        <f>IF(DATA_IMPORT!A92="", "", DATA_IMPORT!A92)</f>
        <v/>
      </c>
      <c r="C94" s="115" t="str">
        <f>IF(DATA_IMPORT!C92="", "", DATA_IMPORT!C92)</f>
        <v/>
      </c>
      <c r="D94" s="297"/>
      <c r="E94" s="297"/>
      <c r="F94" s="297"/>
      <c r="G94" s="297"/>
      <c r="H94" s="111">
        <f t="shared" si="2"/>
        <v>120</v>
      </c>
      <c r="I94" s="242">
        <f>D94 + (F94/1000) + (G94/1000000) + (E94/1000000000) + (A94/100000000000)</f>
        <v>9.0999999999999996E-10</v>
      </c>
      <c r="J94" s="99" t="str">
        <f>C94 &amp; (COUNTIFS($C$4:$C$123, C94, $H$4:$H$123, "&lt;"&amp;H94) + COUNTIFS($C$4:C94, C94, $H$4:H94, H94))</f>
        <v>91</v>
      </c>
      <c r="K94" s="95" t="str">
        <f t="shared" si="3"/>
        <v>///</v>
      </c>
    </row>
    <row r="95" spans="1:11" ht="24.75" customHeight="1">
      <c r="A95" s="97">
        <v>92</v>
      </c>
      <c r="B95" s="108" t="str">
        <f>IF(DATA_IMPORT!A93="", "", DATA_IMPORT!A93)</f>
        <v/>
      </c>
      <c r="C95" s="115" t="str">
        <f>IF(DATA_IMPORT!C93="", "", DATA_IMPORT!C93)</f>
        <v/>
      </c>
      <c r="D95" s="297"/>
      <c r="E95" s="297"/>
      <c r="F95" s="297"/>
      <c r="G95" s="297"/>
      <c r="H95" s="111">
        <f t="shared" si="2"/>
        <v>120</v>
      </c>
      <c r="I95" s="242">
        <f>D95 + (F95/1000) + (G95/1000000) + (E95/1000000000) + (A95/100000000000)</f>
        <v>9.2000000000000003E-10</v>
      </c>
      <c r="J95" s="99" t="str">
        <f>C95 &amp; (COUNTIFS($C$4:$C$123, C95, $H$4:$H$123, "&lt;"&amp;H95) + COUNTIFS($C$4:C95, C95, $H$4:H95, H95))</f>
        <v>92</v>
      </c>
      <c r="K95" s="95" t="str">
        <f t="shared" si="3"/>
        <v>///</v>
      </c>
    </row>
    <row r="96" spans="1:11" ht="24.75" customHeight="1">
      <c r="A96" s="97">
        <v>93</v>
      </c>
      <c r="B96" s="108" t="str">
        <f>IF(DATA_IMPORT!A94="", "", DATA_IMPORT!A94)</f>
        <v/>
      </c>
      <c r="C96" s="115" t="str">
        <f>IF(DATA_IMPORT!C94="", "", DATA_IMPORT!C94)</f>
        <v/>
      </c>
      <c r="D96" s="297"/>
      <c r="E96" s="297"/>
      <c r="F96" s="297"/>
      <c r="G96" s="297"/>
      <c r="H96" s="111">
        <f t="shared" si="2"/>
        <v>120</v>
      </c>
      <c r="I96" s="242">
        <f>D96 + (F96/1000) + (G96/1000000) + (E96/1000000000) + (A96/100000000000)</f>
        <v>9.2999999999999999E-10</v>
      </c>
      <c r="J96" s="99" t="str">
        <f>C96 &amp; (COUNTIFS($C$4:$C$123, C96, $H$4:$H$123, "&lt;"&amp;H96) + COUNTIFS($C$4:C96, C96, $H$4:H96, H96))</f>
        <v>93</v>
      </c>
      <c r="K96" s="95" t="str">
        <f t="shared" si="3"/>
        <v>///</v>
      </c>
    </row>
    <row r="97" spans="1:11" ht="24.75" customHeight="1">
      <c r="A97" s="97">
        <v>94</v>
      </c>
      <c r="B97" s="108" t="str">
        <f>IF(DATA_IMPORT!A95="", "", DATA_IMPORT!A95)</f>
        <v/>
      </c>
      <c r="C97" s="115" t="str">
        <f>IF(DATA_IMPORT!C95="", "", DATA_IMPORT!C95)</f>
        <v/>
      </c>
      <c r="D97" s="297"/>
      <c r="E97" s="297"/>
      <c r="F97" s="297"/>
      <c r="G97" s="297"/>
      <c r="H97" s="111">
        <f t="shared" si="2"/>
        <v>120</v>
      </c>
      <c r="I97" s="242">
        <f>D97 + (F97/1000) + (G97/1000000) + (E97/1000000000) + (A97/100000000000)</f>
        <v>9.4000000000000006E-10</v>
      </c>
      <c r="J97" s="99" t="str">
        <f>C97 &amp; (COUNTIFS($C$4:$C$123, C97, $H$4:$H$123, "&lt;"&amp;H97) + COUNTIFS($C$4:C97, C97, $H$4:H97, H97))</f>
        <v>94</v>
      </c>
      <c r="K97" s="95" t="str">
        <f t="shared" si="3"/>
        <v>///</v>
      </c>
    </row>
    <row r="98" spans="1:11" ht="24.75" customHeight="1">
      <c r="A98" s="97">
        <v>95</v>
      </c>
      <c r="B98" s="108" t="str">
        <f>IF(DATA_IMPORT!A96="", "", DATA_IMPORT!A96)</f>
        <v/>
      </c>
      <c r="C98" s="115" t="str">
        <f>IF(DATA_IMPORT!C96="", "", DATA_IMPORT!C96)</f>
        <v/>
      </c>
      <c r="D98" s="297"/>
      <c r="E98" s="297"/>
      <c r="F98" s="297"/>
      <c r="G98" s="297"/>
      <c r="H98" s="111">
        <f t="shared" si="2"/>
        <v>120</v>
      </c>
      <c r="I98" s="242">
        <f>D98 + (F98/1000) + (G98/1000000) + (E98/1000000000) + (A98/100000000000)</f>
        <v>9.5000000000000003E-10</v>
      </c>
      <c r="J98" s="99" t="str">
        <f>C98 &amp; (COUNTIFS($C$4:$C$123, C98, $H$4:$H$123, "&lt;"&amp;H98) + COUNTIFS($C$4:C98, C98, $H$4:H98, H98))</f>
        <v>95</v>
      </c>
      <c r="K98" s="95" t="str">
        <f t="shared" si="3"/>
        <v>///</v>
      </c>
    </row>
    <row r="99" spans="1:11" ht="24.75" customHeight="1">
      <c r="A99" s="97">
        <v>96</v>
      </c>
      <c r="B99" s="108" t="str">
        <f>IF(DATA_IMPORT!A97="", "", DATA_IMPORT!A97)</f>
        <v/>
      </c>
      <c r="C99" s="115" t="str">
        <f>IF(DATA_IMPORT!C97="", "", DATA_IMPORT!C97)</f>
        <v/>
      </c>
      <c r="D99" s="297"/>
      <c r="E99" s="297"/>
      <c r="F99" s="297"/>
      <c r="G99" s="297"/>
      <c r="H99" s="111">
        <f t="shared" si="2"/>
        <v>120</v>
      </c>
      <c r="I99" s="242">
        <f>D99 + (F99/1000) + (G99/1000000) + (E99/1000000000) + (A99/100000000000)</f>
        <v>9.5999999999999999E-10</v>
      </c>
      <c r="J99" s="99" t="str">
        <f>C99 &amp; (COUNTIFS($C$4:$C$123, C99, $H$4:$H$123, "&lt;"&amp;H99) + COUNTIFS($C$4:C99, C99, $H$4:H99, H99))</f>
        <v>96</v>
      </c>
      <c r="K99" s="95" t="str">
        <f t="shared" si="3"/>
        <v>///</v>
      </c>
    </row>
    <row r="100" spans="1:11" ht="24.75" customHeight="1">
      <c r="A100" s="97">
        <v>97</v>
      </c>
      <c r="B100" s="108" t="str">
        <f>IF(DATA_IMPORT!A98="", "", DATA_IMPORT!A98)</f>
        <v/>
      </c>
      <c r="C100" s="115" t="str">
        <f>IF(DATA_IMPORT!C98="", "", DATA_IMPORT!C98)</f>
        <v/>
      </c>
      <c r="D100" s="297"/>
      <c r="E100" s="297"/>
      <c r="F100" s="297"/>
      <c r="G100" s="297"/>
      <c r="H100" s="111">
        <f t="shared" si="2"/>
        <v>120</v>
      </c>
      <c r="I100" s="242">
        <f>D100 + (F100/1000) + (G100/1000000) + (E100/1000000000) + (A100/100000000000)</f>
        <v>9.6999999999999996E-10</v>
      </c>
      <c r="J100" s="99" t="str">
        <f>C100 &amp; (COUNTIFS($C$4:$C$123, C100, $H$4:$H$123, "&lt;"&amp;H100) + COUNTIFS($C$4:C100, C100, $H$4:H100, H100))</f>
        <v>97</v>
      </c>
      <c r="K100" s="95" t="str">
        <f t="shared" si="3"/>
        <v>///</v>
      </c>
    </row>
    <row r="101" spans="1:11" ht="24.75" customHeight="1">
      <c r="A101" s="97">
        <v>98</v>
      </c>
      <c r="B101" s="108" t="str">
        <f>IF(DATA_IMPORT!A99="", "", DATA_IMPORT!A99)</f>
        <v/>
      </c>
      <c r="C101" s="115" t="str">
        <f>IF(DATA_IMPORT!C99="", "", DATA_IMPORT!C99)</f>
        <v/>
      </c>
      <c r="D101" s="297"/>
      <c r="E101" s="297"/>
      <c r="F101" s="297"/>
      <c r="G101" s="297"/>
      <c r="H101" s="111">
        <f t="shared" si="2"/>
        <v>120</v>
      </c>
      <c r="I101" s="242">
        <f>D101 + (F101/1000) + (G101/1000000) + (E101/1000000000) + (A101/100000000000)</f>
        <v>9.7999999999999992E-10</v>
      </c>
      <c r="J101" s="99" t="str">
        <f>C101 &amp; (COUNTIFS($C$4:$C$123, C101, $H$4:$H$123, "&lt;"&amp;H101) + COUNTIFS($C$4:C101, C101, $H$4:H101, H101))</f>
        <v>98</v>
      </c>
      <c r="K101" s="95" t="str">
        <f t="shared" si="3"/>
        <v>///</v>
      </c>
    </row>
    <row r="102" spans="1:11" ht="24.75" customHeight="1">
      <c r="A102" s="97">
        <v>99</v>
      </c>
      <c r="B102" s="108" t="str">
        <f>IF(DATA_IMPORT!A100="", "", DATA_IMPORT!A100)</f>
        <v/>
      </c>
      <c r="C102" s="115" t="str">
        <f>IF(DATA_IMPORT!C100="", "", DATA_IMPORT!C100)</f>
        <v/>
      </c>
      <c r="D102" s="297"/>
      <c r="E102" s="297"/>
      <c r="F102" s="297"/>
      <c r="G102" s="297"/>
      <c r="H102" s="111">
        <f t="shared" si="2"/>
        <v>120</v>
      </c>
      <c r="I102" s="242">
        <f>D102 + (F102/1000) + (G102/1000000) + (E102/1000000000) + (A102/100000000000)</f>
        <v>9.900000000000001E-10</v>
      </c>
      <c r="J102" s="99" t="str">
        <f>C102 &amp; (COUNTIFS($C$4:$C$123, C102, $H$4:$H$123, "&lt;"&amp;H102) + COUNTIFS($C$4:C102, C102, $H$4:H102, H102))</f>
        <v>99</v>
      </c>
      <c r="K102" s="95" t="str">
        <f t="shared" si="3"/>
        <v>///</v>
      </c>
    </row>
    <row r="103" spans="1:11" ht="24.75" customHeight="1">
      <c r="A103" s="97">
        <v>100</v>
      </c>
      <c r="B103" s="108" t="str">
        <f>IF(DATA_IMPORT!A101="", "", DATA_IMPORT!A101)</f>
        <v/>
      </c>
      <c r="C103" s="115" t="str">
        <f>IF(DATA_IMPORT!C101="", "", DATA_IMPORT!C101)</f>
        <v/>
      </c>
      <c r="D103" s="297"/>
      <c r="E103" s="297"/>
      <c r="F103" s="297"/>
      <c r="G103" s="297"/>
      <c r="H103" s="111">
        <f t="shared" si="2"/>
        <v>120</v>
      </c>
      <c r="I103" s="242">
        <f>D103 + (F103/1000) + (G103/1000000) + (E103/1000000000) + (A103/100000000000)</f>
        <v>1.0000000000000001E-9</v>
      </c>
      <c r="J103" s="99" t="str">
        <f>C103 &amp; (COUNTIFS($C$4:$C$123, C103, $H$4:$H$123, "&lt;"&amp;H103) + COUNTIFS($C$4:C103, C103, $H$4:H103, H103))</f>
        <v>100</v>
      </c>
      <c r="K103" s="95" t="str">
        <f t="shared" si="3"/>
        <v>///</v>
      </c>
    </row>
    <row r="104" spans="1:11" ht="24.75" customHeight="1">
      <c r="A104" s="97">
        <v>101</v>
      </c>
      <c r="B104" s="108" t="str">
        <f>IF(DATA_IMPORT!A102="", "", DATA_IMPORT!A102)</f>
        <v/>
      </c>
      <c r="C104" s="115" t="str">
        <f>IF(DATA_IMPORT!C102="", "", DATA_IMPORT!C102)</f>
        <v/>
      </c>
      <c r="D104" s="297"/>
      <c r="E104" s="297"/>
      <c r="F104" s="297"/>
      <c r="G104" s="297"/>
      <c r="H104" s="111">
        <f t="shared" si="2"/>
        <v>120</v>
      </c>
      <c r="I104" s="242">
        <f>D104 + (F104/1000) + (G104/1000000) + (E104/1000000000) + (A104/100000000000)</f>
        <v>1.01E-9</v>
      </c>
      <c r="J104" s="99" t="str">
        <f>C104 &amp; (COUNTIFS($C$4:$C$123, C104, $H$4:$H$123, "&lt;"&amp;H104) + COUNTIFS($C$4:C104, C104, $H$4:H104, H104))</f>
        <v>101</v>
      </c>
      <c r="K104" s="95" t="str">
        <f t="shared" si="3"/>
        <v>///</v>
      </c>
    </row>
    <row r="105" spans="1:11" ht="24.75" customHeight="1">
      <c r="A105" s="97">
        <v>102</v>
      </c>
      <c r="B105" s="108" t="str">
        <f>IF(DATA_IMPORT!A103="", "", DATA_IMPORT!A103)</f>
        <v/>
      </c>
      <c r="C105" s="115" t="str">
        <f>IF(DATA_IMPORT!C103="", "", DATA_IMPORT!C103)</f>
        <v/>
      </c>
      <c r="D105" s="297"/>
      <c r="E105" s="297"/>
      <c r="F105" s="297"/>
      <c r="G105" s="297"/>
      <c r="H105" s="111">
        <f t="shared" si="2"/>
        <v>120</v>
      </c>
      <c r="I105" s="242">
        <f>D105 + (F105/1000) + (G105/1000000) + (E105/1000000000) + (A105/100000000000)</f>
        <v>1.02E-9</v>
      </c>
      <c r="J105" s="99" t="str">
        <f>C105 &amp; (COUNTIFS($C$4:$C$123, C105, $H$4:$H$123, "&lt;"&amp;H105) + COUNTIFS($C$4:C105, C105, $H$4:H105, H105))</f>
        <v>102</v>
      </c>
      <c r="K105" s="95" t="str">
        <f t="shared" si="3"/>
        <v>///</v>
      </c>
    </row>
    <row r="106" spans="1:11" ht="24.75" customHeight="1">
      <c r="A106" s="97">
        <v>103</v>
      </c>
      <c r="B106" s="108" t="str">
        <f>IF(DATA_IMPORT!A104="", "", DATA_IMPORT!A104)</f>
        <v/>
      </c>
      <c r="C106" s="115" t="str">
        <f>IF(DATA_IMPORT!C104="", "", DATA_IMPORT!C104)</f>
        <v/>
      </c>
      <c r="D106" s="297"/>
      <c r="E106" s="297"/>
      <c r="F106" s="297"/>
      <c r="G106" s="297"/>
      <c r="H106" s="111">
        <f t="shared" si="2"/>
        <v>120</v>
      </c>
      <c r="I106" s="242">
        <f>D106 + (F106/1000) + (G106/1000000) + (E106/1000000000) + (A106/100000000000)</f>
        <v>1.03E-9</v>
      </c>
      <c r="J106" s="99" t="str">
        <f>C106 &amp; (COUNTIFS($C$4:$C$123, C106, $H$4:$H$123, "&lt;"&amp;H106) + COUNTIFS($C$4:C106, C106, $H$4:H106, H106))</f>
        <v>103</v>
      </c>
      <c r="K106" s="95" t="str">
        <f t="shared" si="3"/>
        <v>///</v>
      </c>
    </row>
    <row r="107" spans="1:11" ht="24.75" customHeight="1">
      <c r="A107" s="97">
        <v>104</v>
      </c>
      <c r="B107" s="108" t="str">
        <f>IF(DATA_IMPORT!A105="", "", DATA_IMPORT!A105)</f>
        <v/>
      </c>
      <c r="C107" s="115" t="str">
        <f>IF(DATA_IMPORT!C105="", "", DATA_IMPORT!C105)</f>
        <v/>
      </c>
      <c r="D107" s="297"/>
      <c r="E107" s="297"/>
      <c r="F107" s="297"/>
      <c r="G107" s="297"/>
      <c r="H107" s="111">
        <f t="shared" si="2"/>
        <v>120</v>
      </c>
      <c r="I107" s="242">
        <f>D107 + (F107/1000) + (G107/1000000) + (E107/1000000000) + (A107/100000000000)</f>
        <v>1.0399999999999999E-9</v>
      </c>
      <c r="J107" s="99" t="str">
        <f>C107 &amp; (COUNTIFS($C$4:$C$123, C107, $H$4:$H$123, "&lt;"&amp;H107) + COUNTIFS($C$4:C107, C107, $H$4:H107, H107))</f>
        <v>104</v>
      </c>
      <c r="K107" s="95" t="str">
        <f t="shared" si="3"/>
        <v>///</v>
      </c>
    </row>
    <row r="108" spans="1:11" ht="24.75" customHeight="1">
      <c r="A108" s="97">
        <v>105</v>
      </c>
      <c r="B108" s="108" t="str">
        <f>IF(DATA_IMPORT!A106="", "", DATA_IMPORT!A106)</f>
        <v/>
      </c>
      <c r="C108" s="115" t="str">
        <f>IF(DATA_IMPORT!C106="", "", DATA_IMPORT!C106)</f>
        <v/>
      </c>
      <c r="D108" s="297"/>
      <c r="E108" s="297"/>
      <c r="F108" s="297"/>
      <c r="G108" s="297"/>
      <c r="H108" s="111">
        <f t="shared" si="2"/>
        <v>120</v>
      </c>
      <c r="I108" s="242">
        <f>D108 + (F108/1000) + (G108/1000000) + (E108/1000000000) + (A108/100000000000)</f>
        <v>1.0500000000000001E-9</v>
      </c>
      <c r="J108" s="99" t="str">
        <f>C108 &amp; (COUNTIFS($C$4:$C$123, C108, $H$4:$H$123, "&lt;"&amp;H108) + COUNTIFS($C$4:C108, C108, $H$4:H108, H108))</f>
        <v>105</v>
      </c>
      <c r="K108" s="95" t="str">
        <f t="shared" si="3"/>
        <v>///</v>
      </c>
    </row>
    <row r="109" spans="1:11" ht="24.75" customHeight="1">
      <c r="A109" s="97">
        <v>106</v>
      </c>
      <c r="B109" s="108" t="str">
        <f>IF(DATA_IMPORT!A107="", "", DATA_IMPORT!A107)</f>
        <v/>
      </c>
      <c r="C109" s="115" t="str">
        <f>IF(DATA_IMPORT!C107="", "", DATA_IMPORT!C107)</f>
        <v/>
      </c>
      <c r="D109" s="297"/>
      <c r="E109" s="297"/>
      <c r="F109" s="297"/>
      <c r="G109" s="297"/>
      <c r="H109" s="111">
        <f t="shared" si="2"/>
        <v>120</v>
      </c>
      <c r="I109" s="242">
        <f>D109 + (F109/1000) + (G109/1000000) + (E109/1000000000) + (A109/100000000000)</f>
        <v>1.0600000000000001E-9</v>
      </c>
      <c r="J109" s="99" t="str">
        <f>C109 &amp; (COUNTIFS($C$4:$C$123, C109, $H$4:$H$123, "&lt;"&amp;H109) + COUNTIFS($C$4:C109, C109, $H$4:H109, H109))</f>
        <v>106</v>
      </c>
      <c r="K109" s="95" t="str">
        <f t="shared" si="3"/>
        <v>///</v>
      </c>
    </row>
    <row r="110" spans="1:11" ht="24.75" customHeight="1">
      <c r="A110" s="97">
        <v>107</v>
      </c>
      <c r="B110" s="108" t="str">
        <f>IF(DATA_IMPORT!A108="", "", DATA_IMPORT!A108)</f>
        <v/>
      </c>
      <c r="C110" s="115" t="str">
        <f>IF(DATA_IMPORT!C108="", "", DATA_IMPORT!C108)</f>
        <v/>
      </c>
      <c r="D110" s="297"/>
      <c r="E110" s="297"/>
      <c r="F110" s="297"/>
      <c r="G110" s="297"/>
      <c r="H110" s="111">
        <f t="shared" si="2"/>
        <v>120</v>
      </c>
      <c r="I110" s="242">
        <f>D110 + (F110/1000) + (G110/1000000) + (E110/1000000000) + (A110/100000000000)</f>
        <v>1.07E-9</v>
      </c>
      <c r="J110" s="99" t="str">
        <f>C110 &amp; (COUNTIFS($C$4:$C$123, C110, $H$4:$H$123, "&lt;"&amp;H110) + COUNTIFS($C$4:C110, C110, $H$4:H110, H110))</f>
        <v>107</v>
      </c>
      <c r="K110" s="95" t="str">
        <f t="shared" si="3"/>
        <v>///</v>
      </c>
    </row>
    <row r="111" spans="1:11" ht="24.75" customHeight="1">
      <c r="A111" s="97">
        <v>108</v>
      </c>
      <c r="B111" s="108" t="str">
        <f>IF(DATA_IMPORT!A109="", "", DATA_IMPORT!A109)</f>
        <v/>
      </c>
      <c r="C111" s="115" t="str">
        <f>IF(DATA_IMPORT!C109="", "", DATA_IMPORT!C109)</f>
        <v/>
      </c>
      <c r="D111" s="297"/>
      <c r="E111" s="297"/>
      <c r="F111" s="297"/>
      <c r="G111" s="297"/>
      <c r="H111" s="111">
        <f t="shared" si="2"/>
        <v>120</v>
      </c>
      <c r="I111" s="242">
        <f>D111 + (F111/1000) + (G111/1000000) + (E111/1000000000) + (A111/100000000000)</f>
        <v>1.08E-9</v>
      </c>
      <c r="J111" s="99" t="str">
        <f>C111 &amp; (COUNTIFS($C$4:$C$123, C111, $H$4:$H$123, "&lt;"&amp;H111) + COUNTIFS($C$4:C111, C111, $H$4:H111, H111))</f>
        <v>108</v>
      </c>
      <c r="K111" s="95" t="str">
        <f t="shared" si="3"/>
        <v>///</v>
      </c>
    </row>
    <row r="112" spans="1:11" ht="24.75" customHeight="1">
      <c r="A112" s="97">
        <v>109</v>
      </c>
      <c r="B112" s="108" t="str">
        <f>IF(DATA_IMPORT!A110="", "", DATA_IMPORT!A110)</f>
        <v/>
      </c>
      <c r="C112" s="115" t="str">
        <f>IF(DATA_IMPORT!C110="", "", DATA_IMPORT!C110)</f>
        <v/>
      </c>
      <c r="D112" s="297"/>
      <c r="E112" s="297"/>
      <c r="F112" s="297"/>
      <c r="G112" s="297"/>
      <c r="H112" s="111">
        <f t="shared" si="2"/>
        <v>120</v>
      </c>
      <c r="I112" s="242">
        <f>D112 + (F112/1000) + (G112/1000000) + (E112/1000000000) + (A112/100000000000)</f>
        <v>1.09E-9</v>
      </c>
      <c r="J112" s="99" t="str">
        <f>C112 &amp; (COUNTIFS($C$4:$C$123, C112, $H$4:$H$123, "&lt;"&amp;H112) + COUNTIFS($C$4:C112, C112, $H$4:H112, H112))</f>
        <v>109</v>
      </c>
      <c r="K112" s="95" t="str">
        <f t="shared" si="3"/>
        <v>///</v>
      </c>
    </row>
    <row r="113" spans="1:11" ht="24.75" customHeight="1">
      <c r="A113" s="97">
        <v>110</v>
      </c>
      <c r="B113" s="108" t="str">
        <f>IF(DATA_IMPORT!A111="", "", DATA_IMPORT!A111)</f>
        <v/>
      </c>
      <c r="C113" s="115" t="str">
        <f>IF(DATA_IMPORT!C111="", "", DATA_IMPORT!C111)</f>
        <v/>
      </c>
      <c r="D113" s="297"/>
      <c r="E113" s="297"/>
      <c r="F113" s="297"/>
      <c r="G113" s="297"/>
      <c r="H113" s="111">
        <f t="shared" si="2"/>
        <v>120</v>
      </c>
      <c r="I113" s="242">
        <f>D113 + (F113/1000) + (G113/1000000) + (E113/1000000000) + (A113/100000000000)</f>
        <v>1.0999999999999999E-9</v>
      </c>
      <c r="J113" s="99" t="str">
        <f>C113 &amp; (COUNTIFS($C$4:$C$123, C113, $H$4:$H$123, "&lt;"&amp;H113) + COUNTIFS($C$4:C113, C113, $H$4:H113, H113))</f>
        <v>110</v>
      </c>
      <c r="K113" s="95" t="str">
        <f t="shared" si="3"/>
        <v>///</v>
      </c>
    </row>
    <row r="114" spans="1:11" ht="24.75" customHeight="1">
      <c r="A114" s="97">
        <v>111</v>
      </c>
      <c r="B114" s="108" t="str">
        <f>IF(DATA_IMPORT!A112="", "", DATA_IMPORT!A112)</f>
        <v/>
      </c>
      <c r="C114" s="115" t="str">
        <f>IF(DATA_IMPORT!C112="", "", DATA_IMPORT!C112)</f>
        <v/>
      </c>
      <c r="D114" s="297"/>
      <c r="E114" s="297"/>
      <c r="F114" s="297"/>
      <c r="G114" s="297"/>
      <c r="H114" s="111">
        <f t="shared" si="2"/>
        <v>120</v>
      </c>
      <c r="I114" s="242">
        <f>D114 + (F114/1000) + (G114/1000000) + (E114/1000000000) + (A114/100000000000)</f>
        <v>1.1100000000000001E-9</v>
      </c>
      <c r="J114" s="99" t="str">
        <f>C114 &amp; (COUNTIFS($C$4:$C$123, C114, $H$4:$H$123, "&lt;"&amp;H114) + COUNTIFS($C$4:C114, C114, $H$4:H114, H114))</f>
        <v>111</v>
      </c>
      <c r="K114" s="95" t="str">
        <f t="shared" si="3"/>
        <v>///</v>
      </c>
    </row>
    <row r="115" spans="1:11" ht="24.75" customHeight="1">
      <c r="A115" s="97">
        <v>112</v>
      </c>
      <c r="B115" s="108" t="str">
        <f>IF(DATA_IMPORT!A113="", "", DATA_IMPORT!A113)</f>
        <v/>
      </c>
      <c r="C115" s="115" t="str">
        <f>IF(DATA_IMPORT!C113="", "", DATA_IMPORT!C113)</f>
        <v/>
      </c>
      <c r="D115" s="297"/>
      <c r="E115" s="297"/>
      <c r="F115" s="297"/>
      <c r="G115" s="297"/>
      <c r="H115" s="111">
        <f t="shared" si="2"/>
        <v>120</v>
      </c>
      <c r="I115" s="242">
        <f>D115 + (F115/1000) + (G115/1000000) + (E115/1000000000) + (A115/100000000000)</f>
        <v>1.1200000000000001E-9</v>
      </c>
      <c r="J115" s="99" t="str">
        <f>C115 &amp; (COUNTIFS($C$4:$C$123, C115, $H$4:$H$123, "&lt;"&amp;H115) + COUNTIFS($C$4:C115, C115, $H$4:H115, H115))</f>
        <v>112</v>
      </c>
      <c r="K115" s="95" t="str">
        <f t="shared" si="3"/>
        <v>///</v>
      </c>
    </row>
    <row r="116" spans="1:11" ht="24.75" customHeight="1">
      <c r="A116" s="97">
        <v>113</v>
      </c>
      <c r="B116" s="108" t="str">
        <f>IF(DATA_IMPORT!A114="", "", DATA_IMPORT!A114)</f>
        <v/>
      </c>
      <c r="C116" s="115" t="str">
        <f>IF(DATA_IMPORT!C114="", "", DATA_IMPORT!C114)</f>
        <v/>
      </c>
      <c r="D116" s="297"/>
      <c r="E116" s="297"/>
      <c r="F116" s="297"/>
      <c r="G116" s="297"/>
      <c r="H116" s="111">
        <f t="shared" si="2"/>
        <v>120</v>
      </c>
      <c r="I116" s="242">
        <f>D116 + (F116/1000) + (G116/1000000) + (E116/1000000000) + (A116/100000000000)</f>
        <v>1.13E-9</v>
      </c>
      <c r="J116" s="99" t="str">
        <f>C116 &amp; (COUNTIFS($C$4:$C$123, C116, $H$4:$H$123, "&lt;"&amp;H116) + COUNTIFS($C$4:C116, C116, $H$4:H116, H116))</f>
        <v>113</v>
      </c>
      <c r="K116" s="95" t="str">
        <f t="shared" si="3"/>
        <v>///</v>
      </c>
    </row>
    <row r="117" spans="1:11" ht="24.75" customHeight="1">
      <c r="A117" s="97">
        <v>114</v>
      </c>
      <c r="B117" s="108" t="str">
        <f>IF(DATA_IMPORT!A115="", "", DATA_IMPORT!A115)</f>
        <v/>
      </c>
      <c r="C117" s="115" t="str">
        <f>IF(DATA_IMPORT!C115="", "", DATA_IMPORT!C115)</f>
        <v/>
      </c>
      <c r="D117" s="297"/>
      <c r="E117" s="297"/>
      <c r="F117" s="297"/>
      <c r="G117" s="297"/>
      <c r="H117" s="111">
        <f t="shared" si="2"/>
        <v>120</v>
      </c>
      <c r="I117" s="242">
        <f>D117 + (F117/1000) + (G117/1000000) + (E117/1000000000) + (A117/100000000000)</f>
        <v>1.14E-9</v>
      </c>
      <c r="J117" s="99" t="str">
        <f>C117 &amp; (COUNTIFS($C$4:$C$123, C117, $H$4:$H$123, "&lt;"&amp;H117) + COUNTIFS($C$4:C117, C117, $H$4:H117, H117))</f>
        <v>114</v>
      </c>
      <c r="K117" s="95" t="str">
        <f t="shared" si="3"/>
        <v>///</v>
      </c>
    </row>
    <row r="118" spans="1:11" ht="24.75" customHeight="1">
      <c r="A118" s="97">
        <v>115</v>
      </c>
      <c r="B118" s="108" t="str">
        <f>IF(DATA_IMPORT!A116="", "", DATA_IMPORT!A116)</f>
        <v/>
      </c>
      <c r="C118" s="115" t="str">
        <f>IF(DATA_IMPORT!C116="", "", DATA_IMPORT!C116)</f>
        <v/>
      </c>
      <c r="D118" s="297"/>
      <c r="E118" s="297"/>
      <c r="F118" s="297"/>
      <c r="G118" s="297"/>
      <c r="H118" s="111">
        <f t="shared" si="2"/>
        <v>120</v>
      </c>
      <c r="I118" s="242">
        <f>D118 + (F118/1000) + (G118/1000000) + (E118/1000000000) + (A118/100000000000)</f>
        <v>1.15E-9</v>
      </c>
      <c r="J118" s="99" t="str">
        <f>C118 &amp; (COUNTIFS($C$4:$C$123, C118, $H$4:$H$123, "&lt;"&amp;H118) + COUNTIFS($C$4:C118, C118, $H$4:H118, H118))</f>
        <v>115</v>
      </c>
      <c r="K118" s="95" t="str">
        <f t="shared" si="3"/>
        <v>///</v>
      </c>
    </row>
    <row r="119" spans="1:11" ht="24.75" customHeight="1">
      <c r="A119" s="97">
        <v>116</v>
      </c>
      <c r="B119" s="108" t="str">
        <f>IF(DATA_IMPORT!A117="", "", DATA_IMPORT!A117)</f>
        <v/>
      </c>
      <c r="C119" s="115" t="str">
        <f>IF(DATA_IMPORT!C117="", "", DATA_IMPORT!C117)</f>
        <v/>
      </c>
      <c r="D119" s="297"/>
      <c r="E119" s="297"/>
      <c r="F119" s="297"/>
      <c r="G119" s="297"/>
      <c r="H119" s="111">
        <f t="shared" si="2"/>
        <v>120</v>
      </c>
      <c r="I119" s="242">
        <f>D119 + (F119/1000) + (G119/1000000) + (E119/1000000000) + (A119/100000000000)</f>
        <v>1.1599999999999999E-9</v>
      </c>
      <c r="J119" s="99" t="str">
        <f>C119 &amp; (COUNTIFS($C$4:$C$123, C119, $H$4:$H$123, "&lt;"&amp;H119) + COUNTIFS($C$4:C119, C119, $H$4:H119, H119))</f>
        <v>116</v>
      </c>
      <c r="K119" s="95" t="str">
        <f t="shared" si="3"/>
        <v>///</v>
      </c>
    </row>
    <row r="120" spans="1:11" ht="24.75" customHeight="1">
      <c r="A120" s="97">
        <v>117</v>
      </c>
      <c r="B120" s="108" t="str">
        <f>IF(DATA_IMPORT!A118="", "", DATA_IMPORT!A118)</f>
        <v/>
      </c>
      <c r="C120" s="115" t="str">
        <f>IF(DATA_IMPORT!C118="", "", DATA_IMPORT!C118)</f>
        <v/>
      </c>
      <c r="D120" s="297"/>
      <c r="E120" s="297"/>
      <c r="F120" s="297"/>
      <c r="G120" s="297"/>
      <c r="H120" s="111">
        <f t="shared" si="2"/>
        <v>120</v>
      </c>
      <c r="I120" s="242">
        <f>D120 + (F120/1000) + (G120/1000000) + (E120/1000000000) + (A120/100000000000)</f>
        <v>1.1700000000000001E-9</v>
      </c>
      <c r="J120" s="99" t="str">
        <f>C120 &amp; (COUNTIFS($C$4:$C$123, C120, $H$4:$H$123, "&lt;"&amp;H120) + COUNTIFS($C$4:C120, C120, $H$4:H120, H120))</f>
        <v>117</v>
      </c>
      <c r="K120" s="95" t="str">
        <f t="shared" si="3"/>
        <v>///</v>
      </c>
    </row>
    <row r="121" spans="1:11" ht="24.75" customHeight="1">
      <c r="A121" s="97">
        <v>118</v>
      </c>
      <c r="B121" s="108" t="str">
        <f>IF(DATA_IMPORT!A119="", "", DATA_IMPORT!A119)</f>
        <v/>
      </c>
      <c r="C121" s="115" t="str">
        <f>IF(DATA_IMPORT!C119="", "", DATA_IMPORT!C119)</f>
        <v/>
      </c>
      <c r="D121" s="297"/>
      <c r="E121" s="297"/>
      <c r="F121" s="297"/>
      <c r="G121" s="297"/>
      <c r="H121" s="111">
        <f t="shared" si="2"/>
        <v>120</v>
      </c>
      <c r="I121" s="242">
        <f>D121 + (F121/1000) + (G121/1000000) + (E121/1000000000) + (A121/100000000000)</f>
        <v>1.1800000000000001E-9</v>
      </c>
      <c r="J121" s="99" t="str">
        <f>C121 &amp; (COUNTIFS($C$4:$C$123, C121, $H$4:$H$123, "&lt;"&amp;H121) + COUNTIFS($C$4:C121, C121, $H$4:H121, H121))</f>
        <v>118</v>
      </c>
      <c r="K121" s="95" t="str">
        <f t="shared" si="3"/>
        <v>///</v>
      </c>
    </row>
    <row r="122" spans="1:11" ht="24.75" customHeight="1">
      <c r="A122" s="97">
        <v>119</v>
      </c>
      <c r="B122" s="108" t="str">
        <f>IF(DATA_IMPORT!A120="", "", DATA_IMPORT!A120)</f>
        <v/>
      </c>
      <c r="C122" s="115" t="str">
        <f>IF(DATA_IMPORT!C120="", "", DATA_IMPORT!C120)</f>
        <v/>
      </c>
      <c r="D122" s="297"/>
      <c r="E122" s="297"/>
      <c r="F122" s="297"/>
      <c r="G122" s="297"/>
      <c r="H122" s="111">
        <f t="shared" si="2"/>
        <v>120</v>
      </c>
      <c r="I122" s="242">
        <f>D122 + (F122/1000) + (G122/1000000) + (E122/1000000000) + (A122/100000000000)</f>
        <v>1.19E-9</v>
      </c>
      <c r="J122" s="99" t="str">
        <f>C122 &amp; (COUNTIFS($C$4:$C$123, C122, $H$4:$H$123, "&lt;"&amp;H122) + COUNTIFS($C$4:C122, C122, $H$4:H122, H122))</f>
        <v>119</v>
      </c>
      <c r="K122" s="95" t="str">
        <f t="shared" si="3"/>
        <v>///</v>
      </c>
    </row>
    <row r="123" spans="1:11" ht="24.75" customHeight="1">
      <c r="A123" s="97">
        <v>120</v>
      </c>
      <c r="B123" s="108" t="str">
        <f>IF(DATA_IMPORT!A121="", "", DATA_IMPORT!A121)</f>
        <v/>
      </c>
      <c r="C123" s="115" t="str">
        <f>IF(DATA_IMPORT!C121="", "", DATA_IMPORT!C121)</f>
        <v/>
      </c>
      <c r="D123" s="297"/>
      <c r="E123" s="297"/>
      <c r="F123" s="297"/>
      <c r="G123" s="297"/>
      <c r="H123" s="111">
        <f t="shared" si="2"/>
        <v>120</v>
      </c>
      <c r="I123" s="242">
        <f>D123 + (F123/1000) + (G123/1000000) + (E123/1000000000) + (A123/100000000000)</f>
        <v>1.2E-9</v>
      </c>
      <c r="J123" s="99" t="str">
        <f>C123 &amp; (COUNTIFS($C$4:$C$123, C123, $H$4:$H$123, "&lt;"&amp;H123) + COUNTIFS($C$4:C123, C123, $H$4:H123, H123))</f>
        <v>120</v>
      </c>
      <c r="K123" s="95" t="str">
        <f t="shared" si="3"/>
        <v>///</v>
      </c>
    </row>
    <row r="124" spans="1:11" ht="24.75" hidden="1" customHeight="1">
      <c r="A124" s="177"/>
      <c r="B124" s="108" t="str">
        <f>IF(DATA_IMPORT!A123="", "", DATA_IMPORT!A123)</f>
        <v/>
      </c>
      <c r="C124" s="115" t="str">
        <f>IF(DATA_IMPORT!C122="", "", DATA_IMPORT!C122)</f>
        <v/>
      </c>
      <c r="D124" s="113">
        <v>250</v>
      </c>
      <c r="E124" s="113">
        <v>250</v>
      </c>
      <c r="F124" s="113">
        <v>250</v>
      </c>
      <c r="G124" s="113">
        <v>250</v>
      </c>
      <c r="H124" s="111">
        <f t="shared" si="2"/>
        <v>1</v>
      </c>
      <c r="I124" s="243"/>
      <c r="J124" s="99" t="str">
        <f>C124 &amp; (COUNTIFS($C$4:$C$123, C124, $H$4:$H$123, "&lt;"&amp;H124) + COUNTIFS($C$4:C124, C124, $H$4:H124, H124))</f>
        <v>1</v>
      </c>
      <c r="K124" s="94"/>
    </row>
    <row r="125" spans="1:11" ht="24.75" hidden="1" customHeight="1">
      <c r="A125" s="177"/>
      <c r="B125" s="108" t="str">
        <f>IF(DATA_IMPORT!A124="", "", DATA_IMPORT!A124)</f>
        <v/>
      </c>
      <c r="C125" s="115" t="str">
        <f>IF(DATA_IMPORT!C123="", "", DATA_IMPORT!C123)</f>
        <v/>
      </c>
      <c r="D125" s="113">
        <v>250</v>
      </c>
      <c r="E125" s="113">
        <v>250</v>
      </c>
      <c r="F125" s="113">
        <v>250</v>
      </c>
      <c r="G125" s="113">
        <v>250</v>
      </c>
      <c r="H125" s="111">
        <f t="shared" si="2"/>
        <v>1</v>
      </c>
      <c r="I125" s="243"/>
      <c r="J125" s="99" t="str">
        <f>C125 &amp; (COUNTIFS($C$4:$C$123, C125, $H$4:$H$123, "&lt;"&amp;H125) + COUNTIFS($C$4:C125, C125, $H$4:H125, H125))</f>
        <v>2</v>
      </c>
      <c r="K125" s="94"/>
    </row>
    <row r="126" spans="1:11" ht="24.75" hidden="1" customHeight="1">
      <c r="A126" s="177"/>
      <c r="B126" s="108" t="str">
        <f>IF(DATA_IMPORT!A125="", "", DATA_IMPORT!A125)</f>
        <v/>
      </c>
      <c r="C126" s="115" t="str">
        <f>IF(DATA_IMPORT!C124="", "", DATA_IMPORT!C124)</f>
        <v/>
      </c>
      <c r="D126" s="113">
        <v>250</v>
      </c>
      <c r="E126" s="113">
        <v>250</v>
      </c>
      <c r="F126" s="113">
        <v>250</v>
      </c>
      <c r="G126" s="113">
        <v>250</v>
      </c>
      <c r="H126" s="111">
        <f t="shared" si="2"/>
        <v>1</v>
      </c>
      <c r="I126" s="243"/>
      <c r="J126" s="99" t="str">
        <f>C126 &amp; (COUNTIFS($C$4:$C$123, C126, $H$4:$H$123, "&lt;"&amp;H126) + COUNTIFS($C$4:C126, C126, $H$4:H126, H126))</f>
        <v>3</v>
      </c>
      <c r="K126" s="94"/>
    </row>
    <row r="127" spans="1:11" ht="24.75" hidden="1" customHeight="1">
      <c r="A127" s="177"/>
      <c r="B127" s="108" t="str">
        <f>IF(DATA_IMPORT!A126="", "", DATA_IMPORT!A126)</f>
        <v/>
      </c>
      <c r="C127" s="115" t="str">
        <f>IF(DATA_IMPORT!C125="", "", DATA_IMPORT!C125)</f>
        <v/>
      </c>
      <c r="D127" s="113">
        <v>250</v>
      </c>
      <c r="E127" s="113">
        <v>250</v>
      </c>
      <c r="F127" s="113">
        <v>250</v>
      </c>
      <c r="G127" s="113">
        <v>250</v>
      </c>
      <c r="H127" s="111">
        <f t="shared" si="2"/>
        <v>1</v>
      </c>
      <c r="I127" s="243"/>
      <c r="J127" s="99" t="str">
        <f>C127 &amp; (COUNTIFS($C$4:$C$123, C127, $H$4:$H$123, "&lt;"&amp;H127) + COUNTIFS($C$4:C127, C127, $H$4:H127, H127))</f>
        <v>4</v>
      </c>
      <c r="K127" s="94"/>
    </row>
    <row r="128" spans="1:11" ht="24.75" hidden="1" customHeight="1">
      <c r="A128" s="177"/>
      <c r="B128" s="108" t="str">
        <f>IF(DATA_IMPORT!A127="", "", DATA_IMPORT!A127)</f>
        <v/>
      </c>
      <c r="C128" s="115" t="str">
        <f>IF(DATA_IMPORT!C126="", "", DATA_IMPORT!C126)</f>
        <v/>
      </c>
      <c r="D128" s="113">
        <v>250</v>
      </c>
      <c r="E128" s="113">
        <v>250</v>
      </c>
      <c r="F128" s="113">
        <v>250</v>
      </c>
      <c r="G128" s="113">
        <v>250</v>
      </c>
      <c r="H128" s="111">
        <f t="shared" si="2"/>
        <v>1</v>
      </c>
      <c r="I128" s="243"/>
      <c r="J128" s="99" t="str">
        <f>C128 &amp; (COUNTIFS($C$4:$C$123, C128, $H$4:$H$123, "&lt;"&amp;H128) + COUNTIFS($C$4:C128, C128, $H$4:H128, H128))</f>
        <v>5</v>
      </c>
      <c r="K128" s="94"/>
    </row>
    <row r="129" spans="1:11" ht="24.75" hidden="1" customHeight="1">
      <c r="A129" s="177"/>
      <c r="B129" s="108" t="str">
        <f>IF(DATA_IMPORT!A128="", "", DATA_IMPORT!A128)</f>
        <v/>
      </c>
      <c r="C129" s="115" t="str">
        <f>IF(DATA_IMPORT!C127="", "", DATA_IMPORT!C127)</f>
        <v/>
      </c>
      <c r="D129" s="113">
        <v>250</v>
      </c>
      <c r="E129" s="113">
        <v>250</v>
      </c>
      <c r="F129" s="113">
        <v>250</v>
      </c>
      <c r="G129" s="113">
        <v>250</v>
      </c>
      <c r="H129" s="111">
        <f t="shared" si="2"/>
        <v>1</v>
      </c>
      <c r="I129" s="243"/>
      <c r="J129" s="99" t="str">
        <f>C129 &amp; (COUNTIFS($C$4:$C$123, C129, $H$4:$H$123, "&lt;"&amp;H129) + COUNTIFS($C$4:C129, C129, $H$4:H129, H129))</f>
        <v>6</v>
      </c>
      <c r="K129" s="94"/>
    </row>
    <row r="130" spans="1:11" ht="24.75" hidden="1" customHeight="1">
      <c r="A130" s="177"/>
      <c r="B130" s="108" t="str">
        <f>IF(DATA_IMPORT!A129="", "", DATA_IMPORT!A129)</f>
        <v/>
      </c>
      <c r="C130" s="115" t="str">
        <f>IF(DATA_IMPORT!C128="", "", DATA_IMPORT!C128)</f>
        <v/>
      </c>
      <c r="D130" s="113">
        <v>250</v>
      </c>
      <c r="E130" s="113">
        <v>250</v>
      </c>
      <c r="F130" s="113">
        <v>250</v>
      </c>
      <c r="G130" s="113">
        <v>250</v>
      </c>
      <c r="H130" s="111">
        <f t="shared" si="2"/>
        <v>1</v>
      </c>
      <c r="I130" s="243"/>
      <c r="J130" s="99" t="str">
        <f>C130 &amp; (COUNTIFS($C$4:$C$123, C130, $H$4:$H$123, "&lt;"&amp;H130) + COUNTIFS($C$4:C130, C130, $H$4:H130, H130))</f>
        <v>7</v>
      </c>
      <c r="K130" s="94"/>
    </row>
    <row r="131" spans="1:11" ht="24.75" hidden="1" customHeight="1">
      <c r="A131" s="177"/>
      <c r="B131" s="108" t="str">
        <f>IF(DATA_IMPORT!A130="", "", DATA_IMPORT!A130)</f>
        <v/>
      </c>
      <c r="C131" s="115" t="str">
        <f>IF(DATA_IMPORT!C129="", "", DATA_IMPORT!C129)</f>
        <v/>
      </c>
      <c r="D131" s="113">
        <v>250</v>
      </c>
      <c r="E131" s="113">
        <v>250</v>
      </c>
      <c r="F131" s="113">
        <v>250</v>
      </c>
      <c r="G131" s="113">
        <v>250</v>
      </c>
      <c r="H131" s="111">
        <f t="shared" si="2"/>
        <v>1</v>
      </c>
      <c r="I131" s="243"/>
      <c r="J131" s="99" t="str">
        <f>C131 &amp; (COUNTIFS($C$4:$C$123, C131, $H$4:$H$123, "&lt;"&amp;H131) + COUNTIFS($C$4:C131, C131, $H$4:H131, H131))</f>
        <v>8</v>
      </c>
      <c r="K131" s="94"/>
    </row>
    <row r="132" spans="1:11" ht="24.75" hidden="1" customHeight="1">
      <c r="A132" s="177"/>
      <c r="B132" s="108" t="str">
        <f>IF(DATA_IMPORT!A131="", "", DATA_IMPORT!A131)</f>
        <v/>
      </c>
      <c r="C132" s="115" t="str">
        <f>IF(DATA_IMPORT!C130="", "", DATA_IMPORT!C130)</f>
        <v/>
      </c>
      <c r="D132" s="113">
        <v>250</v>
      </c>
      <c r="E132" s="113">
        <v>250</v>
      </c>
      <c r="F132" s="113">
        <v>250</v>
      </c>
      <c r="G132" s="113">
        <v>250</v>
      </c>
      <c r="H132" s="111">
        <f t="shared" si="2"/>
        <v>1</v>
      </c>
      <c r="I132" s="243"/>
      <c r="J132" s="99" t="str">
        <f>C132 &amp; (COUNTIFS($C$4:$C$123, C132, $H$4:$H$123, "&lt;"&amp;H132) + COUNTIFS($C$4:C132, C132, $H$4:H132, H132))</f>
        <v>9</v>
      </c>
      <c r="K132" s="94"/>
    </row>
    <row r="133" spans="1:11" ht="24.75" hidden="1" customHeight="1">
      <c r="A133" s="177"/>
      <c r="B133" s="108" t="str">
        <f>IF(DATA_IMPORT!A132="", "", DATA_IMPORT!A132)</f>
        <v/>
      </c>
      <c r="C133" s="115" t="str">
        <f>IF(DATA_IMPORT!C131="", "", DATA_IMPORT!C131)</f>
        <v/>
      </c>
      <c r="D133" s="96"/>
      <c r="E133" s="96"/>
      <c r="F133" s="96"/>
      <c r="G133" s="96"/>
      <c r="H133" s="111">
        <f t="shared" ref="H133:H138" si="4">IF(D133=0, COUNTIF($C$4:$C$123, C133), COUNTIFS($C$4:$C$123, C133, $I$4:$I$123, "&gt;"&amp;I133) + 1)</f>
        <v>120</v>
      </c>
      <c r="I133" s="243"/>
      <c r="J133" s="99" t="str">
        <f>C133 &amp; (COUNTIFS($C$4:$C$123, C133, $H$4:$H$123, "&lt;"&amp;H133) + COUNTIFS($C$4:C133, C133, $H$4:H133, H133))</f>
        <v>121</v>
      </c>
      <c r="K133" s="94"/>
    </row>
    <row r="134" spans="1:11" ht="24.75" hidden="1" customHeight="1">
      <c r="A134" s="177"/>
      <c r="B134" s="108" t="str">
        <f>IF(DATA_IMPORT!A133="", "", DATA_IMPORT!A133)</f>
        <v/>
      </c>
      <c r="C134" s="115" t="str">
        <f>IF(DATA_IMPORT!C132="", "", DATA_IMPORT!C132)</f>
        <v/>
      </c>
      <c r="D134" s="96"/>
      <c r="E134" s="96"/>
      <c r="F134" s="96"/>
      <c r="G134" s="96"/>
      <c r="H134" s="111">
        <f t="shared" si="4"/>
        <v>120</v>
      </c>
      <c r="I134" s="243"/>
      <c r="J134" s="99" t="str">
        <f>C134 &amp; (COUNTIFS($C$4:$C$123, C134, $H$4:$H$123, "&lt;"&amp;H134) + COUNTIFS($C$4:C134, C134, $H$4:H134, H134))</f>
        <v>122</v>
      </c>
      <c r="K134" s="94"/>
    </row>
    <row r="135" spans="1:11" ht="24.75" hidden="1" customHeight="1">
      <c r="A135" s="177"/>
      <c r="B135" s="108" t="str">
        <f>IF(DATA_IMPORT!A134="", "", DATA_IMPORT!A134)</f>
        <v/>
      </c>
      <c r="C135" s="115" t="str">
        <f>IF(DATA_IMPORT!C133="", "", DATA_IMPORT!C133)</f>
        <v/>
      </c>
      <c r="D135" s="96"/>
      <c r="E135" s="96"/>
      <c r="F135" s="96"/>
      <c r="G135" s="96"/>
      <c r="H135" s="111">
        <f t="shared" si="4"/>
        <v>120</v>
      </c>
      <c r="I135" s="243"/>
      <c r="J135" s="99" t="str">
        <f>C135 &amp; (COUNTIFS($C$4:$C$123, C135, $H$4:$H$123, "&lt;"&amp;H135) + COUNTIFS($C$4:C135, C135, $H$4:H135, H135))</f>
        <v>123</v>
      </c>
      <c r="K135" s="94"/>
    </row>
    <row r="136" spans="1:11" ht="24.75" hidden="1" customHeight="1">
      <c r="A136" s="177"/>
      <c r="B136" s="108" t="str">
        <f>IF(DATA_IMPORT!A135="", "", DATA_IMPORT!A135)</f>
        <v/>
      </c>
      <c r="C136" s="115" t="str">
        <f>IF(DATA_IMPORT!C134="", "", DATA_IMPORT!C134)</f>
        <v/>
      </c>
      <c r="D136" s="96"/>
      <c r="E136" s="96"/>
      <c r="F136" s="96"/>
      <c r="G136" s="96"/>
      <c r="H136" s="111">
        <f t="shared" si="4"/>
        <v>120</v>
      </c>
      <c r="I136" s="243"/>
      <c r="J136" s="99" t="str">
        <f>C136 &amp; (COUNTIFS($C$4:$C$123, C136, $H$4:$H$123, "&lt;"&amp;H136) + COUNTIFS($C$4:C136, C136, $H$4:H136, H136))</f>
        <v>124</v>
      </c>
      <c r="K136" s="94"/>
    </row>
    <row r="137" spans="1:11" ht="24.75" hidden="1" customHeight="1">
      <c r="A137" s="177"/>
      <c r="B137" s="108" t="str">
        <f>IF(DATA_IMPORT!A136="", "", DATA_IMPORT!A136)</f>
        <v/>
      </c>
      <c r="C137" s="115" t="str">
        <f>IF(DATA_IMPORT!C135="", "", DATA_IMPORT!C135)</f>
        <v/>
      </c>
      <c r="D137" s="96"/>
      <c r="E137" s="96"/>
      <c r="F137" s="96"/>
      <c r="G137" s="96"/>
      <c r="H137" s="111">
        <f t="shared" si="4"/>
        <v>120</v>
      </c>
      <c r="I137" s="243"/>
      <c r="J137" s="99" t="str">
        <f>C137 &amp; (COUNTIFS($C$4:$C$123, C137, $H$4:$H$123, "&lt;"&amp;H137) + COUNTIFS($C$4:C137, C137, $H$4:H137, H137))</f>
        <v>125</v>
      </c>
      <c r="K137" s="94"/>
    </row>
    <row r="138" spans="1:11" ht="24.75" hidden="1" customHeight="1">
      <c r="A138" s="177"/>
      <c r="B138" s="108" t="str">
        <f>IF(DATA_IMPORT!A137="", "", DATA_IMPORT!A137)</f>
        <v/>
      </c>
      <c r="C138" s="115" t="str">
        <f>IF(DATA_IMPORT!C136="", "", DATA_IMPORT!C136)</f>
        <v/>
      </c>
      <c r="D138" s="96"/>
      <c r="E138" s="96"/>
      <c r="F138" s="96"/>
      <c r="G138" s="96"/>
      <c r="H138" s="111">
        <f t="shared" si="4"/>
        <v>120</v>
      </c>
      <c r="I138" s="243"/>
      <c r="J138" s="99" t="str">
        <f>C138 &amp; (COUNTIFS($C$4:$C$123, C138, $H$4:$H$123, "&lt;"&amp;H138) + COUNTIFS($C$4:C138, C138, $H$4:H138, H138))</f>
        <v>126</v>
      </c>
      <c r="K138" s="94"/>
    </row>
    <row r="139" spans="1:11" ht="24.75" hidden="1" customHeight="1">
      <c r="A139" s="178"/>
      <c r="B139" s="108" t="str">
        <f>IF(DATA_IMPORT!A138="", "", DATA_IMPORT!A138)</f>
        <v/>
      </c>
      <c r="C139" s="115" t="str">
        <f>IF(DATA_IMPORT!C137="", "", DATA_IMPORT!C137)</f>
        <v/>
      </c>
      <c r="D139" s="69"/>
      <c r="E139" s="69"/>
      <c r="F139" s="69"/>
      <c r="G139" s="69"/>
      <c r="H139" s="109" t="str">
        <f>IF(B139="", "", IF(D139=0, COUNTIFS($C$4:$C$123, C139), COUNTIFS($C$4:$C$123, C139, $D$4:$D$123, "&gt;"&amp;D139) + 1))</f>
        <v/>
      </c>
      <c r="I139" s="244"/>
      <c r="J139" s="99" t="str">
        <f>C139 &amp; (COUNTIFS($C$4:$C$123, C139, $H$4:$H$123, "&lt;"&amp;H139) + COUNTIFS($C$4:C139, C139, $H$4:H139, H139))</f>
        <v>1</v>
      </c>
      <c r="K139" s="94"/>
    </row>
    <row r="140" spans="1:11" ht="24.75" hidden="1" customHeight="1">
      <c r="B140" s="108" t="str">
        <f>IF(DATA_IMPORT!A139="", "", DATA_IMPORT!A139)</f>
        <v/>
      </c>
      <c r="C140" s="115" t="str">
        <f>IF(DATA_IMPORT!C138="", "", DATA_IMPORT!C138)</f>
        <v/>
      </c>
      <c r="D140" s="33"/>
      <c r="E140" s="33"/>
      <c r="F140" s="33"/>
      <c r="G140" s="69"/>
      <c r="H140" s="109" t="str">
        <f>IF(B140="", "", IF(D140=0, COUNTIFS($C$4:$C$123, C140), COUNTIFS($C$4:$C$123, C140, $D$4:$D$123, "&gt;"&amp;D140) + 1))</f>
        <v/>
      </c>
      <c r="I140" s="245"/>
      <c r="J140" s="99" t="str">
        <f>C140 &amp; (COUNTIFS($C$4:$C$123, C140, $H$4:$H$123, "&lt;"&amp;H140) + COUNTIFS($C$4:C140, C140, $H$4:H140, H140))</f>
        <v>2</v>
      </c>
    </row>
    <row r="141" spans="1:11" ht="24.75" hidden="1" customHeight="1">
      <c r="B141" s="108" t="str">
        <f>IF(DATA_IMPORT!A140="", "", DATA_IMPORT!A140)</f>
        <v/>
      </c>
      <c r="C141" s="115" t="str">
        <f>IF(DATA_IMPORT!C139="", "", DATA_IMPORT!C139)</f>
        <v/>
      </c>
      <c r="D141" s="33"/>
      <c r="E141" s="33"/>
      <c r="F141" s="33"/>
      <c r="G141" s="69"/>
      <c r="H141" s="109" t="str">
        <f>IF(B141="", "", IF(D141=0, COUNTIFS($C$4:$C$123, C141), COUNTIFS($C$4:$C$123, C141, $D$4:$D$123, "&gt;"&amp;D141) + 1))</f>
        <v/>
      </c>
      <c r="I141" s="245"/>
      <c r="J141" s="99" t="str">
        <f>C141 &amp; (COUNTIFS($C$4:$C$123, C141, $H$4:$H$123, "&lt;"&amp;H141) + COUNTIFS($C$4:C141, C141, $H$4:H141, H141))</f>
        <v>3</v>
      </c>
    </row>
    <row r="142" spans="1:11" ht="24.75" hidden="1" customHeight="1">
      <c r="B142" s="108" t="str">
        <f>IF(DATA_IMPORT!A141="", "", DATA_IMPORT!A141)</f>
        <v/>
      </c>
      <c r="C142" s="115" t="str">
        <f>IF(DATA_IMPORT!C140="", "", DATA_IMPORT!C140)</f>
        <v/>
      </c>
      <c r="D142" s="33"/>
      <c r="E142" s="33"/>
      <c r="F142" s="33"/>
      <c r="G142" s="69"/>
      <c r="H142" s="109" t="str">
        <f>IF(B142="", "", IF(D142=0, COUNTIFS($C$4:$C$123, C142), COUNTIFS($C$4:$C$123, C142, $D$4:$D$123, "&gt;"&amp;D142) + 1))</f>
        <v/>
      </c>
      <c r="I142" s="245"/>
      <c r="J142" s="99" t="str">
        <f>C142 &amp; (COUNTIFS($C$4:$C$123, C142, $H$4:$H$123, "&lt;"&amp;H142) + COUNTIFS($C$4:C142, C142, $H$4:H142, H142))</f>
        <v>4</v>
      </c>
    </row>
    <row r="143" spans="1:11" ht="24.75" hidden="1" customHeight="1">
      <c r="B143" s="108" t="str">
        <f>IF(DATA_IMPORT!A142="", "", DATA_IMPORT!A142)</f>
        <v/>
      </c>
      <c r="C143" s="115" t="str">
        <f>IF(DATA_IMPORT!C141="", "", DATA_IMPORT!C141)</f>
        <v/>
      </c>
      <c r="D143" s="33"/>
      <c r="E143" s="33"/>
      <c r="F143" s="33"/>
      <c r="G143" s="69"/>
      <c r="H143" s="109" t="str">
        <f>IF(B143="", "", IF(D143=0, COUNTIFS($C$4:$C$123, C143), COUNTIFS($C$4:$C$123, C143, $D$4:$D$123, "&gt;"&amp;D143) + 1))</f>
        <v/>
      </c>
      <c r="I143" s="245"/>
      <c r="J143" s="99" t="str">
        <f>C143 &amp; (COUNTIFS($C$4:$C$123, C143, $H$4:$H$123, "&lt;"&amp;H143) + COUNTIFS($C$4:C143, C143, $H$4:H143, H143))</f>
        <v>5</v>
      </c>
    </row>
    <row r="144" spans="1:11" ht="24.75" hidden="1" customHeight="1">
      <c r="B144" s="108" t="str">
        <f>IF(DATA_IMPORT!A143="", "", DATA_IMPORT!A143)</f>
        <v/>
      </c>
      <c r="C144" s="115" t="str">
        <f>IF(DATA_IMPORT!C142="", "", DATA_IMPORT!C142)</f>
        <v/>
      </c>
      <c r="D144" s="33"/>
      <c r="E144" s="33"/>
      <c r="F144" s="33"/>
      <c r="G144" s="69"/>
      <c r="H144" s="109" t="str">
        <f>IF(B144="", "", IF(D144=0, COUNTIFS($C$4:$C$123, C144), COUNTIFS($C$4:$C$123, C144, $D$4:$D$123, "&gt;"&amp;D144) + 1))</f>
        <v/>
      </c>
      <c r="I144" s="245"/>
      <c r="J144" s="99" t="str">
        <f>C144 &amp; (COUNTIFS($C$4:$C$123, C144, $H$4:$H$123, "&lt;"&amp;H144) + COUNTIFS($C$4:C144, C144, $H$4:H144, H144))</f>
        <v>6</v>
      </c>
    </row>
    <row r="145" spans="2:10" ht="24.75" hidden="1" customHeight="1">
      <c r="B145" s="108" t="str">
        <f>IF(DATA_IMPORT!A144="", "", DATA_IMPORT!A144)</f>
        <v/>
      </c>
      <c r="C145" s="115" t="str">
        <f>IF(DATA_IMPORT!C143="", "", DATA_IMPORT!C143)</f>
        <v/>
      </c>
      <c r="D145" s="33"/>
      <c r="E145" s="33"/>
      <c r="F145" s="33"/>
      <c r="G145" s="69"/>
      <c r="H145" s="109" t="str">
        <f>IF(B145="", "", IF(D145=0, COUNTIFS($C$4:$C$123, C145), COUNTIFS($C$4:$C$123, C145, $D$4:$D$123, "&gt;"&amp;D145) + 1))</f>
        <v/>
      </c>
      <c r="I145" s="245"/>
      <c r="J145" s="99" t="str">
        <f>C145 &amp; (COUNTIFS($C$4:$C$123, C145, $H$4:$H$123, "&lt;"&amp;H145) + COUNTIFS($C$4:C145, C145, $H$4:H145, H145))</f>
        <v>7</v>
      </c>
    </row>
    <row r="146" spans="2:10" ht="24.75" hidden="1" customHeight="1">
      <c r="B146" s="108" t="str">
        <f>IF(DATA_IMPORT!A145="", "", DATA_IMPORT!A145)</f>
        <v/>
      </c>
      <c r="C146" s="115" t="str">
        <f>IF(DATA_IMPORT!C144="", "", DATA_IMPORT!C144)</f>
        <v/>
      </c>
      <c r="D146" s="33"/>
      <c r="E146" s="33"/>
      <c r="F146" s="33"/>
      <c r="G146" s="69"/>
      <c r="H146" s="109" t="str">
        <f>IF(B146="", "", IF(D146=0, COUNTIFS($C$4:$C$123, C146), COUNTIFS($C$4:$C$123, C146, $D$4:$D$123, "&gt;"&amp;D146) + 1))</f>
        <v/>
      </c>
      <c r="I146" s="245"/>
      <c r="J146" s="99" t="str">
        <f>C146 &amp; (COUNTIFS($C$4:$C$123, C146, $H$4:$H$123, "&lt;"&amp;H146) + COUNTIFS($C$4:C146, C146, $H$4:H146, H146))</f>
        <v>8</v>
      </c>
    </row>
    <row r="147" spans="2:10" ht="24.75" hidden="1" customHeight="1">
      <c r="B147" s="108" t="str">
        <f>IF(DATA_IMPORT!A146="", "", DATA_IMPORT!A146)</f>
        <v/>
      </c>
      <c r="C147" s="115" t="str">
        <f>IF(DATA_IMPORT!C145="", "", DATA_IMPORT!C145)</f>
        <v/>
      </c>
      <c r="D147" s="33"/>
      <c r="E147" s="33"/>
      <c r="F147" s="33"/>
      <c r="G147" s="69"/>
      <c r="H147" s="109" t="str">
        <f>IF(B147="", "", IF(D147=0, COUNTIFS($C$4:$C$123, C147), COUNTIFS($C$4:$C$123, C147, $D$4:$D$123, "&gt;"&amp;D147) + 1))</f>
        <v/>
      </c>
      <c r="I147" s="245"/>
      <c r="J147" s="99" t="str">
        <f>C147 &amp; (COUNTIFS($C$4:$C$123, C147, $H$4:$H$123, "&lt;"&amp;H147) + COUNTIFS($C$4:C147, C147, $H$4:H147, H147))</f>
        <v>9</v>
      </c>
    </row>
    <row r="148" spans="2:10" ht="24.75" hidden="1" customHeight="1">
      <c r="B148" s="108" t="str">
        <f>IF(DATA_IMPORT!A147="", "", DATA_IMPORT!A147)</f>
        <v/>
      </c>
      <c r="C148" s="115" t="str">
        <f>IF(DATA_IMPORT!C146="", "", DATA_IMPORT!C146)</f>
        <v/>
      </c>
      <c r="D148" s="33"/>
      <c r="E148" s="33"/>
      <c r="F148" s="33"/>
      <c r="G148" s="69"/>
      <c r="H148" s="109" t="str">
        <f>IF(B148="", "", IF(D148=0, COUNTIFS($C$4:$C$123, C148), COUNTIFS($C$4:$C$123, C148, $D$4:$D$123, "&gt;"&amp;D148) + 1))</f>
        <v/>
      </c>
      <c r="I148" s="245"/>
      <c r="J148" s="99" t="str">
        <f>C148 &amp; (COUNTIFS($C$4:$C$123, C148, $H$4:$H$123, "&lt;"&amp;H148) + COUNTIFS($C$4:C148, C148, $H$4:H148, H148))</f>
        <v>10</v>
      </c>
    </row>
    <row r="149" spans="2:10" ht="24.75" hidden="1" customHeight="1">
      <c r="B149" s="108" t="str">
        <f>IF(DATA_IMPORT!A148="", "", DATA_IMPORT!A148)</f>
        <v/>
      </c>
      <c r="C149" s="115" t="str">
        <f>IF(DATA_IMPORT!C147="", "", DATA_IMPORT!C147)</f>
        <v/>
      </c>
      <c r="D149" s="33"/>
      <c r="E149" s="33"/>
      <c r="F149" s="33"/>
      <c r="G149" s="69"/>
      <c r="H149" s="109" t="str">
        <f>IF(B149="", "", IF(D149=0, COUNTIFS($C$4:$C$123, C149), COUNTIFS($C$4:$C$123, C149, $D$4:$D$123, "&gt;"&amp;D149) + 1))</f>
        <v/>
      </c>
      <c r="I149" s="245"/>
      <c r="J149" s="99" t="str">
        <f>C149 &amp; (COUNTIFS($C$4:$C$123, C149, $H$4:$H$123, "&lt;"&amp;H149) + COUNTIFS($C$4:C149, C149, $H$4:H149, H149))</f>
        <v>11</v>
      </c>
    </row>
    <row r="150" spans="2:10" ht="24.75" hidden="1" customHeight="1">
      <c r="B150" s="108" t="str">
        <f>IF(DATA_IMPORT!A149="", "", DATA_IMPORT!A149)</f>
        <v/>
      </c>
      <c r="C150" s="115" t="str">
        <f>IF(DATA_IMPORT!C148="", "", DATA_IMPORT!C148)</f>
        <v/>
      </c>
      <c r="D150" s="33"/>
      <c r="E150" s="33"/>
      <c r="F150" s="33"/>
      <c r="G150" s="69"/>
      <c r="H150" s="109" t="str">
        <f>IF(B150="", "", IF(D150=0, COUNTIFS($C$4:$C$123, C150), COUNTIFS($C$4:$C$123, C150, $D$4:$D$123, "&gt;"&amp;D150) + 1))</f>
        <v/>
      </c>
      <c r="I150" s="245"/>
      <c r="J150" s="99" t="str">
        <f>C150 &amp; (COUNTIFS($C$4:$C$123, C150, $H$4:$H$123, "&lt;"&amp;H150) + COUNTIFS($C$4:C150, C150, $H$4:H150, H150))</f>
        <v>12</v>
      </c>
    </row>
    <row r="151" spans="2:10" ht="24.75" hidden="1" customHeight="1">
      <c r="B151" s="10"/>
      <c r="C151" s="115" t="str">
        <f>IF(DATA_IMPORT!C149="", "", DATA_IMPORT!C149)</f>
        <v/>
      </c>
      <c r="D151" s="33"/>
      <c r="E151" s="33"/>
      <c r="F151" s="33"/>
      <c r="G151" s="69"/>
      <c r="H151" s="109" t="str">
        <f>IF(B151="", "", IF(D151=0, COUNTIFS($C$4:$C$123, C151), COUNTIFS($C$4:$C$123, C151, $D$4:$D$123, "&gt;"&amp;D151) + 1))</f>
        <v/>
      </c>
      <c r="I151" s="245"/>
      <c r="J151" s="99" t="str">
        <f>C151 &amp; (COUNTIFS($C$4:$C$123, C151, $H$4:$H$123, "&lt;"&amp;H151) + COUNTIFS($C$4:C151, C151, $H$4:H151, H151))</f>
        <v>13</v>
      </c>
    </row>
    <row r="152" spans="2:10" ht="24.75" hidden="1" customHeight="1">
      <c r="B152" s="10"/>
      <c r="C152" s="115" t="str">
        <f>IF(DATA_IMPORT!C150="", "", DATA_IMPORT!C150)</f>
        <v/>
      </c>
      <c r="D152" s="33"/>
      <c r="E152" s="33"/>
      <c r="F152" s="33"/>
      <c r="G152" s="69"/>
      <c r="H152" s="109" t="str">
        <f>IF(B152="", "", IF(D152=0, COUNTIFS($C$4:$C$123, C152), COUNTIFS($C$4:$C$123, C152, $D$4:$D$123, "&gt;"&amp;D152) + 1))</f>
        <v/>
      </c>
      <c r="I152" s="245"/>
      <c r="J152" s="99" t="str">
        <f>C152 &amp; (COUNTIFS($C$4:$C$123, C152, $H$4:$H$123, "&lt;"&amp;H152) + COUNTIFS($C$4:C152, C152, $H$4:H152, H152))</f>
        <v>14</v>
      </c>
    </row>
    <row r="153" spans="2:10" ht="24.75" hidden="1" customHeight="1">
      <c r="B153" s="10"/>
      <c r="C153" s="115" t="str">
        <f>IF(DATA_IMPORT!C151="", "", DATA_IMPORT!C151)</f>
        <v/>
      </c>
      <c r="D153" s="33"/>
      <c r="E153" s="33"/>
      <c r="F153" s="33"/>
      <c r="G153" s="69"/>
      <c r="H153" s="109" t="str">
        <f>IF(B153="", "", IF(D153=0, COUNTIFS($C$4:$C$123, C153), COUNTIFS($C$4:$C$123, C153, $D$4:$D$123, "&gt;"&amp;D153) + 1))</f>
        <v/>
      </c>
      <c r="I153" s="245"/>
      <c r="J153" s="99" t="str">
        <f>C153 &amp; (COUNTIFS($C$4:$C$123, C153, $H$4:$H$123, "&lt;"&amp;H153) + COUNTIFS($C$4:C153, C153, $H$4:H153, H153))</f>
        <v>15</v>
      </c>
    </row>
    <row r="154" spans="2:10" ht="24.75" hidden="1" customHeight="1">
      <c r="B154" s="10"/>
      <c r="C154" s="115" t="str">
        <f>IF(DATA_IMPORT!C152="", "", DATA_IMPORT!C152)</f>
        <v/>
      </c>
      <c r="D154" s="33"/>
      <c r="E154" s="33"/>
      <c r="F154" s="33"/>
      <c r="G154" s="69"/>
      <c r="H154" s="109" t="str">
        <f>IF(B154="", "", IF(D154=0, COUNTIFS($C$4:$C$123, C154), COUNTIFS($C$4:$C$123, C154, $D$4:$D$123, "&gt;"&amp;D154) + 1))</f>
        <v/>
      </c>
      <c r="I154" s="245"/>
    </row>
    <row r="155" spans="2:10" ht="24.75" hidden="1" customHeight="1">
      <c r="B155" s="10"/>
      <c r="C155" s="115" t="str">
        <f>IF(DATA_IMPORT!C153="", "", DATA_IMPORT!C153)</f>
        <v/>
      </c>
      <c r="D155" s="33"/>
      <c r="E155" s="33"/>
      <c r="F155" s="33"/>
      <c r="G155" s="69"/>
      <c r="H155" s="109" t="str">
        <f>IF(B155="", "", IF(D155=0, COUNTIFS($C$4:$C$123, C155), COUNTIFS($C$4:$C$123, C155, $D$4:$D$123, "&gt;"&amp;D155) + 1))</f>
        <v/>
      </c>
      <c r="I155" s="245"/>
    </row>
    <row r="156" spans="2:10" ht="24.75" hidden="1" customHeight="1">
      <c r="B156" s="10"/>
      <c r="C156" s="115" t="str">
        <f>IF(DATA_IMPORT!C154="", "", DATA_IMPORT!C154)</f>
        <v/>
      </c>
      <c r="D156" s="33"/>
      <c r="E156" s="33"/>
      <c r="F156" s="33"/>
      <c r="G156" s="69"/>
      <c r="H156" s="109" t="str">
        <f>IF(B156="", "", IF(D156=0, COUNTIFS($C$4:$C$123, C156), COUNTIFS($C$4:$C$123, C156, $D$4:$D$123, "&gt;"&amp;D156) + 1))</f>
        <v/>
      </c>
      <c r="I156" s="245"/>
    </row>
    <row r="157" spans="2:10" ht="24.75" hidden="1" customHeight="1">
      <c r="B157" s="10"/>
      <c r="C157" s="10"/>
      <c r="D157" s="33"/>
      <c r="E157" s="33"/>
      <c r="F157" s="33"/>
      <c r="G157" s="69"/>
      <c r="H157" s="109" t="str">
        <f>IF(B157="", "", IF(D157=0, COUNTIFS($C$4:$C$123, C157), COUNTIFS($C$4:$C$123, C157, $D$4:$D$123, "&gt;"&amp;D157) + 1))</f>
        <v/>
      </c>
      <c r="I157" s="245"/>
    </row>
    <row r="158" spans="2:10" ht="24.75" hidden="1" customHeight="1">
      <c r="B158" s="10"/>
      <c r="C158" s="10"/>
      <c r="D158" s="10"/>
      <c r="E158" s="10"/>
      <c r="F158" s="10"/>
      <c r="G158" s="12"/>
      <c r="H158" s="73"/>
      <c r="I158" s="245"/>
    </row>
    <row r="159" spans="2:10" ht="24.75" hidden="1" customHeight="1">
      <c r="B159" s="10"/>
      <c r="C159" s="10"/>
      <c r="D159" s="10"/>
      <c r="E159" s="10"/>
      <c r="F159" s="10"/>
      <c r="G159" s="12"/>
      <c r="H159" s="73"/>
      <c r="I159" s="245"/>
    </row>
    <row r="160" spans="2:10" ht="24.75" hidden="1" customHeight="1">
      <c r="B160" s="10"/>
      <c r="C160" s="10"/>
      <c r="D160" s="10"/>
      <c r="E160" s="10"/>
      <c r="F160" s="10"/>
      <c r="G160" s="12"/>
      <c r="H160" s="73"/>
      <c r="I160" s="245"/>
    </row>
    <row r="161" spans="2:9" ht="24.75" hidden="1" customHeight="1">
      <c r="B161" s="10"/>
      <c r="C161" s="10"/>
      <c r="D161" s="10"/>
      <c r="E161" s="10"/>
      <c r="F161" s="10"/>
      <c r="G161" s="12"/>
      <c r="H161" s="73"/>
      <c r="I161" s="245"/>
    </row>
    <row r="162" spans="2:9" ht="24.75" hidden="1" customHeight="1">
      <c r="B162" s="10"/>
      <c r="C162" s="10"/>
      <c r="D162" s="10"/>
      <c r="E162" s="10"/>
      <c r="F162" s="10"/>
      <c r="G162" s="12"/>
      <c r="H162" s="73"/>
      <c r="I162" s="245"/>
    </row>
    <row r="163" spans="2:9" ht="24.75" hidden="1" customHeight="1">
      <c r="B163" s="10"/>
      <c r="C163" s="10"/>
      <c r="D163" s="10"/>
      <c r="E163" s="10"/>
      <c r="F163" s="10"/>
      <c r="G163" s="12"/>
      <c r="H163" s="73"/>
      <c r="I163" s="245"/>
    </row>
    <row r="164" spans="2:9" ht="24.75" hidden="1" customHeight="1">
      <c r="B164" s="10"/>
      <c r="C164" s="10"/>
      <c r="D164" s="10"/>
      <c r="E164" s="10"/>
      <c r="F164" s="10"/>
      <c r="G164" s="12"/>
      <c r="H164" s="73"/>
      <c r="I164" s="245"/>
    </row>
    <row r="165" spans="2:9" ht="24.75" hidden="1" customHeight="1">
      <c r="B165" s="10"/>
      <c r="C165" s="10"/>
      <c r="D165" s="10"/>
      <c r="E165" s="10"/>
      <c r="F165" s="10"/>
      <c r="G165" s="12"/>
      <c r="H165" s="73"/>
      <c r="I165" s="245"/>
    </row>
    <row r="166" spans="2:9" ht="24.75" hidden="1" customHeight="1">
      <c r="B166" s="10"/>
      <c r="C166" s="10"/>
      <c r="D166" s="10"/>
      <c r="E166" s="10"/>
      <c r="F166" s="10"/>
      <c r="G166" s="12"/>
      <c r="H166" s="73"/>
      <c r="I166" s="245"/>
    </row>
    <row r="167" spans="2:9" ht="24.75" hidden="1" customHeight="1">
      <c r="B167" s="10"/>
      <c r="C167" s="10"/>
      <c r="D167" s="10"/>
      <c r="E167" s="10"/>
      <c r="F167" s="10"/>
      <c r="G167" s="12"/>
      <c r="H167" s="73"/>
      <c r="I167" s="245"/>
    </row>
    <row r="168" spans="2:9" ht="24.75" hidden="1" customHeight="1">
      <c r="B168" s="11"/>
      <c r="C168" s="11"/>
      <c r="D168" s="11"/>
      <c r="E168" s="11"/>
      <c r="F168" s="11"/>
      <c r="G168" s="70"/>
      <c r="H168" s="73"/>
      <c r="I168" s="245"/>
    </row>
    <row r="169" spans="2:9" ht="24.75" hidden="1" customHeight="1">
      <c r="B169" s="10"/>
      <c r="C169" s="10"/>
      <c r="D169" s="10"/>
      <c r="E169" s="10"/>
      <c r="F169" s="10"/>
      <c r="G169" s="12"/>
      <c r="H169" s="73"/>
      <c r="I169" s="245"/>
    </row>
    <row r="170" spans="2:9" ht="24.75" hidden="1" customHeight="1">
      <c r="B170" s="10"/>
      <c r="C170" s="10"/>
      <c r="D170" s="10"/>
      <c r="E170" s="10"/>
      <c r="F170" s="10"/>
      <c r="G170" s="12"/>
      <c r="H170" s="73"/>
      <c r="I170" s="245"/>
    </row>
    <row r="171" spans="2:9" ht="24.75" hidden="1" customHeight="1">
      <c r="B171" s="10"/>
      <c r="C171" s="10"/>
      <c r="D171" s="10"/>
      <c r="E171" s="10"/>
      <c r="F171" s="10"/>
      <c r="G171" s="12"/>
      <c r="H171" s="73"/>
      <c r="I171" s="245"/>
    </row>
    <row r="172" spans="2:9" ht="24.75" hidden="1" customHeight="1">
      <c r="B172" s="10"/>
      <c r="C172" s="10"/>
      <c r="D172" s="10"/>
      <c r="E172" s="10"/>
      <c r="F172" s="10"/>
      <c r="G172" s="12"/>
      <c r="H172" s="73"/>
      <c r="I172" s="245"/>
    </row>
    <row r="173" spans="2:9" ht="24.75" hidden="1" customHeight="1">
      <c r="B173" s="10"/>
      <c r="C173" s="10"/>
      <c r="D173" s="10"/>
      <c r="E173" s="10"/>
      <c r="F173" s="10"/>
      <c r="G173" s="12"/>
      <c r="H173" s="73"/>
      <c r="I173" s="245"/>
    </row>
    <row r="174" spans="2:9" ht="24.75" hidden="1" customHeight="1">
      <c r="B174" s="10"/>
      <c r="C174" s="10"/>
      <c r="D174" s="10"/>
      <c r="E174" s="10"/>
      <c r="F174" s="10"/>
      <c r="G174" s="12"/>
      <c r="H174" s="73"/>
      <c r="I174" s="245"/>
    </row>
    <row r="175" spans="2:9" ht="24.75" hidden="1" customHeight="1">
      <c r="B175" s="10"/>
      <c r="C175" s="10"/>
      <c r="D175" s="10"/>
      <c r="E175" s="10"/>
      <c r="F175" s="10"/>
      <c r="G175" s="12"/>
      <c r="H175" s="73"/>
      <c r="I175" s="245"/>
    </row>
    <row r="176" spans="2:9" ht="24.75" hidden="1" customHeight="1">
      <c r="B176" s="10"/>
      <c r="C176" s="10"/>
      <c r="D176" s="10"/>
      <c r="E176" s="10"/>
      <c r="F176" s="10"/>
      <c r="G176" s="12"/>
      <c r="H176" s="73"/>
      <c r="I176" s="245"/>
    </row>
    <row r="177" spans="2:9" ht="24.75" hidden="1" customHeight="1">
      <c r="B177" s="10"/>
      <c r="C177" s="10"/>
      <c r="D177" s="10"/>
      <c r="E177" s="10"/>
      <c r="F177" s="10"/>
      <c r="G177" s="12"/>
      <c r="H177" s="73"/>
      <c r="I177" s="245"/>
    </row>
    <row r="178" spans="2:9" ht="24.75" hidden="1" customHeight="1">
      <c r="B178" s="10"/>
      <c r="C178" s="10"/>
      <c r="D178" s="10"/>
      <c r="E178" s="10"/>
      <c r="F178" s="10"/>
      <c r="G178" s="12"/>
      <c r="H178" s="73"/>
      <c r="I178" s="245"/>
    </row>
    <row r="179" spans="2:9" ht="24.75" hidden="1" customHeight="1">
      <c r="B179" s="10"/>
      <c r="C179" s="10"/>
      <c r="D179" s="10"/>
      <c r="E179" s="10"/>
      <c r="F179" s="10"/>
      <c r="G179" s="12"/>
      <c r="H179" s="73"/>
      <c r="I179" s="245"/>
    </row>
    <row r="180" spans="2:9" ht="24.75" hidden="1" customHeight="1">
      <c r="B180" s="10"/>
      <c r="C180" s="10"/>
      <c r="D180" s="10"/>
      <c r="E180" s="10"/>
      <c r="F180" s="10"/>
      <c r="G180" s="12"/>
      <c r="H180" s="73"/>
      <c r="I180" s="245"/>
    </row>
    <row r="181" spans="2:9" ht="24.75" hidden="1" customHeight="1">
      <c r="B181" s="10"/>
      <c r="C181" s="10"/>
      <c r="D181" s="10"/>
      <c r="E181" s="10"/>
      <c r="F181" s="10"/>
      <c r="G181" s="12"/>
      <c r="H181" s="73"/>
      <c r="I181" s="245"/>
    </row>
    <row r="182" spans="2:9" ht="24.75" hidden="1" customHeight="1">
      <c r="B182" s="10"/>
      <c r="C182" s="10"/>
      <c r="D182" s="10"/>
      <c r="E182" s="10"/>
      <c r="F182" s="10"/>
      <c r="G182" s="12"/>
      <c r="H182" s="73"/>
      <c r="I182" s="245"/>
    </row>
    <row r="183" spans="2:9" ht="24.75" hidden="1" customHeight="1">
      <c r="B183" s="10"/>
      <c r="C183" s="10"/>
      <c r="D183" s="10"/>
      <c r="E183" s="10"/>
      <c r="F183" s="10"/>
      <c r="G183" s="12"/>
      <c r="H183" s="73"/>
      <c r="I183" s="245"/>
    </row>
    <row r="184" spans="2:9" ht="24.75" hidden="1" customHeight="1">
      <c r="B184" s="10"/>
      <c r="C184" s="10"/>
      <c r="D184" s="10"/>
      <c r="E184" s="10"/>
      <c r="F184" s="10"/>
      <c r="G184" s="12"/>
      <c r="H184" s="73"/>
      <c r="I184" s="245"/>
    </row>
    <row r="185" spans="2:9" ht="24.75" hidden="1" customHeight="1">
      <c r="B185" s="10"/>
      <c r="C185" s="10"/>
      <c r="D185" s="10"/>
      <c r="E185" s="10"/>
      <c r="F185" s="10"/>
      <c r="G185" s="12"/>
      <c r="H185" s="73"/>
      <c r="I185" s="245"/>
    </row>
    <row r="186" spans="2:9" ht="24.75" hidden="1" customHeight="1">
      <c r="B186" s="10"/>
      <c r="C186" s="10"/>
      <c r="D186" s="10"/>
      <c r="E186" s="10"/>
      <c r="F186" s="10"/>
      <c r="G186" s="12"/>
      <c r="H186" s="73"/>
      <c r="I186" s="245"/>
    </row>
    <row r="187" spans="2:9" ht="24.75" hidden="1" customHeight="1">
      <c r="B187" s="10"/>
      <c r="C187" s="10"/>
      <c r="D187" s="10"/>
      <c r="E187" s="10"/>
      <c r="F187" s="10"/>
      <c r="G187" s="12"/>
      <c r="H187" s="73"/>
      <c r="I187" s="245"/>
    </row>
    <row r="188" spans="2:9" ht="24.75" hidden="1" customHeight="1">
      <c r="B188" s="10"/>
      <c r="C188" s="10"/>
      <c r="D188" s="10"/>
      <c r="E188" s="10"/>
      <c r="F188" s="10"/>
      <c r="G188" s="12"/>
      <c r="H188" s="73"/>
      <c r="I188" s="245"/>
    </row>
    <row r="189" spans="2:9" ht="24.75" hidden="1" customHeight="1">
      <c r="B189" s="10"/>
      <c r="C189" s="10"/>
      <c r="D189" s="10"/>
      <c r="E189" s="10"/>
      <c r="F189" s="10"/>
      <c r="G189" s="12"/>
      <c r="H189" s="73"/>
      <c r="I189" s="245"/>
    </row>
    <row r="190" spans="2:9" ht="24.75" hidden="1" customHeight="1">
      <c r="B190" s="10"/>
      <c r="C190" s="10"/>
      <c r="D190" s="10"/>
      <c r="E190" s="10"/>
      <c r="F190" s="10"/>
      <c r="G190" s="12"/>
      <c r="H190" s="73"/>
      <c r="I190" s="245"/>
    </row>
    <row r="191" spans="2:9" ht="24.75" hidden="1" customHeight="1">
      <c r="B191" s="10"/>
      <c r="C191" s="10"/>
      <c r="D191" s="10"/>
      <c r="E191" s="10"/>
      <c r="F191" s="10"/>
      <c r="G191" s="12"/>
      <c r="H191" s="73"/>
      <c r="I191" s="245"/>
    </row>
    <row r="192" spans="2:9" ht="24.75" hidden="1" customHeight="1">
      <c r="B192" s="10"/>
      <c r="C192" s="10"/>
      <c r="D192" s="10"/>
      <c r="E192" s="10"/>
      <c r="F192" s="10"/>
      <c r="G192" s="12"/>
      <c r="H192" s="73"/>
      <c r="I192" s="245"/>
    </row>
    <row r="193" spans="2:9" ht="24.75" hidden="1" customHeight="1">
      <c r="B193" s="10"/>
      <c r="C193" s="10"/>
      <c r="D193" s="10"/>
      <c r="E193" s="10"/>
      <c r="F193" s="10"/>
      <c r="G193" s="12"/>
      <c r="H193" s="73"/>
      <c r="I193" s="245"/>
    </row>
    <row r="194" spans="2:9" ht="24.75" hidden="1" customHeight="1">
      <c r="B194" s="10"/>
      <c r="C194" s="10"/>
      <c r="D194" s="10"/>
      <c r="E194" s="10"/>
      <c r="F194" s="10"/>
      <c r="G194" s="12"/>
      <c r="H194" s="73"/>
      <c r="I194" s="245"/>
    </row>
    <row r="195" spans="2:9" ht="24.75" hidden="1" customHeight="1">
      <c r="B195" s="10"/>
      <c r="C195" s="10"/>
      <c r="D195" s="10"/>
      <c r="E195" s="10"/>
      <c r="F195" s="10"/>
      <c r="G195" s="12"/>
      <c r="H195" s="73"/>
      <c r="I195" s="245"/>
    </row>
    <row r="196" spans="2:9" ht="24.75" hidden="1" customHeight="1">
      <c r="B196" s="10"/>
      <c r="C196" s="10"/>
      <c r="D196" s="10"/>
      <c r="E196" s="10"/>
      <c r="F196" s="10"/>
      <c r="G196" s="12"/>
      <c r="H196" s="73"/>
      <c r="I196" s="245"/>
    </row>
    <row r="197" spans="2:9" ht="24.75" hidden="1" customHeight="1">
      <c r="B197" s="10"/>
      <c r="C197" s="10"/>
      <c r="D197" s="10"/>
      <c r="E197" s="10"/>
      <c r="F197" s="10"/>
      <c r="G197" s="12"/>
      <c r="H197" s="73"/>
      <c r="I197" s="245"/>
    </row>
    <row r="198" spans="2:9" ht="24.75" hidden="1" customHeight="1">
      <c r="B198" s="10"/>
      <c r="C198" s="10"/>
      <c r="D198" s="10"/>
      <c r="E198" s="10"/>
      <c r="F198" s="10"/>
      <c r="G198" s="12"/>
      <c r="H198" s="73"/>
      <c r="I198" s="245"/>
    </row>
    <row r="199" spans="2:9" ht="24.75" hidden="1" customHeight="1">
      <c r="B199" s="10"/>
      <c r="C199" s="10"/>
      <c r="D199" s="10"/>
      <c r="E199" s="10"/>
      <c r="F199" s="10"/>
      <c r="G199" s="12"/>
      <c r="H199" s="73"/>
      <c r="I199" s="245"/>
    </row>
    <row r="200" spans="2:9" ht="24.75" hidden="1" customHeight="1">
      <c r="B200" s="10"/>
      <c r="C200" s="10"/>
      <c r="D200" s="10"/>
      <c r="E200" s="10"/>
      <c r="F200" s="10"/>
      <c r="G200" s="12"/>
      <c r="H200" s="73"/>
      <c r="I200" s="245"/>
    </row>
    <row r="201" spans="2:9" ht="24.75" hidden="1" customHeight="1">
      <c r="B201" s="10"/>
      <c r="C201" s="10"/>
      <c r="D201" s="10"/>
      <c r="E201" s="10"/>
      <c r="F201" s="10"/>
      <c r="G201" s="12"/>
      <c r="H201" s="73"/>
      <c r="I201" s="245"/>
    </row>
    <row r="202" spans="2:9" ht="24.75" hidden="1" customHeight="1">
      <c r="B202" s="10"/>
      <c r="C202" s="10"/>
      <c r="D202" s="10"/>
      <c r="E202" s="10"/>
      <c r="F202" s="10"/>
      <c r="G202" s="12"/>
      <c r="H202" s="73"/>
      <c r="I202" s="245"/>
    </row>
    <row r="203" spans="2:9" ht="24.75" hidden="1" customHeight="1">
      <c r="B203" s="10"/>
      <c r="C203" s="10"/>
      <c r="D203" s="10"/>
      <c r="E203" s="10"/>
      <c r="F203" s="10"/>
      <c r="G203" s="12"/>
      <c r="H203" s="73"/>
      <c r="I203" s="245"/>
    </row>
    <row r="204" spans="2:9" ht="24.75" hidden="1" customHeight="1">
      <c r="B204" s="10"/>
      <c r="C204" s="10"/>
      <c r="D204" s="10"/>
      <c r="E204" s="10"/>
      <c r="F204" s="10"/>
      <c r="G204" s="12"/>
      <c r="H204" s="73"/>
      <c r="I204" s="245"/>
    </row>
    <row r="205" spans="2:9" ht="24.75" hidden="1" customHeight="1">
      <c r="B205" s="10"/>
      <c r="C205" s="10"/>
      <c r="D205" s="10"/>
      <c r="E205" s="10"/>
      <c r="F205" s="10"/>
      <c r="G205" s="12"/>
      <c r="H205" s="73"/>
      <c r="I205" s="245"/>
    </row>
    <row r="206" spans="2:9" ht="24.75" hidden="1" customHeight="1">
      <c r="B206" s="10"/>
      <c r="C206" s="10"/>
      <c r="D206" s="10"/>
      <c r="E206" s="10"/>
      <c r="F206" s="10"/>
      <c r="G206" s="12"/>
      <c r="H206" s="73"/>
      <c r="I206" s="245"/>
    </row>
    <row r="207" spans="2:9" ht="24.75" hidden="1" customHeight="1">
      <c r="B207" s="10"/>
      <c r="C207" s="10"/>
      <c r="D207" s="10"/>
      <c r="E207" s="10"/>
      <c r="F207" s="10"/>
      <c r="G207" s="12"/>
      <c r="H207" s="73"/>
      <c r="I207" s="245"/>
    </row>
    <row r="208" spans="2:9" ht="24.75" hidden="1" customHeight="1">
      <c r="B208" s="10"/>
      <c r="C208" s="10"/>
      <c r="D208" s="10"/>
      <c r="E208" s="10"/>
      <c r="F208" s="10"/>
      <c r="G208" s="12"/>
      <c r="H208" s="73"/>
      <c r="I208" s="245"/>
    </row>
    <row r="209" spans="2:9" ht="24.75" hidden="1" customHeight="1">
      <c r="B209" s="10"/>
      <c r="C209" s="10"/>
      <c r="D209" s="10"/>
      <c r="E209" s="10"/>
      <c r="F209" s="10"/>
      <c r="G209" s="12"/>
      <c r="H209" s="73"/>
      <c r="I209" s="245"/>
    </row>
    <row r="210" spans="2:9" ht="24.75" hidden="1" customHeight="1">
      <c r="B210" s="10"/>
      <c r="C210" s="10"/>
      <c r="D210" s="10"/>
      <c r="E210" s="10"/>
      <c r="F210" s="10"/>
      <c r="G210" s="12"/>
      <c r="H210" s="73"/>
      <c r="I210" s="245"/>
    </row>
    <row r="211" spans="2:9" ht="24.75" hidden="1" customHeight="1">
      <c r="B211" s="10"/>
      <c r="C211" s="10"/>
      <c r="D211" s="10"/>
      <c r="E211" s="10"/>
      <c r="F211" s="10"/>
      <c r="G211" s="12"/>
      <c r="H211" s="73"/>
      <c r="I211" s="245"/>
    </row>
    <row r="212" spans="2:9" ht="24.75" hidden="1" customHeight="1">
      <c r="B212" s="10"/>
      <c r="C212" s="10"/>
      <c r="D212" s="10"/>
      <c r="E212" s="10"/>
      <c r="F212" s="10"/>
      <c r="G212" s="12"/>
      <c r="H212" s="73"/>
      <c r="I212" s="245"/>
    </row>
    <row r="213" spans="2:9" ht="24.75" hidden="1" customHeight="1">
      <c r="B213" s="10"/>
      <c r="C213" s="10"/>
      <c r="D213" s="10"/>
      <c r="E213" s="10"/>
      <c r="F213" s="10"/>
      <c r="G213" s="12"/>
      <c r="H213" s="73"/>
      <c r="I213" s="245"/>
    </row>
    <row r="214" spans="2:9" ht="24.75" hidden="1" customHeight="1">
      <c r="B214" s="10"/>
      <c r="C214" s="10"/>
      <c r="D214" s="10"/>
      <c r="E214" s="10"/>
      <c r="F214" s="10"/>
      <c r="G214" s="12"/>
      <c r="H214" s="73"/>
      <c r="I214" s="245"/>
    </row>
    <row r="215" spans="2:9" ht="24.75" hidden="1" customHeight="1">
      <c r="B215" s="10"/>
      <c r="C215" s="10"/>
      <c r="D215" s="10"/>
      <c r="E215" s="10"/>
      <c r="F215" s="10"/>
      <c r="G215" s="12"/>
      <c r="H215" s="73"/>
      <c r="I215" s="245"/>
    </row>
    <row r="216" spans="2:9" ht="24.75" hidden="1" customHeight="1">
      <c r="B216" s="10"/>
      <c r="C216" s="10"/>
      <c r="D216" s="10"/>
      <c r="E216" s="10"/>
      <c r="F216" s="10"/>
      <c r="G216" s="12"/>
      <c r="H216" s="73"/>
      <c r="I216" s="245"/>
    </row>
    <row r="217" spans="2:9" ht="24.75" hidden="1" customHeight="1">
      <c r="B217" s="10"/>
      <c r="C217" s="10"/>
      <c r="D217" s="10"/>
      <c r="E217" s="10"/>
      <c r="F217" s="10"/>
      <c r="G217" s="12"/>
      <c r="H217" s="73"/>
      <c r="I217" s="245"/>
    </row>
    <row r="218" spans="2:9" ht="24.75" hidden="1" customHeight="1">
      <c r="B218" s="10"/>
      <c r="C218" s="10"/>
      <c r="D218" s="10"/>
      <c r="E218" s="10"/>
      <c r="F218" s="10"/>
      <c r="G218" s="12"/>
      <c r="H218" s="73"/>
      <c r="I218" s="245"/>
    </row>
    <row r="219" spans="2:9" ht="24.75" hidden="1" customHeight="1">
      <c r="B219" s="10"/>
      <c r="C219" s="10"/>
      <c r="D219" s="10"/>
      <c r="E219" s="10"/>
      <c r="F219" s="10"/>
      <c r="G219" s="12"/>
      <c r="H219" s="73"/>
      <c r="I219" s="245"/>
    </row>
    <row r="220" spans="2:9" ht="24.75" hidden="1" customHeight="1">
      <c r="B220" s="10"/>
      <c r="C220" s="10"/>
      <c r="D220" s="10"/>
      <c r="E220" s="10"/>
      <c r="F220" s="10"/>
      <c r="G220" s="12"/>
      <c r="H220" s="73"/>
      <c r="I220" s="245"/>
    </row>
    <row r="221" spans="2:9" ht="24.75" hidden="1" customHeight="1">
      <c r="B221" s="10"/>
      <c r="C221" s="10"/>
      <c r="D221" s="10"/>
      <c r="E221" s="10"/>
      <c r="F221" s="10"/>
      <c r="G221" s="12"/>
      <c r="H221" s="73"/>
      <c r="I221" s="245"/>
    </row>
    <row r="222" spans="2:9" ht="24.75" hidden="1" customHeight="1">
      <c r="B222" s="10"/>
      <c r="C222" s="10"/>
      <c r="D222" s="10"/>
      <c r="E222" s="10"/>
      <c r="F222" s="10"/>
      <c r="G222" s="12"/>
      <c r="H222" s="73"/>
      <c r="I222" s="245"/>
    </row>
    <row r="223" spans="2:9" ht="24.75" hidden="1" customHeight="1">
      <c r="B223" s="10"/>
      <c r="C223" s="10"/>
      <c r="D223" s="10"/>
      <c r="E223" s="10"/>
      <c r="F223" s="10"/>
      <c r="G223" s="12"/>
      <c r="H223" s="73"/>
      <c r="I223" s="245"/>
    </row>
    <row r="224" spans="2:9" ht="24.75" hidden="1" customHeight="1">
      <c r="B224" s="10"/>
      <c r="C224" s="10"/>
      <c r="D224" s="10"/>
      <c r="E224" s="10"/>
      <c r="F224" s="10"/>
      <c r="G224" s="12"/>
      <c r="H224" s="73"/>
      <c r="I224" s="245"/>
    </row>
    <row r="225" spans="2:9" ht="24.75" hidden="1" customHeight="1">
      <c r="B225" s="10"/>
      <c r="C225" s="10"/>
      <c r="D225" s="10"/>
      <c r="E225" s="10"/>
      <c r="F225" s="10"/>
      <c r="G225" s="12"/>
      <c r="H225" s="73"/>
      <c r="I225" s="245"/>
    </row>
    <row r="226" spans="2:9" ht="24.75" hidden="1" customHeight="1">
      <c r="B226" s="10"/>
      <c r="C226" s="10"/>
      <c r="D226" s="10"/>
      <c r="E226" s="10"/>
      <c r="F226" s="10"/>
      <c r="G226" s="12"/>
      <c r="H226" s="73"/>
      <c r="I226" s="245"/>
    </row>
    <row r="227" spans="2:9" ht="24.75" hidden="1" customHeight="1">
      <c r="B227" s="10"/>
      <c r="C227" s="10"/>
      <c r="D227" s="10"/>
      <c r="E227" s="10"/>
      <c r="F227" s="10"/>
      <c r="G227" s="12"/>
      <c r="H227" s="73"/>
      <c r="I227" s="245"/>
    </row>
    <row r="228" spans="2:9" ht="24.75" hidden="1" customHeight="1">
      <c r="B228" s="10"/>
      <c r="C228" s="10"/>
      <c r="D228" s="10"/>
      <c r="E228" s="10"/>
      <c r="F228" s="10"/>
      <c r="G228" s="12"/>
      <c r="H228" s="73"/>
      <c r="I228" s="245"/>
    </row>
    <row r="229" spans="2:9" ht="24.75" hidden="1" customHeight="1">
      <c r="B229" s="10"/>
      <c r="C229" s="10"/>
      <c r="D229" s="10"/>
      <c r="E229" s="10"/>
      <c r="F229" s="10"/>
      <c r="G229" s="12"/>
      <c r="H229" s="73"/>
      <c r="I229" s="245"/>
    </row>
    <row r="230" spans="2:9" ht="24.75" hidden="1" customHeight="1">
      <c r="B230" s="10"/>
      <c r="C230" s="10"/>
      <c r="D230" s="10"/>
      <c r="E230" s="10"/>
      <c r="F230" s="10"/>
      <c r="G230" s="12"/>
      <c r="H230" s="73"/>
      <c r="I230" s="245"/>
    </row>
    <row r="231" spans="2:9" ht="24.75" hidden="1" customHeight="1">
      <c r="B231" s="10"/>
      <c r="C231" s="10"/>
      <c r="D231" s="10"/>
      <c r="E231" s="10"/>
      <c r="F231" s="10"/>
      <c r="G231" s="12"/>
      <c r="H231" s="73"/>
      <c r="I231" s="245"/>
    </row>
    <row r="232" spans="2:9" ht="24.75" hidden="1" customHeight="1">
      <c r="B232" s="10"/>
      <c r="C232" s="10"/>
      <c r="D232" s="10"/>
      <c r="E232" s="10"/>
      <c r="F232" s="10"/>
      <c r="G232" s="12"/>
      <c r="H232" s="73"/>
      <c r="I232" s="245"/>
    </row>
    <row r="233" spans="2:9" ht="24.75" hidden="1" customHeight="1">
      <c r="B233" s="10"/>
      <c r="C233" s="10"/>
      <c r="D233" s="10"/>
      <c r="E233" s="10"/>
      <c r="F233" s="10"/>
      <c r="G233" s="12"/>
      <c r="H233" s="73"/>
      <c r="I233" s="245"/>
    </row>
    <row r="234" spans="2:9" ht="24.75" hidden="1" customHeight="1">
      <c r="B234" s="10"/>
      <c r="C234" s="10"/>
      <c r="D234" s="10"/>
      <c r="E234" s="10"/>
      <c r="F234" s="10"/>
      <c r="G234" s="12"/>
      <c r="H234" s="73"/>
      <c r="I234" s="245"/>
    </row>
    <row r="235" spans="2:9" ht="24.75" hidden="1" customHeight="1">
      <c r="B235" s="10"/>
      <c r="C235" s="10"/>
      <c r="D235" s="10"/>
      <c r="E235" s="10"/>
      <c r="F235" s="10"/>
      <c r="G235" s="12"/>
      <c r="H235" s="73"/>
      <c r="I235" s="245"/>
    </row>
    <row r="236" spans="2:9" ht="24.75" hidden="1" customHeight="1">
      <c r="B236" s="10"/>
      <c r="C236" s="10"/>
      <c r="D236" s="10"/>
      <c r="E236" s="10"/>
      <c r="F236" s="10"/>
      <c r="G236" s="12"/>
      <c r="H236" s="73"/>
      <c r="I236" s="245"/>
    </row>
    <row r="237" spans="2:9" ht="24.75" hidden="1" customHeight="1">
      <c r="B237" s="10"/>
      <c r="C237" s="10"/>
      <c r="D237" s="10"/>
      <c r="E237" s="10"/>
      <c r="F237" s="10"/>
      <c r="G237" s="12"/>
      <c r="H237" s="73"/>
      <c r="I237" s="245"/>
    </row>
    <row r="238" spans="2:9" ht="24.75" hidden="1" customHeight="1">
      <c r="B238" s="10"/>
      <c r="C238" s="10"/>
      <c r="D238" s="10"/>
      <c r="E238" s="10"/>
      <c r="F238" s="10"/>
      <c r="G238" s="12"/>
      <c r="H238" s="73"/>
      <c r="I238" s="245"/>
    </row>
    <row r="239" spans="2:9" ht="24.75" hidden="1" customHeight="1">
      <c r="B239" s="10"/>
      <c r="C239" s="10"/>
      <c r="D239" s="10"/>
      <c r="E239" s="10"/>
      <c r="F239" s="10"/>
      <c r="G239" s="12"/>
      <c r="H239" s="73"/>
      <c r="I239" s="245"/>
    </row>
    <row r="240" spans="2:9" ht="24.75" hidden="1" customHeight="1">
      <c r="B240" s="10"/>
      <c r="C240" s="10"/>
      <c r="D240" s="10"/>
      <c r="E240" s="10"/>
      <c r="F240" s="10"/>
      <c r="G240" s="12"/>
      <c r="H240" s="73"/>
      <c r="I240" s="245"/>
    </row>
    <row r="241" spans="2:9" ht="24.75" hidden="1" customHeight="1">
      <c r="B241" s="10"/>
      <c r="C241" s="10"/>
      <c r="D241" s="10"/>
      <c r="E241" s="10"/>
      <c r="F241" s="10"/>
      <c r="G241" s="12"/>
      <c r="H241" s="73"/>
      <c r="I241" s="245"/>
    </row>
    <row r="242" spans="2:9" ht="24.75" hidden="1" customHeight="1">
      <c r="B242" s="10"/>
      <c r="C242" s="10"/>
      <c r="D242" s="10"/>
      <c r="E242" s="10"/>
      <c r="F242" s="10"/>
      <c r="G242" s="12"/>
      <c r="H242" s="73"/>
      <c r="I242" s="245"/>
    </row>
    <row r="243" spans="2:9" ht="24.75" hidden="1" customHeight="1">
      <c r="B243" s="10"/>
      <c r="C243" s="10"/>
      <c r="D243" s="10"/>
      <c r="E243" s="10"/>
      <c r="F243" s="10"/>
      <c r="G243" s="12"/>
      <c r="H243" s="73"/>
      <c r="I243" s="245"/>
    </row>
    <row r="244" spans="2:9" ht="24.75" hidden="1" customHeight="1">
      <c r="B244" s="10"/>
      <c r="C244" s="10"/>
      <c r="D244" s="10"/>
      <c r="E244" s="10"/>
      <c r="F244" s="10"/>
      <c r="G244" s="12"/>
      <c r="H244" s="73"/>
      <c r="I244" s="245"/>
    </row>
    <row r="245" spans="2:9" ht="24.75" hidden="1" customHeight="1">
      <c r="B245" s="10"/>
      <c r="C245" s="10"/>
      <c r="D245" s="10"/>
      <c r="E245" s="10"/>
      <c r="F245" s="10"/>
      <c r="G245" s="12"/>
      <c r="H245" s="73"/>
      <c r="I245" s="245"/>
    </row>
    <row r="246" spans="2:9" ht="24.75" hidden="1" customHeight="1">
      <c r="B246" s="10"/>
      <c r="C246" s="10"/>
      <c r="D246" s="10"/>
      <c r="E246" s="10"/>
      <c r="F246" s="10"/>
      <c r="G246" s="12"/>
      <c r="H246" s="73"/>
      <c r="I246" s="245"/>
    </row>
    <row r="247" spans="2:9" ht="24.75" hidden="1" customHeight="1">
      <c r="B247" s="10"/>
      <c r="C247" s="10"/>
      <c r="D247" s="10"/>
      <c r="E247" s="10"/>
      <c r="F247" s="10"/>
      <c r="G247" s="12"/>
      <c r="H247" s="73"/>
      <c r="I247" s="245"/>
    </row>
    <row r="248" spans="2:9" ht="24.75" hidden="1" customHeight="1">
      <c r="B248" s="10"/>
      <c r="C248" s="10"/>
      <c r="D248" s="10"/>
      <c r="E248" s="10"/>
      <c r="F248" s="10"/>
      <c r="G248" s="12"/>
      <c r="H248" s="73"/>
      <c r="I248" s="245"/>
    </row>
    <row r="249" spans="2:9" ht="24.75" hidden="1" customHeight="1">
      <c r="B249" s="10"/>
      <c r="C249" s="10"/>
      <c r="D249" s="10"/>
      <c r="E249" s="10"/>
      <c r="F249" s="10"/>
      <c r="G249" s="12"/>
      <c r="H249" s="73"/>
      <c r="I249" s="245"/>
    </row>
    <row r="250" spans="2:9" ht="24.75" hidden="1" customHeight="1">
      <c r="B250" s="10"/>
      <c r="C250" s="10"/>
      <c r="D250" s="10"/>
      <c r="E250" s="10"/>
      <c r="F250" s="10"/>
      <c r="G250" s="12"/>
      <c r="H250" s="73"/>
      <c r="I250" s="245"/>
    </row>
    <row r="251" spans="2:9" ht="24.75" hidden="1" customHeight="1">
      <c r="B251" s="10"/>
      <c r="C251" s="10"/>
      <c r="D251" s="10"/>
      <c r="E251" s="10"/>
      <c r="F251" s="10"/>
      <c r="G251" s="12"/>
      <c r="H251" s="73"/>
      <c r="I251" s="245"/>
    </row>
    <row r="252" spans="2:9" ht="24.75" hidden="1" customHeight="1">
      <c r="B252" s="10"/>
      <c r="C252" s="10"/>
      <c r="D252" s="10"/>
      <c r="E252" s="10"/>
      <c r="F252" s="10"/>
      <c r="G252" s="12"/>
      <c r="H252" s="73"/>
      <c r="I252" s="245"/>
    </row>
    <row r="253" spans="2:9" ht="24.75" hidden="1" customHeight="1">
      <c r="B253" s="10"/>
      <c r="C253" s="10"/>
      <c r="D253" s="10"/>
      <c r="E253" s="10"/>
      <c r="F253" s="10"/>
      <c r="G253" s="12"/>
      <c r="H253" s="73"/>
      <c r="I253" s="245"/>
    </row>
    <row r="254" spans="2:9" ht="24.75" hidden="1" customHeight="1">
      <c r="B254" s="10"/>
      <c r="C254" s="10"/>
      <c r="D254" s="10"/>
      <c r="E254" s="10"/>
      <c r="F254" s="10"/>
      <c r="G254" s="12"/>
      <c r="H254" s="73"/>
      <c r="I254" s="245"/>
    </row>
    <row r="255" spans="2:9" ht="24.75" hidden="1" customHeight="1">
      <c r="B255" s="10"/>
      <c r="C255" s="10"/>
      <c r="D255" s="10"/>
      <c r="E255" s="10"/>
      <c r="F255" s="10"/>
      <c r="G255" s="12"/>
      <c r="H255" s="73"/>
      <c r="I255" s="245"/>
    </row>
    <row r="256" spans="2:9" ht="24.75" hidden="1" customHeight="1">
      <c r="B256" s="10"/>
      <c r="C256" s="10"/>
      <c r="D256" s="10"/>
      <c r="E256" s="10"/>
      <c r="F256" s="10"/>
      <c r="G256" s="12"/>
      <c r="H256" s="73"/>
      <c r="I256" s="245"/>
    </row>
    <row r="257" spans="2:9" ht="24.75" hidden="1" customHeight="1">
      <c r="B257" s="10"/>
      <c r="C257" s="10"/>
      <c r="D257" s="10"/>
      <c r="E257" s="10"/>
      <c r="F257" s="10"/>
      <c r="G257" s="12"/>
      <c r="H257" s="73"/>
      <c r="I257" s="245"/>
    </row>
    <row r="258" spans="2:9" ht="24.75" hidden="1" customHeight="1">
      <c r="B258" s="10"/>
      <c r="C258" s="10"/>
      <c r="D258" s="10"/>
      <c r="E258" s="10"/>
      <c r="F258" s="10"/>
      <c r="G258" s="12"/>
      <c r="H258" s="73"/>
      <c r="I258" s="245"/>
    </row>
    <row r="259" spans="2:9" ht="24.75" hidden="1" customHeight="1">
      <c r="B259" s="10"/>
      <c r="C259" s="10"/>
      <c r="D259" s="10"/>
      <c r="E259" s="10"/>
      <c r="F259" s="10"/>
      <c r="G259" s="12"/>
      <c r="H259" s="74"/>
      <c r="I259" s="245"/>
    </row>
    <row r="260" spans="2:9" ht="24.75" hidden="1" customHeight="1">
      <c r="B260" s="10"/>
      <c r="C260" s="10"/>
      <c r="D260" s="10"/>
      <c r="E260" s="10"/>
      <c r="F260" s="10"/>
      <c r="G260" s="12"/>
      <c r="H260" s="74"/>
      <c r="I260" s="245"/>
    </row>
    <row r="261" spans="2:9" ht="24.75" hidden="1" customHeight="1">
      <c r="B261" s="10"/>
      <c r="C261" s="10"/>
      <c r="D261" s="10"/>
      <c r="E261" s="10"/>
      <c r="F261" s="10"/>
      <c r="G261" s="12"/>
      <c r="H261" s="74"/>
      <c r="I261" s="245"/>
    </row>
    <row r="262" spans="2:9" ht="24.75" hidden="1" customHeight="1">
      <c r="B262" s="10"/>
      <c r="C262" s="10"/>
      <c r="D262" s="10"/>
      <c r="E262" s="10"/>
      <c r="F262" s="10"/>
      <c r="G262" s="12"/>
      <c r="H262" s="74"/>
      <c r="I262" s="245"/>
    </row>
    <row r="263" spans="2:9" ht="24.75" hidden="1" customHeight="1">
      <c r="B263" s="10"/>
      <c r="C263" s="10"/>
      <c r="D263" s="10"/>
      <c r="E263" s="10"/>
      <c r="F263" s="10"/>
      <c r="G263" s="12"/>
      <c r="H263" s="74"/>
      <c r="I263" s="245"/>
    </row>
    <row r="264" spans="2:9" ht="24.75" hidden="1" customHeight="1">
      <c r="B264" s="10"/>
      <c r="C264" s="10"/>
      <c r="D264" s="10"/>
      <c r="E264" s="10"/>
      <c r="F264" s="10"/>
      <c r="G264" s="12"/>
      <c r="H264" s="74"/>
      <c r="I264" s="245"/>
    </row>
    <row r="265" spans="2:9" ht="24.75" hidden="1" customHeight="1">
      <c r="B265" s="10"/>
      <c r="C265" s="10"/>
      <c r="D265" s="10"/>
      <c r="E265" s="10"/>
      <c r="F265" s="10"/>
      <c r="G265" s="12"/>
      <c r="H265" s="74"/>
      <c r="I265" s="245"/>
    </row>
    <row r="266" spans="2:9" ht="24.75" hidden="1" customHeight="1">
      <c r="B266" s="10"/>
      <c r="C266" s="10"/>
      <c r="D266" s="10"/>
      <c r="E266" s="10"/>
      <c r="F266" s="10"/>
      <c r="G266" s="12"/>
      <c r="H266" s="74"/>
      <c r="I266" s="245"/>
    </row>
    <row r="267" spans="2:9" ht="24.75" hidden="1" customHeight="1">
      <c r="C267" s="10"/>
      <c r="D267" s="10"/>
      <c r="E267" s="10"/>
      <c r="F267" s="10"/>
      <c r="G267" s="12"/>
      <c r="H267" s="73"/>
      <c r="I267" s="245"/>
    </row>
    <row r="268" spans="2:9" ht="24.75" hidden="1" customHeight="1">
      <c r="C268" s="10"/>
      <c r="D268" s="10"/>
      <c r="E268" s="10"/>
      <c r="F268" s="10"/>
      <c r="G268" s="12"/>
      <c r="H268" s="73"/>
      <c r="I268" s="245"/>
    </row>
    <row r="269" spans="2:9" ht="24.75" hidden="1" customHeight="1">
      <c r="C269" s="10"/>
      <c r="D269" s="10"/>
      <c r="E269" s="10"/>
      <c r="F269" s="10"/>
      <c r="G269" s="12"/>
      <c r="H269" s="73"/>
      <c r="I269" s="245"/>
    </row>
    <row r="270" spans="2:9" ht="24.75" hidden="1" customHeight="1">
      <c r="C270" s="10"/>
      <c r="D270" s="10"/>
      <c r="E270" s="10"/>
      <c r="F270" s="10"/>
      <c r="G270" s="12"/>
      <c r="H270" s="73"/>
      <c r="I270" s="245"/>
    </row>
    <row r="271" spans="2:9" ht="24.75" hidden="1" customHeight="1">
      <c r="C271" s="10"/>
      <c r="D271" s="10"/>
      <c r="E271" s="10"/>
      <c r="F271" s="10"/>
      <c r="G271" s="12"/>
      <c r="H271" s="73"/>
      <c r="I271" s="245"/>
    </row>
    <row r="272" spans="2:9" ht="24.75" hidden="1" customHeight="1">
      <c r="C272" s="10"/>
      <c r="D272" s="10"/>
      <c r="E272" s="10"/>
      <c r="F272" s="10"/>
      <c r="G272" s="12"/>
      <c r="H272" s="73"/>
      <c r="I272" s="245"/>
    </row>
    <row r="273" spans="3:9" ht="24.75" hidden="1" customHeight="1">
      <c r="C273" s="10"/>
      <c r="D273" s="10"/>
      <c r="E273" s="10"/>
      <c r="F273" s="10"/>
      <c r="G273" s="12"/>
      <c r="H273" s="73"/>
      <c r="I273" s="245"/>
    </row>
    <row r="274" spans="3:9" ht="24.75" hidden="1" customHeight="1">
      <c r="C274" s="10"/>
      <c r="D274" s="10"/>
      <c r="E274" s="10"/>
      <c r="F274" s="10"/>
      <c r="G274" s="12"/>
      <c r="H274" s="73"/>
      <c r="I274" s="245"/>
    </row>
    <row r="275" spans="3:9" ht="24.75" hidden="1" customHeight="1">
      <c r="C275" s="10"/>
      <c r="D275" s="10"/>
      <c r="E275" s="10"/>
      <c r="F275" s="10"/>
      <c r="G275" s="12"/>
      <c r="H275" s="73"/>
      <c r="I275" s="245"/>
    </row>
    <row r="276" spans="3:9" ht="24.75" hidden="1" customHeight="1">
      <c r="C276" s="10"/>
      <c r="D276" s="10"/>
      <c r="E276" s="10"/>
      <c r="F276" s="10"/>
      <c r="G276" s="12"/>
      <c r="H276" s="73"/>
      <c r="I276" s="245"/>
    </row>
    <row r="277" spans="3:9" ht="24.75" hidden="1" customHeight="1">
      <c r="C277" s="10"/>
      <c r="D277" s="10"/>
      <c r="E277" s="10"/>
      <c r="F277" s="10"/>
      <c r="G277" s="12"/>
      <c r="H277" s="73"/>
      <c r="I277" s="245"/>
    </row>
    <row r="278" spans="3:9" ht="24.75" hidden="1" customHeight="1">
      <c r="C278" s="10"/>
      <c r="D278" s="10"/>
      <c r="E278" s="10"/>
      <c r="F278" s="10"/>
      <c r="G278" s="12"/>
      <c r="H278" s="73"/>
      <c r="I278" s="245"/>
    </row>
    <row r="279" spans="3:9" ht="24.75" hidden="1" customHeight="1">
      <c r="C279" s="10"/>
      <c r="D279" s="10"/>
      <c r="E279" s="10"/>
      <c r="F279" s="10"/>
      <c r="G279" s="12"/>
      <c r="H279" s="73"/>
      <c r="I279" s="245"/>
    </row>
    <row r="280" spans="3:9" ht="24.75" hidden="1" customHeight="1">
      <c r="C280" s="10"/>
      <c r="D280" s="10"/>
      <c r="E280" s="10"/>
      <c r="F280" s="10"/>
      <c r="G280" s="12"/>
      <c r="H280" s="73"/>
      <c r="I280" s="245"/>
    </row>
    <row r="281" spans="3:9" ht="24.75" hidden="1" customHeight="1">
      <c r="C281" s="10"/>
      <c r="D281" s="10"/>
      <c r="E281" s="10"/>
      <c r="F281" s="10"/>
      <c r="G281" s="12"/>
      <c r="H281" s="73"/>
      <c r="I281" s="245"/>
    </row>
    <row r="282" spans="3:9" ht="24.75" hidden="1" customHeight="1">
      <c r="C282" s="10"/>
      <c r="D282" s="10"/>
      <c r="E282" s="10"/>
      <c r="F282" s="10"/>
      <c r="G282" s="12"/>
      <c r="H282" s="73"/>
      <c r="I282" s="245"/>
    </row>
    <row r="283" spans="3:9" ht="24.75" hidden="1" customHeight="1">
      <c r="C283" s="10"/>
      <c r="D283" s="10"/>
      <c r="E283" s="10"/>
      <c r="F283" s="10"/>
      <c r="G283" s="12"/>
      <c r="H283" s="73"/>
      <c r="I283" s="245"/>
    </row>
    <row r="284" spans="3:9" ht="24.75" hidden="1" customHeight="1">
      <c r="C284" s="10"/>
      <c r="D284" s="10"/>
      <c r="E284" s="10"/>
      <c r="F284" s="10"/>
      <c r="G284" s="12"/>
      <c r="H284" s="73"/>
      <c r="I284" s="245"/>
    </row>
    <row r="285" spans="3:9" ht="24.75" hidden="1" customHeight="1">
      <c r="C285" s="10"/>
      <c r="D285" s="10"/>
      <c r="E285" s="10"/>
      <c r="F285" s="10"/>
      <c r="G285" s="12"/>
      <c r="H285" s="73"/>
      <c r="I285" s="245"/>
    </row>
    <row r="286" spans="3:9" ht="24.75" hidden="1" customHeight="1">
      <c r="C286" s="10"/>
      <c r="D286" s="10"/>
      <c r="E286" s="10"/>
      <c r="F286" s="10"/>
      <c r="G286" s="12"/>
      <c r="H286" s="73"/>
      <c r="I286" s="245"/>
    </row>
    <row r="287" spans="3:9" ht="24.75" hidden="1" customHeight="1">
      <c r="C287" s="10"/>
      <c r="D287" s="10"/>
      <c r="E287" s="10"/>
      <c r="F287" s="10"/>
      <c r="G287" s="12"/>
      <c r="H287" s="73"/>
      <c r="I287" s="245"/>
    </row>
    <row r="288" spans="3:9" ht="24.75" hidden="1" customHeight="1">
      <c r="C288" s="10"/>
      <c r="D288" s="10"/>
      <c r="E288" s="10"/>
      <c r="F288" s="10"/>
      <c r="G288" s="12"/>
      <c r="H288" s="73"/>
      <c r="I288" s="245"/>
    </row>
    <row r="289" spans="2:9" ht="24.75" hidden="1" customHeight="1">
      <c r="C289" s="10"/>
      <c r="D289" s="10"/>
      <c r="E289" s="10"/>
      <c r="F289" s="10"/>
      <c r="G289" s="12"/>
      <c r="H289" s="73"/>
      <c r="I289" s="245"/>
    </row>
    <row r="290" spans="2:9" ht="24.75" hidden="1" customHeight="1">
      <c r="C290" s="10"/>
      <c r="D290" s="10"/>
      <c r="E290" s="10"/>
      <c r="F290" s="10"/>
      <c r="G290" s="12"/>
      <c r="H290" s="73"/>
      <c r="I290" s="245"/>
    </row>
    <row r="291" spans="2:9" ht="24.75" hidden="1" customHeight="1">
      <c r="C291" s="10"/>
      <c r="D291" s="10"/>
      <c r="E291" s="10"/>
      <c r="F291" s="10"/>
      <c r="G291" s="12"/>
      <c r="H291" s="73"/>
      <c r="I291" s="245"/>
    </row>
    <row r="292" spans="2:9" ht="24.75" hidden="1" customHeight="1">
      <c r="C292" s="10"/>
      <c r="D292" s="10"/>
      <c r="E292" s="10"/>
      <c r="F292" s="10"/>
      <c r="G292" s="12"/>
      <c r="H292" s="73"/>
      <c r="I292" s="245"/>
    </row>
    <row r="293" spans="2:9" ht="24.75" hidden="1" customHeight="1">
      <c r="C293" s="10"/>
      <c r="D293" s="10"/>
      <c r="E293" s="10"/>
      <c r="F293" s="10"/>
      <c r="G293" s="12"/>
      <c r="H293" s="73"/>
      <c r="I293" s="245"/>
    </row>
    <row r="294" spans="2:9" ht="24.75" hidden="1" customHeight="1">
      <c r="C294" s="10"/>
      <c r="D294" s="10"/>
      <c r="E294" s="10"/>
      <c r="F294" s="10"/>
      <c r="G294" s="12"/>
      <c r="H294" s="73"/>
      <c r="I294" s="245"/>
    </row>
    <row r="295" spans="2:9" ht="24.75" hidden="1" customHeight="1">
      <c r="C295" s="10"/>
      <c r="D295" s="10"/>
      <c r="E295" s="10"/>
      <c r="F295" s="10"/>
      <c r="G295" s="12"/>
      <c r="H295" s="73"/>
      <c r="I295" s="245"/>
    </row>
    <row r="296" spans="2:9" ht="24.75" hidden="1" customHeight="1">
      <c r="B296" s="10"/>
      <c r="C296" s="10"/>
      <c r="D296" s="10"/>
      <c r="E296" s="10"/>
      <c r="F296" s="10"/>
      <c r="G296" s="12"/>
      <c r="H296" s="73"/>
      <c r="I296" s="245"/>
    </row>
    <row r="297" spans="2:9" ht="24.75" hidden="1" customHeight="1">
      <c r="C297" s="10"/>
      <c r="D297" s="10"/>
      <c r="E297" s="10"/>
      <c r="F297" s="10"/>
      <c r="G297" s="12"/>
      <c r="H297" s="73"/>
      <c r="I297" s="245"/>
    </row>
    <row r="298" spans="2:9" ht="24.75" hidden="1" customHeight="1">
      <c r="C298" s="10"/>
      <c r="D298" s="10"/>
      <c r="E298" s="10"/>
      <c r="F298" s="10"/>
      <c r="G298" s="12"/>
      <c r="H298" s="73"/>
      <c r="I298" s="245"/>
    </row>
    <row r="299" spans="2:9" ht="24.75" hidden="1" customHeight="1">
      <c r="C299" s="10"/>
      <c r="D299" s="10"/>
      <c r="E299" s="10"/>
      <c r="F299" s="10"/>
      <c r="G299" s="12"/>
      <c r="H299" s="73"/>
      <c r="I299" s="245"/>
    </row>
    <row r="300" spans="2:9" ht="24.75" hidden="1" customHeight="1">
      <c r="C300" s="10"/>
      <c r="D300" s="10"/>
      <c r="E300" s="10"/>
      <c r="F300" s="10"/>
      <c r="G300" s="12"/>
      <c r="H300" s="73"/>
      <c r="I300" s="245"/>
    </row>
    <row r="301" spans="2:9" ht="24.75" hidden="1" customHeight="1">
      <c r="C301" s="10"/>
      <c r="D301" s="10"/>
      <c r="E301" s="10"/>
      <c r="F301" s="10"/>
      <c r="G301" s="12"/>
      <c r="H301" s="73"/>
      <c r="I301" s="245"/>
    </row>
    <row r="302" spans="2:9" ht="24.75" hidden="1" customHeight="1">
      <c r="C302" s="10"/>
      <c r="D302" s="10"/>
      <c r="E302" s="10"/>
      <c r="F302" s="10"/>
      <c r="G302" s="12"/>
      <c r="H302" s="73"/>
      <c r="I302" s="245"/>
    </row>
    <row r="303" spans="2:9" ht="24.75" hidden="1" customHeight="1">
      <c r="C303" s="10"/>
      <c r="D303" s="10"/>
      <c r="E303" s="10"/>
      <c r="F303" s="10"/>
      <c r="G303" s="12"/>
      <c r="H303" s="73"/>
      <c r="I303" s="245"/>
    </row>
    <row r="304" spans="2:9" ht="24.75" hidden="1" customHeight="1">
      <c r="C304" s="10"/>
      <c r="D304" s="10"/>
      <c r="E304" s="10"/>
      <c r="F304" s="10"/>
      <c r="G304" s="12"/>
      <c r="H304" s="73"/>
      <c r="I304" s="245"/>
    </row>
    <row r="305" spans="3:9" ht="24.75" hidden="1" customHeight="1">
      <c r="C305" s="10"/>
      <c r="D305" s="10"/>
      <c r="E305" s="10"/>
      <c r="F305" s="10"/>
      <c r="G305" s="12"/>
      <c r="H305" s="73"/>
      <c r="I305" s="245"/>
    </row>
    <row r="306" spans="3:9" ht="24.75" hidden="1" customHeight="1">
      <c r="C306" s="10"/>
      <c r="D306" s="10"/>
      <c r="E306" s="10"/>
      <c r="F306" s="10"/>
      <c r="G306" s="12"/>
      <c r="H306" s="73"/>
      <c r="I306" s="245"/>
    </row>
    <row r="307" spans="3:9" ht="24.75" hidden="1" customHeight="1">
      <c r="C307" s="10"/>
      <c r="D307" s="10"/>
      <c r="E307" s="10"/>
      <c r="F307" s="10"/>
      <c r="G307" s="12"/>
      <c r="H307" s="73"/>
      <c r="I307" s="245"/>
    </row>
    <row r="308" spans="3:9" ht="24.75" hidden="1" customHeight="1">
      <c r="C308" s="10"/>
      <c r="D308" s="10"/>
      <c r="E308" s="10"/>
      <c r="F308" s="10"/>
      <c r="G308" s="12"/>
      <c r="H308" s="73"/>
      <c r="I308" s="245"/>
    </row>
    <row r="309" spans="3:9" ht="24.75" hidden="1" customHeight="1">
      <c r="C309" s="10"/>
      <c r="D309" s="10"/>
      <c r="E309" s="10"/>
      <c r="F309" s="10"/>
      <c r="G309" s="12"/>
      <c r="H309" s="73"/>
      <c r="I309" s="245"/>
    </row>
    <row r="310" spans="3:9" ht="24.75" hidden="1" customHeight="1">
      <c r="C310" s="10"/>
      <c r="D310" s="10"/>
      <c r="E310" s="10"/>
      <c r="F310" s="10"/>
      <c r="G310" s="12"/>
      <c r="H310" s="73"/>
      <c r="I310" s="245"/>
    </row>
    <row r="311" spans="3:9" ht="24.75" hidden="1" customHeight="1">
      <c r="C311" s="10"/>
      <c r="D311" s="10"/>
      <c r="E311" s="10"/>
      <c r="F311" s="10"/>
      <c r="G311" s="12"/>
      <c r="H311" s="73"/>
      <c r="I311" s="245"/>
    </row>
    <row r="312" spans="3:9" ht="24.75" hidden="1" customHeight="1">
      <c r="C312" s="10"/>
      <c r="D312" s="10"/>
      <c r="E312" s="10"/>
      <c r="F312" s="10"/>
      <c r="G312" s="12"/>
      <c r="H312" s="73"/>
      <c r="I312" s="245"/>
    </row>
    <row r="313" spans="3:9" ht="24.75" hidden="1" customHeight="1">
      <c r="C313" s="10"/>
      <c r="D313" s="10"/>
      <c r="E313" s="10"/>
      <c r="F313" s="10"/>
      <c r="G313" s="12"/>
      <c r="H313" s="73"/>
      <c r="I313" s="245"/>
    </row>
    <row r="314" spans="3:9" ht="24.75" hidden="1" customHeight="1">
      <c r="C314" s="10"/>
      <c r="D314" s="10"/>
      <c r="E314" s="10"/>
      <c r="F314" s="10"/>
      <c r="G314" s="12"/>
      <c r="H314" s="73"/>
      <c r="I314" s="245"/>
    </row>
    <row r="315" spans="3:9" ht="24.75" hidden="1" customHeight="1">
      <c r="C315" s="10"/>
      <c r="D315" s="10"/>
      <c r="E315" s="10"/>
      <c r="F315" s="10"/>
      <c r="G315" s="12"/>
      <c r="H315" s="73"/>
      <c r="I315" s="245"/>
    </row>
    <row r="316" spans="3:9" ht="24.75" hidden="1" customHeight="1">
      <c r="C316" s="10"/>
      <c r="D316" s="10"/>
      <c r="E316" s="10"/>
      <c r="F316" s="10"/>
      <c r="G316" s="12"/>
      <c r="H316" s="73"/>
      <c r="I316" s="245"/>
    </row>
    <row r="317" spans="3:9" ht="24.75" hidden="1" customHeight="1">
      <c r="C317" s="10"/>
      <c r="D317" s="10"/>
      <c r="E317" s="10"/>
      <c r="F317" s="10"/>
      <c r="G317" s="12"/>
      <c r="H317" s="73"/>
      <c r="I317" s="245"/>
    </row>
    <row r="318" spans="3:9" ht="24.75" hidden="1" customHeight="1">
      <c r="C318" s="10"/>
      <c r="D318" s="10"/>
      <c r="E318" s="10"/>
      <c r="F318" s="10"/>
      <c r="G318" s="12"/>
      <c r="H318" s="73"/>
      <c r="I318" s="245"/>
    </row>
    <row r="319" spans="3:9" ht="24.75" hidden="1" customHeight="1">
      <c r="C319" s="10"/>
      <c r="D319" s="10"/>
      <c r="E319" s="10"/>
      <c r="F319" s="10"/>
      <c r="G319" s="12"/>
      <c r="H319" s="73"/>
      <c r="I319" s="245"/>
    </row>
    <row r="320" spans="3:9" ht="24.75" hidden="1" customHeight="1">
      <c r="C320" s="10"/>
      <c r="D320" s="10"/>
      <c r="E320" s="10"/>
      <c r="F320" s="10"/>
      <c r="G320" s="12"/>
      <c r="H320" s="73"/>
      <c r="I320" s="245"/>
    </row>
    <row r="321" spans="3:9" ht="24.75" hidden="1" customHeight="1">
      <c r="C321" s="10"/>
      <c r="D321" s="10"/>
      <c r="E321" s="10"/>
      <c r="F321" s="10"/>
      <c r="G321" s="12"/>
      <c r="H321" s="73"/>
      <c r="I321" s="245"/>
    </row>
    <row r="322" spans="3:9" ht="24.75" hidden="1" customHeight="1">
      <c r="C322" s="10"/>
      <c r="D322" s="10"/>
      <c r="E322" s="10"/>
      <c r="F322" s="10"/>
      <c r="G322" s="12"/>
      <c r="H322" s="73"/>
      <c r="I322" s="245"/>
    </row>
    <row r="323" spans="3:9" ht="24.75" hidden="1" customHeight="1">
      <c r="C323" s="10"/>
      <c r="D323" s="10"/>
      <c r="E323" s="10"/>
      <c r="F323" s="10"/>
      <c r="G323" s="12"/>
      <c r="H323" s="73"/>
      <c r="I323" s="245"/>
    </row>
    <row r="324" spans="3:9" ht="24.75" hidden="1" customHeight="1">
      <c r="C324" s="10"/>
      <c r="D324" s="10"/>
      <c r="E324" s="10"/>
      <c r="F324" s="10"/>
      <c r="G324" s="12"/>
      <c r="H324" s="73"/>
      <c r="I324" s="245"/>
    </row>
    <row r="325" spans="3:9" ht="24.75" hidden="1" customHeight="1">
      <c r="C325" s="10"/>
      <c r="D325" s="10"/>
      <c r="E325" s="10"/>
      <c r="F325" s="10"/>
      <c r="G325" s="12"/>
      <c r="H325" s="73"/>
      <c r="I325" s="245"/>
    </row>
    <row r="326" spans="3:9" ht="24.75" hidden="1" customHeight="1">
      <c r="C326" s="10"/>
      <c r="D326" s="10"/>
      <c r="E326" s="10"/>
      <c r="F326" s="10"/>
      <c r="G326" s="12"/>
      <c r="H326" s="73"/>
      <c r="I326" s="245"/>
    </row>
    <row r="327" spans="3:9" ht="24.75" hidden="1" customHeight="1">
      <c r="C327" s="10"/>
      <c r="D327" s="10"/>
      <c r="E327" s="10"/>
      <c r="F327" s="10"/>
      <c r="G327" s="12"/>
      <c r="H327" s="73"/>
      <c r="I327" s="245"/>
    </row>
    <row r="328" spans="3:9" ht="24.75" hidden="1" customHeight="1">
      <c r="C328" s="10"/>
      <c r="D328" s="10"/>
      <c r="E328" s="10"/>
      <c r="F328" s="10"/>
      <c r="G328" s="12"/>
      <c r="H328" s="73"/>
      <c r="I328" s="245"/>
    </row>
    <row r="329" spans="3:9" ht="24.75" hidden="1" customHeight="1">
      <c r="C329" s="10"/>
      <c r="D329" s="10"/>
      <c r="E329" s="10"/>
      <c r="F329" s="10"/>
      <c r="G329" s="12"/>
      <c r="H329" s="73"/>
      <c r="I329" s="245"/>
    </row>
    <row r="330" spans="3:9" ht="24.75" hidden="1" customHeight="1">
      <c r="C330" s="10"/>
      <c r="D330" s="10"/>
      <c r="E330" s="10"/>
      <c r="F330" s="10"/>
      <c r="G330" s="12"/>
      <c r="H330" s="73"/>
      <c r="I330" s="245"/>
    </row>
    <row r="331" spans="3:9" ht="24.75" hidden="1" customHeight="1">
      <c r="C331" s="10"/>
      <c r="D331" s="10"/>
      <c r="E331" s="10"/>
      <c r="F331" s="10"/>
      <c r="G331" s="12"/>
      <c r="H331" s="73"/>
      <c r="I331" s="245"/>
    </row>
    <row r="332" spans="3:9" ht="24.75" hidden="1" customHeight="1">
      <c r="C332" s="10"/>
      <c r="D332" s="10"/>
      <c r="E332" s="10"/>
      <c r="F332" s="10"/>
      <c r="G332" s="12"/>
      <c r="H332" s="73"/>
      <c r="I332" s="245"/>
    </row>
    <row r="333" spans="3:9" ht="24.75" hidden="1" customHeight="1">
      <c r="C333" s="10"/>
      <c r="D333" s="10"/>
      <c r="E333" s="10"/>
      <c r="F333" s="10"/>
      <c r="G333" s="12"/>
      <c r="H333" s="73"/>
      <c r="I333" s="245"/>
    </row>
    <row r="334" spans="3:9" ht="24.75" hidden="1" customHeight="1">
      <c r="C334" s="10"/>
      <c r="D334" s="10"/>
      <c r="E334" s="10"/>
      <c r="F334" s="10"/>
      <c r="G334" s="12"/>
      <c r="H334" s="73"/>
      <c r="I334" s="245"/>
    </row>
    <row r="335" spans="3:9" ht="24.75" hidden="1" customHeight="1">
      <c r="C335" s="10"/>
      <c r="D335" s="10"/>
      <c r="E335" s="10"/>
      <c r="F335" s="10"/>
      <c r="G335" s="12"/>
      <c r="H335" s="73"/>
      <c r="I335" s="245"/>
    </row>
    <row r="336" spans="3:9" ht="24.75" hidden="1" customHeight="1">
      <c r="C336" s="10"/>
      <c r="D336" s="10"/>
      <c r="E336" s="10"/>
      <c r="F336" s="10"/>
      <c r="G336" s="12"/>
      <c r="H336" s="73"/>
      <c r="I336" s="245"/>
    </row>
    <row r="337" spans="3:9" ht="24.75" hidden="1" customHeight="1">
      <c r="C337" s="10"/>
      <c r="D337" s="10"/>
      <c r="E337" s="10"/>
      <c r="F337" s="10"/>
      <c r="G337" s="12"/>
      <c r="H337" s="73"/>
      <c r="I337" s="245"/>
    </row>
    <row r="338" spans="3:9" ht="24.75" hidden="1" customHeight="1">
      <c r="C338" s="10"/>
      <c r="D338" s="10"/>
      <c r="E338" s="10"/>
      <c r="F338" s="10"/>
      <c r="G338" s="12"/>
      <c r="H338" s="73"/>
      <c r="I338" s="245"/>
    </row>
    <row r="339" spans="3:9" ht="24.75" hidden="1" customHeight="1">
      <c r="C339" s="10"/>
      <c r="D339" s="10"/>
      <c r="E339" s="10"/>
      <c r="F339" s="10"/>
      <c r="G339" s="12"/>
      <c r="H339" s="73"/>
      <c r="I339" s="245"/>
    </row>
    <row r="340" spans="3:9" ht="24.75" hidden="1" customHeight="1">
      <c r="C340" s="10"/>
      <c r="D340" s="10"/>
      <c r="E340" s="10"/>
      <c r="F340" s="10"/>
      <c r="G340" s="12"/>
      <c r="H340" s="73"/>
      <c r="I340" s="245"/>
    </row>
    <row r="341" spans="3:9" ht="24.75" hidden="1" customHeight="1">
      <c r="C341" s="10"/>
      <c r="D341" s="10"/>
      <c r="E341" s="10"/>
      <c r="F341" s="10"/>
      <c r="G341" s="12"/>
      <c r="H341" s="73"/>
      <c r="I341" s="245"/>
    </row>
    <row r="342" spans="3:9" ht="24.75" hidden="1" customHeight="1">
      <c r="C342" s="10"/>
      <c r="D342" s="10"/>
      <c r="E342" s="10"/>
      <c r="F342" s="10"/>
      <c r="G342" s="12"/>
      <c r="H342" s="73"/>
      <c r="I342" s="245"/>
    </row>
    <row r="343" spans="3:9" ht="24.75" hidden="1" customHeight="1">
      <c r="C343" s="10"/>
      <c r="D343" s="10"/>
      <c r="E343" s="10"/>
      <c r="F343" s="10"/>
      <c r="G343" s="12"/>
      <c r="H343" s="73"/>
      <c r="I343" s="245"/>
    </row>
    <row r="344" spans="3:9" ht="24.75" hidden="1" customHeight="1">
      <c r="C344" s="10"/>
      <c r="D344" s="10"/>
      <c r="E344" s="10"/>
      <c r="F344" s="10"/>
      <c r="G344" s="12"/>
      <c r="H344" s="73"/>
      <c r="I344" s="245"/>
    </row>
    <row r="345" spans="3:9" ht="24.75" hidden="1" customHeight="1">
      <c r="C345" s="10"/>
      <c r="D345" s="10"/>
      <c r="E345" s="10"/>
      <c r="F345" s="10"/>
      <c r="G345" s="12"/>
      <c r="H345" s="73"/>
      <c r="I345" s="245"/>
    </row>
    <row r="346" spans="3:9" ht="24.75" hidden="1" customHeight="1">
      <c r="C346" s="10"/>
      <c r="D346" s="10"/>
      <c r="E346" s="10"/>
      <c r="F346" s="10"/>
      <c r="G346" s="12"/>
      <c r="H346" s="73"/>
      <c r="I346" s="245"/>
    </row>
    <row r="347" spans="3:9" ht="24.75" hidden="1" customHeight="1">
      <c r="C347" s="10"/>
      <c r="D347" s="10"/>
      <c r="E347" s="10"/>
      <c r="F347" s="10"/>
      <c r="G347" s="12"/>
      <c r="H347" s="73"/>
      <c r="I347" s="245"/>
    </row>
    <row r="348" spans="3:9" ht="24.75" hidden="1" customHeight="1">
      <c r="C348" s="10"/>
      <c r="D348" s="10"/>
      <c r="E348" s="10"/>
      <c r="F348" s="10"/>
      <c r="G348" s="12"/>
      <c r="H348" s="73"/>
      <c r="I348" s="245"/>
    </row>
    <row r="349" spans="3:9" ht="24.75" hidden="1" customHeight="1">
      <c r="C349" s="10"/>
      <c r="D349" s="10"/>
      <c r="E349" s="10"/>
      <c r="F349" s="10"/>
      <c r="G349" s="12"/>
      <c r="H349" s="73"/>
      <c r="I349" s="245"/>
    </row>
    <row r="350" spans="3:9" ht="24.75" hidden="1" customHeight="1">
      <c r="C350" s="10"/>
      <c r="D350" s="10"/>
      <c r="E350" s="10"/>
      <c r="F350" s="10"/>
      <c r="G350" s="12"/>
      <c r="H350" s="73"/>
      <c r="I350" s="245"/>
    </row>
    <row r="351" spans="3:9" ht="24.75" hidden="1" customHeight="1">
      <c r="C351" s="10"/>
      <c r="D351" s="10"/>
      <c r="E351" s="10"/>
      <c r="F351" s="10"/>
      <c r="G351" s="12"/>
      <c r="H351" s="73"/>
      <c r="I351" s="245"/>
    </row>
    <row r="352" spans="3:9" ht="24.75" hidden="1" customHeight="1">
      <c r="C352" s="10"/>
      <c r="D352" s="10"/>
      <c r="E352" s="10"/>
      <c r="F352" s="10"/>
      <c r="G352" s="12"/>
      <c r="H352" s="73"/>
      <c r="I352" s="245"/>
    </row>
    <row r="353" spans="3:9" ht="24.75" hidden="1" customHeight="1">
      <c r="C353" s="10"/>
      <c r="D353" s="10"/>
      <c r="E353" s="10"/>
      <c r="F353" s="10"/>
      <c r="G353" s="12"/>
      <c r="H353" s="73"/>
      <c r="I353" s="245"/>
    </row>
    <row r="354" spans="3:9" ht="24.75" hidden="1" customHeight="1">
      <c r="C354" s="10"/>
      <c r="D354" s="10"/>
      <c r="E354" s="10"/>
      <c r="F354" s="10"/>
      <c r="G354" s="12"/>
      <c r="H354" s="73"/>
      <c r="I354" s="245"/>
    </row>
    <row r="355" spans="3:9" ht="24.75" hidden="1" customHeight="1">
      <c r="C355" s="10"/>
      <c r="D355" s="10"/>
      <c r="E355" s="10"/>
      <c r="F355" s="10"/>
      <c r="G355" s="12"/>
      <c r="H355" s="73"/>
      <c r="I355" s="245"/>
    </row>
    <row r="356" spans="3:9" ht="24.75" hidden="1" customHeight="1">
      <c r="C356" s="10"/>
      <c r="D356" s="10"/>
      <c r="E356" s="10"/>
      <c r="F356" s="10"/>
      <c r="G356" s="12"/>
      <c r="H356" s="73"/>
      <c r="I356" s="245"/>
    </row>
    <row r="357" spans="3:9" ht="24.75" hidden="1" customHeight="1">
      <c r="C357" s="10"/>
      <c r="D357" s="10"/>
      <c r="E357" s="10"/>
      <c r="F357" s="10"/>
      <c r="G357" s="12"/>
      <c r="H357" s="73"/>
      <c r="I357" s="245"/>
    </row>
    <row r="358" spans="3:9" ht="24.75" hidden="1" customHeight="1">
      <c r="C358" s="10"/>
      <c r="D358" s="10"/>
      <c r="E358" s="10"/>
      <c r="F358" s="10"/>
      <c r="G358" s="12"/>
      <c r="H358" s="73"/>
      <c r="I358" s="245"/>
    </row>
    <row r="359" spans="3:9" ht="24.75" hidden="1" customHeight="1">
      <c r="C359" s="10"/>
      <c r="D359" s="10"/>
      <c r="E359" s="10"/>
      <c r="F359" s="10"/>
      <c r="G359" s="12"/>
      <c r="H359" s="73"/>
      <c r="I359" s="245"/>
    </row>
    <row r="360" spans="3:9" ht="24.75" hidden="1" customHeight="1">
      <c r="C360" s="10"/>
      <c r="D360" s="10"/>
      <c r="E360" s="10"/>
      <c r="F360" s="10"/>
      <c r="G360" s="12"/>
      <c r="H360" s="73"/>
      <c r="I360" s="245"/>
    </row>
    <row r="361" spans="3:9" ht="24.75" hidden="1" customHeight="1">
      <c r="C361" s="10"/>
      <c r="D361" s="10"/>
      <c r="E361" s="10"/>
      <c r="F361" s="10"/>
      <c r="G361" s="12"/>
      <c r="H361" s="73"/>
      <c r="I361" s="245"/>
    </row>
    <row r="362" spans="3:9" ht="24.75" hidden="1" customHeight="1">
      <c r="C362" s="10"/>
      <c r="D362" s="10"/>
      <c r="E362" s="10"/>
      <c r="F362" s="10"/>
      <c r="G362" s="12"/>
      <c r="H362" s="73"/>
      <c r="I362" s="245"/>
    </row>
    <row r="363" spans="3:9" ht="24.75" hidden="1" customHeight="1">
      <c r="C363" s="10"/>
      <c r="D363" s="10"/>
      <c r="E363" s="10"/>
      <c r="F363" s="10"/>
      <c r="G363" s="12"/>
      <c r="H363" s="73"/>
      <c r="I363" s="245"/>
    </row>
    <row r="364" spans="3:9" ht="24.75" hidden="1" customHeight="1">
      <c r="C364" s="10"/>
      <c r="D364" s="10"/>
      <c r="E364" s="10"/>
      <c r="F364" s="10"/>
      <c r="G364" s="12"/>
      <c r="H364" s="73"/>
      <c r="I364" s="245"/>
    </row>
    <row r="365" spans="3:9" ht="24.75" hidden="1" customHeight="1">
      <c r="C365" s="10"/>
      <c r="D365" s="10"/>
      <c r="E365" s="10"/>
      <c r="F365" s="10"/>
      <c r="G365" s="12"/>
      <c r="H365" s="73"/>
      <c r="I365" s="245"/>
    </row>
    <row r="366" spans="3:9" ht="24.75" hidden="1" customHeight="1">
      <c r="C366" s="10"/>
      <c r="D366" s="10"/>
      <c r="E366" s="10"/>
      <c r="F366" s="10"/>
      <c r="G366" s="12"/>
      <c r="H366" s="73"/>
      <c r="I366" s="245"/>
    </row>
    <row r="367" spans="3:9" ht="24.75" hidden="1" customHeight="1">
      <c r="C367" s="10"/>
      <c r="D367" s="10"/>
      <c r="E367" s="10"/>
      <c r="F367" s="10"/>
      <c r="G367" s="12"/>
      <c r="H367" s="73"/>
      <c r="I367" s="245"/>
    </row>
    <row r="368" spans="3:9" ht="24.75" hidden="1" customHeight="1">
      <c r="C368" s="10"/>
      <c r="D368" s="10"/>
      <c r="E368" s="10"/>
      <c r="F368" s="10"/>
      <c r="G368" s="12"/>
      <c r="H368" s="73"/>
      <c r="I368" s="245"/>
    </row>
    <row r="369" spans="3:9" ht="24.75" hidden="1" customHeight="1">
      <c r="C369" s="10"/>
      <c r="D369" s="10"/>
      <c r="E369" s="10"/>
      <c r="F369" s="10"/>
      <c r="G369" s="12"/>
      <c r="H369" s="73"/>
      <c r="I369" s="245"/>
    </row>
    <row r="370" spans="3:9" ht="24.75" hidden="1" customHeight="1">
      <c r="C370" s="10"/>
      <c r="D370" s="10"/>
      <c r="E370" s="10"/>
      <c r="F370" s="10"/>
      <c r="G370" s="12"/>
      <c r="H370" s="73"/>
      <c r="I370" s="245"/>
    </row>
    <row r="371" spans="3:9" ht="24.75" hidden="1" customHeight="1">
      <c r="C371" s="10"/>
      <c r="D371" s="10"/>
      <c r="E371" s="10"/>
      <c r="F371" s="10"/>
      <c r="G371" s="12"/>
      <c r="H371" s="73"/>
      <c r="I371" s="245"/>
    </row>
    <row r="372" spans="3:9" ht="24.75" hidden="1" customHeight="1">
      <c r="C372" s="10"/>
      <c r="D372" s="10"/>
      <c r="E372" s="10"/>
      <c r="F372" s="10"/>
      <c r="G372" s="12"/>
      <c r="H372" s="73"/>
      <c r="I372" s="245"/>
    </row>
    <row r="373" spans="3:9" ht="24.75" hidden="1" customHeight="1">
      <c r="C373" s="10"/>
      <c r="D373" s="10"/>
      <c r="E373" s="10"/>
      <c r="F373" s="10"/>
      <c r="G373" s="12"/>
      <c r="H373" s="73"/>
      <c r="I373" s="245"/>
    </row>
    <row r="374" spans="3:9" ht="24.75" hidden="1" customHeight="1">
      <c r="C374" s="10"/>
      <c r="D374" s="10"/>
      <c r="E374" s="10"/>
      <c r="F374" s="10"/>
      <c r="G374" s="12"/>
      <c r="H374" s="73"/>
      <c r="I374" s="245"/>
    </row>
    <row r="375" spans="3:9" ht="24.75" hidden="1" customHeight="1">
      <c r="C375" s="10"/>
      <c r="D375" s="10"/>
      <c r="E375" s="10"/>
      <c r="F375" s="10"/>
      <c r="G375" s="12"/>
      <c r="H375" s="73"/>
      <c r="I375" s="245"/>
    </row>
    <row r="376" spans="3:9" ht="24.75" hidden="1" customHeight="1">
      <c r="C376" s="10"/>
      <c r="D376" s="10"/>
      <c r="E376" s="10"/>
      <c r="F376" s="10"/>
      <c r="G376" s="12"/>
      <c r="H376" s="73"/>
      <c r="I376" s="245"/>
    </row>
    <row r="377" spans="3:9" ht="24.75" hidden="1" customHeight="1">
      <c r="C377" s="10"/>
      <c r="D377" s="10"/>
      <c r="E377" s="10"/>
      <c r="F377" s="10"/>
      <c r="G377" s="12"/>
      <c r="H377" s="73"/>
      <c r="I377" s="245"/>
    </row>
    <row r="378" spans="3:9" ht="24.75" hidden="1" customHeight="1">
      <c r="C378" s="10"/>
      <c r="D378" s="10"/>
      <c r="E378" s="10"/>
      <c r="F378" s="10"/>
      <c r="G378" s="12"/>
      <c r="H378" s="73"/>
      <c r="I378" s="245"/>
    </row>
    <row r="379" spans="3:9" ht="24.75" hidden="1" customHeight="1">
      <c r="C379" s="10"/>
      <c r="D379" s="10"/>
      <c r="E379" s="10"/>
      <c r="F379" s="10"/>
      <c r="G379" s="12"/>
      <c r="H379" s="73"/>
      <c r="I379" s="245"/>
    </row>
    <row r="380" spans="3:9" ht="24.75" hidden="1" customHeight="1">
      <c r="C380" s="10"/>
      <c r="D380" s="10"/>
      <c r="E380" s="10"/>
      <c r="F380" s="10"/>
      <c r="G380" s="12"/>
      <c r="H380" s="73"/>
      <c r="I380" s="245"/>
    </row>
    <row r="381" spans="3:9" ht="24.75" hidden="1" customHeight="1">
      <c r="C381" s="10"/>
      <c r="D381" s="10"/>
      <c r="E381" s="10"/>
      <c r="F381" s="10"/>
      <c r="G381" s="12"/>
      <c r="H381" s="73"/>
      <c r="I381" s="245"/>
    </row>
    <row r="382" spans="3:9" ht="24.75" hidden="1" customHeight="1">
      <c r="C382" s="10"/>
      <c r="D382" s="10"/>
      <c r="E382" s="10"/>
      <c r="F382" s="10"/>
      <c r="G382" s="12"/>
      <c r="H382" s="73"/>
      <c r="I382" s="245"/>
    </row>
    <row r="383" spans="3:9" ht="24.75" hidden="1" customHeight="1">
      <c r="C383" s="10"/>
      <c r="D383" s="10"/>
      <c r="E383" s="10"/>
      <c r="F383" s="10"/>
      <c r="G383" s="12"/>
      <c r="H383" s="73"/>
      <c r="I383" s="245"/>
    </row>
    <row r="384" spans="3:9" ht="24.75" hidden="1" customHeight="1">
      <c r="C384" s="10"/>
      <c r="D384" s="10"/>
      <c r="E384" s="10"/>
      <c r="F384" s="10"/>
      <c r="G384" s="12"/>
      <c r="H384" s="73"/>
      <c r="I384" s="245"/>
    </row>
    <row r="385" spans="3:9" ht="24.75" hidden="1" customHeight="1">
      <c r="C385" s="10"/>
      <c r="D385" s="10"/>
      <c r="E385" s="10"/>
      <c r="F385" s="10"/>
      <c r="G385" s="12"/>
      <c r="H385" s="73"/>
      <c r="I385" s="245"/>
    </row>
    <row r="386" spans="3:9" ht="24.75" hidden="1" customHeight="1">
      <c r="C386" s="10"/>
      <c r="D386" s="10"/>
      <c r="E386" s="10"/>
      <c r="F386" s="10"/>
      <c r="G386" s="12"/>
      <c r="H386" s="73"/>
      <c r="I386" s="245"/>
    </row>
    <row r="387" spans="3:9" ht="24.75" hidden="1" customHeight="1">
      <c r="C387" s="10"/>
      <c r="D387" s="10"/>
      <c r="E387" s="10"/>
      <c r="F387" s="10"/>
      <c r="G387" s="12"/>
      <c r="H387" s="73"/>
      <c r="I387" s="245"/>
    </row>
    <row r="388" spans="3:9" ht="24.75" hidden="1" customHeight="1">
      <c r="C388" s="10"/>
      <c r="D388" s="10"/>
      <c r="E388" s="10"/>
      <c r="F388" s="10"/>
      <c r="G388" s="12"/>
      <c r="H388" s="73"/>
      <c r="I388" s="245"/>
    </row>
    <row r="389" spans="3:9" ht="24.75" hidden="1" customHeight="1">
      <c r="C389" s="10"/>
      <c r="D389" s="10"/>
      <c r="E389" s="10"/>
      <c r="F389" s="10"/>
      <c r="G389" s="12"/>
      <c r="H389" s="73"/>
      <c r="I389" s="245"/>
    </row>
    <row r="390" spans="3:9" ht="24.75" hidden="1" customHeight="1">
      <c r="C390" s="10"/>
      <c r="D390" s="10"/>
      <c r="E390" s="10"/>
      <c r="F390" s="10"/>
      <c r="G390" s="12"/>
      <c r="H390" s="73"/>
      <c r="I390" s="245"/>
    </row>
    <row r="391" spans="3:9" ht="24.75" hidden="1" customHeight="1">
      <c r="C391" s="10"/>
      <c r="D391" s="10"/>
      <c r="E391" s="10"/>
      <c r="F391" s="10"/>
      <c r="G391" s="12"/>
      <c r="H391" s="73"/>
      <c r="I391" s="245"/>
    </row>
    <row r="392" spans="3:9" ht="24.75" hidden="1" customHeight="1">
      <c r="C392" s="10"/>
      <c r="D392" s="10"/>
      <c r="E392" s="10"/>
      <c r="F392" s="10"/>
      <c r="G392" s="12"/>
      <c r="H392" s="73"/>
      <c r="I392" s="245"/>
    </row>
    <row r="393" spans="3:9" ht="24.75" hidden="1" customHeight="1">
      <c r="C393" s="10"/>
      <c r="D393" s="10"/>
      <c r="E393" s="10"/>
      <c r="F393" s="10"/>
      <c r="G393" s="12"/>
      <c r="H393" s="73"/>
      <c r="I393" s="245"/>
    </row>
    <row r="394" spans="3:9" ht="24.75" hidden="1" customHeight="1">
      <c r="C394" s="10"/>
      <c r="D394" s="10"/>
      <c r="E394" s="10"/>
      <c r="F394" s="10"/>
      <c r="G394" s="12"/>
      <c r="H394" s="73"/>
      <c r="I394" s="245"/>
    </row>
    <row r="395" spans="3:9" ht="24.75" hidden="1" customHeight="1">
      <c r="C395" s="10"/>
      <c r="D395" s="10"/>
      <c r="E395" s="10"/>
      <c r="F395" s="10"/>
      <c r="G395" s="12"/>
      <c r="H395" s="73"/>
      <c r="I395" s="245"/>
    </row>
    <row r="396" spans="3:9" ht="24.75" hidden="1" customHeight="1">
      <c r="C396" s="10"/>
      <c r="D396" s="10"/>
      <c r="E396" s="10"/>
      <c r="F396" s="10"/>
      <c r="G396" s="12"/>
      <c r="H396" s="73"/>
      <c r="I396" s="245"/>
    </row>
    <row r="397" spans="3:9" ht="24.75" hidden="1" customHeight="1">
      <c r="C397" s="10"/>
      <c r="D397" s="10"/>
      <c r="E397" s="10"/>
      <c r="F397" s="10"/>
      <c r="G397" s="12"/>
      <c r="H397" s="73"/>
      <c r="I397" s="245"/>
    </row>
    <row r="398" spans="3:9" ht="24.75" hidden="1" customHeight="1">
      <c r="C398" s="10"/>
      <c r="D398" s="10"/>
      <c r="E398" s="10"/>
      <c r="F398" s="10"/>
      <c r="G398" s="12"/>
      <c r="H398" s="73"/>
      <c r="I398" s="245"/>
    </row>
    <row r="399" spans="3:9" ht="24.75" hidden="1" customHeight="1">
      <c r="C399" s="10"/>
      <c r="D399" s="10"/>
      <c r="E399" s="10"/>
      <c r="F399" s="10"/>
      <c r="G399" s="12"/>
      <c r="H399" s="73"/>
      <c r="I399" s="245"/>
    </row>
    <row r="400" spans="3:9" ht="24.75" hidden="1" customHeight="1">
      <c r="C400" s="10"/>
      <c r="D400" s="10"/>
      <c r="E400" s="10"/>
      <c r="F400" s="10"/>
      <c r="G400" s="12"/>
      <c r="H400" s="73"/>
      <c r="I400" s="245"/>
    </row>
    <row r="401" spans="3:9" ht="24.75" hidden="1" customHeight="1">
      <c r="C401" s="10"/>
      <c r="D401" s="10"/>
      <c r="E401" s="10"/>
      <c r="F401" s="10"/>
      <c r="G401" s="12"/>
      <c r="H401" s="73"/>
      <c r="I401" s="245"/>
    </row>
    <row r="402" spans="3:9" ht="24.75" hidden="1" customHeight="1">
      <c r="C402" s="10"/>
      <c r="D402" s="10"/>
      <c r="E402" s="10"/>
      <c r="F402" s="10"/>
      <c r="G402" s="12"/>
      <c r="H402" s="73"/>
      <c r="I402" s="245"/>
    </row>
    <row r="403" spans="3:9" ht="24.75" hidden="1" customHeight="1">
      <c r="C403" s="10"/>
      <c r="D403" s="10"/>
      <c r="E403" s="10"/>
      <c r="F403" s="10"/>
      <c r="G403" s="12"/>
      <c r="H403" s="73"/>
      <c r="I403" s="245"/>
    </row>
    <row r="404" spans="3:9" ht="24.75" hidden="1" customHeight="1">
      <c r="C404" s="10"/>
      <c r="D404" s="10"/>
      <c r="E404" s="10"/>
      <c r="F404" s="10"/>
      <c r="G404" s="12"/>
      <c r="H404" s="73"/>
      <c r="I404" s="245"/>
    </row>
    <row r="405" spans="3:9" ht="24.75" hidden="1" customHeight="1">
      <c r="C405" s="10"/>
      <c r="D405" s="10"/>
      <c r="E405" s="10"/>
      <c r="F405" s="10"/>
      <c r="G405" s="12"/>
      <c r="H405" s="73"/>
      <c r="I405" s="245"/>
    </row>
    <row r="406" spans="3:9" ht="24.75" hidden="1" customHeight="1">
      <c r="C406" s="10"/>
      <c r="D406" s="10"/>
      <c r="E406" s="10"/>
      <c r="F406" s="10"/>
      <c r="G406" s="12"/>
      <c r="H406" s="73"/>
      <c r="I406" s="245"/>
    </row>
    <row r="407" spans="3:9" ht="24.75" hidden="1" customHeight="1">
      <c r="C407" s="10"/>
      <c r="D407" s="10"/>
      <c r="E407" s="10"/>
      <c r="F407" s="10"/>
      <c r="G407" s="12"/>
      <c r="H407" s="73"/>
      <c r="I407" s="245"/>
    </row>
    <row r="408" spans="3:9" ht="24.75" hidden="1" customHeight="1">
      <c r="C408" s="10"/>
      <c r="D408" s="10"/>
      <c r="E408" s="10"/>
      <c r="F408" s="10"/>
      <c r="G408" s="12"/>
      <c r="H408" s="73"/>
      <c r="I408" s="245"/>
    </row>
    <row r="409" spans="3:9" ht="24.75" hidden="1" customHeight="1">
      <c r="C409" s="10"/>
      <c r="D409" s="10"/>
      <c r="E409" s="10"/>
      <c r="F409" s="10"/>
      <c r="G409" s="12"/>
      <c r="H409" s="73"/>
      <c r="I409" s="245"/>
    </row>
    <row r="410" spans="3:9" ht="24.75" hidden="1" customHeight="1">
      <c r="C410" s="10"/>
      <c r="D410" s="10"/>
      <c r="E410" s="10"/>
      <c r="F410" s="10"/>
      <c r="G410" s="12"/>
      <c r="H410" s="73"/>
      <c r="I410" s="245"/>
    </row>
    <row r="411" spans="3:9" ht="24.75" hidden="1" customHeight="1">
      <c r="C411" s="10"/>
      <c r="D411" s="10"/>
      <c r="E411" s="10"/>
      <c r="F411" s="10"/>
      <c r="G411" s="12"/>
      <c r="H411" s="73"/>
      <c r="I411" s="245"/>
    </row>
    <row r="412" spans="3:9" ht="24.75" hidden="1" customHeight="1">
      <c r="C412" s="10"/>
      <c r="D412" s="10"/>
      <c r="E412" s="10"/>
      <c r="F412" s="10"/>
      <c r="G412" s="12"/>
      <c r="H412" s="73"/>
      <c r="I412" s="245"/>
    </row>
    <row r="413" spans="3:9" ht="24.75" hidden="1" customHeight="1">
      <c r="C413" s="10"/>
      <c r="D413" s="10"/>
      <c r="E413" s="10"/>
      <c r="F413" s="10"/>
      <c r="G413" s="12"/>
      <c r="H413" s="73"/>
      <c r="I413" s="245"/>
    </row>
    <row r="414" spans="3:9" ht="24.75" hidden="1" customHeight="1">
      <c r="C414" s="10"/>
      <c r="D414" s="10"/>
      <c r="E414" s="10"/>
      <c r="F414" s="10"/>
      <c r="G414" s="12"/>
      <c r="H414" s="73"/>
      <c r="I414" s="245"/>
    </row>
    <row r="415" spans="3:9" ht="24.75" hidden="1" customHeight="1">
      <c r="C415" s="10"/>
      <c r="D415" s="10"/>
      <c r="E415" s="10"/>
      <c r="F415" s="10"/>
      <c r="G415" s="12"/>
      <c r="H415" s="73"/>
      <c r="I415" s="245"/>
    </row>
    <row r="416" spans="3:9" ht="24.75" hidden="1" customHeight="1">
      <c r="C416" s="10"/>
      <c r="D416" s="10"/>
      <c r="E416" s="10"/>
      <c r="F416" s="10"/>
      <c r="G416" s="12"/>
      <c r="H416" s="73"/>
      <c r="I416" s="245"/>
    </row>
    <row r="417" spans="3:9" ht="24.75" hidden="1" customHeight="1">
      <c r="C417" s="10"/>
      <c r="D417" s="10"/>
      <c r="E417" s="10"/>
      <c r="F417" s="10"/>
      <c r="G417" s="12"/>
      <c r="H417" s="73"/>
      <c r="I417" s="245"/>
    </row>
    <row r="418" spans="3:9" ht="24.75" hidden="1" customHeight="1">
      <c r="C418" s="10"/>
      <c r="D418" s="10"/>
      <c r="E418" s="10"/>
      <c r="F418" s="10"/>
      <c r="G418" s="12"/>
      <c r="H418" s="73"/>
      <c r="I418" s="245"/>
    </row>
    <row r="419" spans="3:9" ht="24.75" hidden="1" customHeight="1">
      <c r="C419" s="10"/>
      <c r="D419" s="10"/>
      <c r="E419" s="10"/>
      <c r="F419" s="10"/>
      <c r="G419" s="12"/>
      <c r="H419" s="73"/>
      <c r="I419" s="245"/>
    </row>
    <row r="420" spans="3:9" ht="24.75" hidden="1" customHeight="1">
      <c r="C420" s="10"/>
      <c r="D420" s="10"/>
      <c r="E420" s="10"/>
      <c r="F420" s="10"/>
      <c r="G420" s="12"/>
      <c r="H420" s="73"/>
      <c r="I420" s="245"/>
    </row>
    <row r="421" spans="3:9" ht="24.75" hidden="1" customHeight="1">
      <c r="C421" s="10"/>
      <c r="D421" s="10"/>
      <c r="E421" s="10"/>
      <c r="F421" s="10"/>
      <c r="G421" s="12"/>
      <c r="H421" s="73"/>
      <c r="I421" s="245"/>
    </row>
    <row r="422" spans="3:9" ht="24.75" hidden="1" customHeight="1">
      <c r="C422" s="10"/>
      <c r="D422" s="10"/>
      <c r="E422" s="10"/>
      <c r="F422" s="10"/>
      <c r="G422" s="12"/>
      <c r="H422" s="73"/>
      <c r="I422" s="245"/>
    </row>
    <row r="423" spans="3:9" ht="24.75" hidden="1" customHeight="1">
      <c r="C423" s="10"/>
      <c r="D423" s="10"/>
      <c r="E423" s="10"/>
      <c r="F423" s="10"/>
      <c r="G423" s="12"/>
      <c r="H423" s="73"/>
      <c r="I423" s="245"/>
    </row>
    <row r="424" spans="3:9" ht="24.75" hidden="1" customHeight="1">
      <c r="C424" s="10"/>
      <c r="D424" s="10"/>
      <c r="E424" s="10"/>
      <c r="F424" s="10"/>
      <c r="G424" s="12"/>
      <c r="H424" s="73"/>
      <c r="I424" s="245"/>
    </row>
    <row r="425" spans="3:9" ht="24.75" hidden="1" customHeight="1">
      <c r="C425" s="10"/>
      <c r="D425" s="10"/>
      <c r="E425" s="10"/>
      <c r="F425" s="10"/>
      <c r="G425" s="12"/>
      <c r="H425" s="73"/>
      <c r="I425" s="245"/>
    </row>
    <row r="426" spans="3:9" ht="24.75" hidden="1" customHeight="1">
      <c r="C426" s="10"/>
      <c r="D426" s="10"/>
      <c r="E426" s="10"/>
      <c r="F426" s="10"/>
      <c r="G426" s="12"/>
      <c r="H426" s="73"/>
      <c r="I426" s="245"/>
    </row>
    <row r="427" spans="3:9" ht="24.75" hidden="1" customHeight="1">
      <c r="C427" s="10"/>
      <c r="D427" s="10"/>
      <c r="E427" s="10"/>
      <c r="F427" s="10"/>
      <c r="G427" s="12"/>
      <c r="H427" s="73"/>
      <c r="I427" s="245"/>
    </row>
    <row r="428" spans="3:9" ht="24.75" hidden="1" customHeight="1">
      <c r="C428" s="10"/>
      <c r="D428" s="10"/>
      <c r="E428" s="10"/>
      <c r="F428" s="10"/>
      <c r="G428" s="12"/>
      <c r="H428" s="73"/>
      <c r="I428" s="245"/>
    </row>
    <row r="429" spans="3:9" ht="24.75" hidden="1" customHeight="1">
      <c r="C429" s="10"/>
      <c r="D429" s="10"/>
      <c r="E429" s="10"/>
      <c r="F429" s="10"/>
      <c r="G429" s="12"/>
      <c r="H429" s="73"/>
      <c r="I429" s="245"/>
    </row>
    <row r="430" spans="3:9" ht="24.75" hidden="1" customHeight="1">
      <c r="C430" s="10"/>
      <c r="D430" s="10"/>
      <c r="E430" s="10"/>
      <c r="F430" s="10"/>
      <c r="G430" s="12"/>
      <c r="H430" s="73"/>
      <c r="I430" s="245"/>
    </row>
    <row r="431" spans="3:9" ht="24.75" hidden="1" customHeight="1">
      <c r="C431" s="10"/>
      <c r="D431" s="10"/>
      <c r="E431" s="10"/>
      <c r="F431" s="10"/>
      <c r="G431" s="12"/>
      <c r="H431" s="73"/>
      <c r="I431" s="245"/>
    </row>
    <row r="432" spans="3:9" ht="24.75" hidden="1" customHeight="1">
      <c r="C432" s="10"/>
      <c r="D432" s="10"/>
      <c r="E432" s="10"/>
      <c r="F432" s="10"/>
      <c r="G432" s="12"/>
      <c r="H432" s="73"/>
      <c r="I432" s="245"/>
    </row>
    <row r="433" spans="3:9" ht="24.75" hidden="1" customHeight="1">
      <c r="C433" s="10"/>
      <c r="D433" s="10"/>
      <c r="E433" s="10"/>
      <c r="F433" s="10"/>
      <c r="G433" s="12"/>
      <c r="H433" s="73"/>
      <c r="I433" s="245"/>
    </row>
    <row r="434" spans="3:9" ht="24.75" hidden="1" customHeight="1">
      <c r="C434" s="10"/>
      <c r="D434" s="10"/>
      <c r="E434" s="10"/>
      <c r="F434" s="10"/>
      <c r="G434" s="12"/>
      <c r="H434" s="73"/>
      <c r="I434" s="245"/>
    </row>
    <row r="435" spans="3:9" ht="24.75" hidden="1" customHeight="1">
      <c r="C435" s="10"/>
      <c r="D435" s="10"/>
      <c r="E435" s="10"/>
      <c r="F435" s="10"/>
      <c r="G435" s="12"/>
      <c r="H435" s="73"/>
      <c r="I435" s="245"/>
    </row>
    <row r="436" spans="3:9" ht="24.75" hidden="1" customHeight="1">
      <c r="C436" s="10"/>
      <c r="D436" s="10"/>
      <c r="E436" s="10"/>
      <c r="F436" s="10"/>
      <c r="G436" s="12"/>
      <c r="H436" s="73"/>
      <c r="I436" s="245"/>
    </row>
    <row r="437" spans="3:9" ht="24.75" hidden="1" customHeight="1">
      <c r="C437" s="10"/>
      <c r="D437" s="10"/>
      <c r="E437" s="10"/>
      <c r="F437" s="10"/>
      <c r="G437" s="12"/>
      <c r="H437" s="73"/>
      <c r="I437" s="245"/>
    </row>
    <row r="438" spans="3:9" ht="24.75" hidden="1" customHeight="1">
      <c r="C438" s="10"/>
      <c r="D438" s="10"/>
      <c r="E438" s="10"/>
      <c r="F438" s="10"/>
      <c r="G438" s="12"/>
      <c r="H438" s="73"/>
      <c r="I438" s="245"/>
    </row>
    <row r="439" spans="3:9" ht="24.75" hidden="1" customHeight="1">
      <c r="C439" s="10"/>
      <c r="D439" s="10"/>
      <c r="E439" s="10"/>
      <c r="F439" s="10"/>
      <c r="G439" s="12"/>
      <c r="H439" s="73"/>
      <c r="I439" s="245"/>
    </row>
    <row r="440" spans="3:9" ht="24.75" hidden="1" customHeight="1">
      <c r="C440" s="10"/>
      <c r="D440" s="10"/>
      <c r="E440" s="10"/>
      <c r="F440" s="10"/>
      <c r="G440" s="12"/>
      <c r="H440" s="73"/>
      <c r="I440" s="245"/>
    </row>
    <row r="441" spans="3:9" ht="24.75" hidden="1" customHeight="1">
      <c r="C441" s="10"/>
      <c r="D441" s="10"/>
      <c r="E441" s="10"/>
      <c r="F441" s="10"/>
      <c r="G441" s="12"/>
      <c r="H441" s="73"/>
      <c r="I441" s="245"/>
    </row>
    <row r="442" spans="3:9" ht="24.75" hidden="1" customHeight="1">
      <c r="C442" s="10"/>
      <c r="D442" s="10"/>
      <c r="E442" s="10"/>
      <c r="F442" s="10"/>
      <c r="G442" s="12"/>
      <c r="H442" s="73"/>
      <c r="I442" s="245"/>
    </row>
    <row r="443" spans="3:9" ht="24.75" hidden="1" customHeight="1">
      <c r="C443" s="10"/>
      <c r="D443" s="10"/>
      <c r="E443" s="10"/>
      <c r="F443" s="10"/>
      <c r="G443" s="12"/>
      <c r="H443" s="73"/>
      <c r="I443" s="245"/>
    </row>
    <row r="444" spans="3:9" ht="24.75" hidden="1" customHeight="1">
      <c r="C444" s="10"/>
      <c r="D444" s="10"/>
      <c r="E444" s="10"/>
      <c r="F444" s="10"/>
      <c r="G444" s="12"/>
      <c r="H444" s="73"/>
      <c r="I444" s="245"/>
    </row>
    <row r="445" spans="3:9" ht="24.75" hidden="1" customHeight="1">
      <c r="C445" s="10"/>
      <c r="D445" s="10"/>
      <c r="E445" s="10"/>
      <c r="F445" s="10"/>
      <c r="G445" s="12"/>
      <c r="H445" s="73"/>
      <c r="I445" s="245"/>
    </row>
    <row r="446" spans="3:9" ht="24.75" hidden="1" customHeight="1">
      <c r="C446" s="10"/>
      <c r="D446" s="10"/>
      <c r="E446" s="10"/>
      <c r="F446" s="10"/>
      <c r="G446" s="12"/>
      <c r="H446" s="73"/>
      <c r="I446" s="245"/>
    </row>
    <row r="447" spans="3:9" ht="24.75" hidden="1" customHeight="1">
      <c r="C447" s="10"/>
      <c r="D447" s="10"/>
      <c r="E447" s="10"/>
      <c r="F447" s="10"/>
      <c r="G447" s="12"/>
      <c r="H447" s="73"/>
      <c r="I447" s="245"/>
    </row>
    <row r="448" spans="3:9" ht="24.75" hidden="1" customHeight="1">
      <c r="C448" s="10"/>
      <c r="D448" s="10"/>
      <c r="E448" s="10"/>
      <c r="F448" s="10"/>
      <c r="G448" s="12"/>
      <c r="H448" s="73"/>
      <c r="I448" s="245"/>
    </row>
    <row r="449" spans="3:9" ht="24.75" hidden="1" customHeight="1">
      <c r="C449" s="10"/>
      <c r="D449" s="10"/>
      <c r="E449" s="10"/>
      <c r="F449" s="10"/>
      <c r="G449" s="12"/>
      <c r="H449" s="73"/>
      <c r="I449" s="245"/>
    </row>
    <row r="450" spans="3:9" ht="24.75" hidden="1" customHeight="1">
      <c r="C450" s="10"/>
      <c r="D450" s="10"/>
      <c r="E450" s="10"/>
      <c r="F450" s="10"/>
      <c r="G450" s="12"/>
      <c r="H450" s="73"/>
      <c r="I450" s="245"/>
    </row>
    <row r="451" spans="3:9" ht="24.75" hidden="1" customHeight="1">
      <c r="C451" s="10"/>
      <c r="D451" s="10"/>
      <c r="E451" s="10"/>
      <c r="F451" s="10"/>
      <c r="G451" s="12"/>
      <c r="H451" s="73"/>
      <c r="I451" s="245"/>
    </row>
    <row r="452" spans="3:9" ht="24.75" hidden="1" customHeight="1">
      <c r="C452" s="10"/>
      <c r="D452" s="10"/>
      <c r="E452" s="10"/>
      <c r="F452" s="10"/>
      <c r="G452" s="12"/>
      <c r="H452" s="73"/>
      <c r="I452" s="245"/>
    </row>
    <row r="453" spans="3:9" ht="24.75" hidden="1" customHeight="1">
      <c r="C453" s="10"/>
      <c r="D453" s="10"/>
      <c r="E453" s="10"/>
      <c r="F453" s="10"/>
      <c r="G453" s="12"/>
      <c r="H453" s="73"/>
      <c r="I453" s="245"/>
    </row>
    <row r="454" spans="3:9" ht="24.75" hidden="1" customHeight="1">
      <c r="C454" s="10"/>
      <c r="D454" s="10"/>
      <c r="E454" s="10"/>
      <c r="F454" s="10"/>
      <c r="G454" s="12"/>
      <c r="H454" s="73"/>
      <c r="I454" s="245"/>
    </row>
    <row r="455" spans="3:9" ht="24.75" hidden="1" customHeight="1">
      <c r="C455" s="10"/>
      <c r="D455" s="10"/>
      <c r="E455" s="10"/>
      <c r="F455" s="10"/>
      <c r="G455" s="12"/>
      <c r="H455" s="73"/>
      <c r="I455" s="245"/>
    </row>
    <row r="456" spans="3:9" ht="24.75" hidden="1" customHeight="1">
      <c r="C456" s="10"/>
      <c r="D456" s="10"/>
      <c r="E456" s="10"/>
      <c r="F456" s="10"/>
      <c r="G456" s="12"/>
      <c r="H456" s="73"/>
      <c r="I456" s="245"/>
    </row>
    <row r="457" spans="3:9" ht="24.75" hidden="1" customHeight="1">
      <c r="C457" s="10"/>
      <c r="D457" s="10"/>
      <c r="E457" s="10"/>
      <c r="F457" s="10"/>
      <c r="G457" s="12"/>
      <c r="H457" s="73"/>
      <c r="I457" s="245"/>
    </row>
    <row r="458" spans="3:9" ht="24.75" hidden="1" customHeight="1">
      <c r="C458" s="10"/>
      <c r="D458" s="10"/>
      <c r="E458" s="10"/>
      <c r="F458" s="10"/>
      <c r="G458" s="12"/>
      <c r="H458" s="73"/>
      <c r="I458" s="245"/>
    </row>
    <row r="459" spans="3:9" ht="24.75" hidden="1" customHeight="1">
      <c r="C459" s="10"/>
      <c r="D459" s="10"/>
      <c r="E459" s="10"/>
      <c r="F459" s="10"/>
      <c r="G459" s="12"/>
      <c r="H459" s="73"/>
      <c r="I459" s="245"/>
    </row>
    <row r="460" spans="3:9" ht="24.75" hidden="1" customHeight="1">
      <c r="C460" s="10"/>
      <c r="D460" s="10"/>
      <c r="E460" s="10"/>
      <c r="F460" s="10"/>
      <c r="G460" s="12"/>
      <c r="H460" s="73"/>
      <c r="I460" s="245"/>
    </row>
    <row r="461" spans="3:9" ht="24.75" hidden="1" customHeight="1">
      <c r="C461" s="10"/>
      <c r="D461" s="10"/>
      <c r="E461" s="10"/>
      <c r="F461" s="10"/>
      <c r="G461" s="12"/>
      <c r="H461" s="73"/>
      <c r="I461" s="245"/>
    </row>
    <row r="462" spans="3:9" ht="24.75" hidden="1" customHeight="1">
      <c r="C462" s="10"/>
      <c r="D462" s="10"/>
      <c r="E462" s="10"/>
      <c r="F462" s="10"/>
      <c r="G462" s="12"/>
      <c r="H462" s="73"/>
      <c r="I462" s="245"/>
    </row>
    <row r="463" spans="3:9" ht="24.75" hidden="1" customHeight="1">
      <c r="C463" s="10"/>
      <c r="D463" s="10"/>
      <c r="E463" s="10"/>
      <c r="F463" s="10"/>
      <c r="G463" s="12"/>
      <c r="H463" s="73"/>
      <c r="I463" s="245"/>
    </row>
    <row r="464" spans="3:9" ht="24.75" hidden="1" customHeight="1">
      <c r="C464" s="10"/>
      <c r="D464" s="10"/>
      <c r="E464" s="10"/>
      <c r="F464" s="10"/>
      <c r="G464" s="12"/>
      <c r="H464" s="73"/>
      <c r="I464" s="245"/>
    </row>
    <row r="465" spans="3:9" ht="24.75" hidden="1" customHeight="1">
      <c r="C465" s="10"/>
      <c r="D465" s="10"/>
      <c r="E465" s="10"/>
      <c r="F465" s="10"/>
      <c r="G465" s="12"/>
      <c r="H465" s="73"/>
      <c r="I465" s="245"/>
    </row>
    <row r="466" spans="3:9" ht="24.75" hidden="1" customHeight="1">
      <c r="C466" s="10"/>
      <c r="D466" s="10"/>
      <c r="E466" s="10"/>
      <c r="F466" s="10"/>
      <c r="G466" s="12"/>
      <c r="H466" s="73"/>
      <c r="I466" s="245"/>
    </row>
    <row r="467" spans="3:9" ht="24.75" hidden="1" customHeight="1">
      <c r="C467" s="10"/>
      <c r="D467" s="10"/>
      <c r="E467" s="10"/>
      <c r="F467" s="10"/>
      <c r="G467" s="12"/>
      <c r="H467" s="73"/>
      <c r="I467" s="245"/>
    </row>
    <row r="468" spans="3:9" ht="24.75" hidden="1" customHeight="1">
      <c r="C468" s="10"/>
      <c r="D468" s="10"/>
      <c r="E468" s="10"/>
      <c r="F468" s="10"/>
      <c r="G468" s="12"/>
      <c r="H468" s="73"/>
      <c r="I468" s="245"/>
    </row>
    <row r="469" spans="3:9" ht="24.75" hidden="1" customHeight="1">
      <c r="C469" s="10"/>
      <c r="D469" s="10"/>
      <c r="E469" s="10"/>
      <c r="F469" s="10"/>
      <c r="G469" s="12"/>
      <c r="H469" s="73"/>
      <c r="I469" s="245"/>
    </row>
    <row r="470" spans="3:9" ht="24.75" hidden="1" customHeight="1">
      <c r="C470" s="10"/>
      <c r="D470" s="10"/>
      <c r="E470" s="10"/>
      <c r="F470" s="10"/>
      <c r="G470" s="12"/>
      <c r="H470" s="73"/>
      <c r="I470" s="245"/>
    </row>
    <row r="471" spans="3:9" ht="24.75" hidden="1" customHeight="1">
      <c r="C471" s="10"/>
      <c r="D471" s="10"/>
      <c r="E471" s="10"/>
      <c r="F471" s="10"/>
      <c r="G471" s="12"/>
      <c r="H471" s="73"/>
      <c r="I471" s="245"/>
    </row>
    <row r="472" spans="3:9" ht="24.75" hidden="1" customHeight="1">
      <c r="C472" s="10"/>
      <c r="D472" s="10"/>
      <c r="E472" s="10"/>
      <c r="F472" s="10"/>
      <c r="G472" s="12"/>
      <c r="H472" s="73"/>
      <c r="I472" s="245"/>
    </row>
    <row r="473" spans="3:9" ht="24.75" hidden="1" customHeight="1">
      <c r="C473" s="10"/>
      <c r="D473" s="10"/>
      <c r="E473" s="10"/>
      <c r="F473" s="10"/>
      <c r="G473" s="12"/>
      <c r="H473" s="73"/>
      <c r="I473" s="245"/>
    </row>
    <row r="474" spans="3:9" ht="24.75" hidden="1" customHeight="1">
      <c r="C474" s="10"/>
      <c r="D474" s="10"/>
      <c r="E474" s="10"/>
      <c r="F474" s="10"/>
      <c r="G474" s="12"/>
      <c r="H474" s="73"/>
      <c r="I474" s="245"/>
    </row>
    <row r="475" spans="3:9" ht="24.75" hidden="1" customHeight="1">
      <c r="C475" s="10"/>
      <c r="D475" s="10"/>
      <c r="E475" s="10"/>
      <c r="F475" s="10"/>
      <c r="G475" s="12"/>
      <c r="H475" s="73"/>
      <c r="I475" s="245"/>
    </row>
    <row r="476" spans="3:9" ht="24.75" hidden="1" customHeight="1">
      <c r="C476" s="10"/>
      <c r="D476" s="10"/>
      <c r="E476" s="10"/>
      <c r="F476" s="10"/>
      <c r="G476" s="12"/>
      <c r="H476" s="73"/>
      <c r="I476" s="245"/>
    </row>
    <row r="477" spans="3:9" ht="24.75" hidden="1" customHeight="1">
      <c r="C477" s="10"/>
      <c r="D477" s="10"/>
      <c r="E477" s="10"/>
      <c r="F477" s="10"/>
      <c r="G477" s="12"/>
      <c r="H477" s="73"/>
      <c r="I477" s="245"/>
    </row>
    <row r="478" spans="3:9" ht="24.75" hidden="1" customHeight="1">
      <c r="C478" s="10"/>
      <c r="D478" s="10"/>
      <c r="E478" s="10"/>
      <c r="F478" s="10"/>
      <c r="G478" s="12"/>
      <c r="H478" s="73"/>
      <c r="I478" s="245"/>
    </row>
    <row r="479" spans="3:9" ht="24.75" hidden="1" customHeight="1">
      <c r="C479" s="10"/>
      <c r="D479" s="10"/>
      <c r="E479" s="10"/>
      <c r="F479" s="10"/>
      <c r="G479" s="12"/>
      <c r="H479" s="73"/>
      <c r="I479" s="245"/>
    </row>
    <row r="480" spans="3:9" ht="24.75" hidden="1" customHeight="1">
      <c r="C480" s="10"/>
      <c r="D480" s="10"/>
      <c r="E480" s="10"/>
      <c r="F480" s="10"/>
      <c r="G480" s="12"/>
      <c r="H480" s="73"/>
      <c r="I480" s="245"/>
    </row>
    <row r="481" spans="3:9" ht="24.75" hidden="1" customHeight="1">
      <c r="C481" s="10"/>
      <c r="D481" s="10"/>
      <c r="E481" s="10"/>
      <c r="F481" s="10"/>
      <c r="G481" s="12"/>
      <c r="H481" s="73"/>
      <c r="I481" s="245"/>
    </row>
    <row r="482" spans="3:9" ht="24.75" hidden="1" customHeight="1">
      <c r="C482" s="10"/>
      <c r="D482" s="10"/>
      <c r="E482" s="10"/>
      <c r="F482" s="10"/>
      <c r="G482" s="12"/>
      <c r="H482" s="73"/>
      <c r="I482" s="245"/>
    </row>
    <row r="483" spans="3:9" ht="24.75" hidden="1" customHeight="1">
      <c r="C483" s="10"/>
      <c r="D483" s="10"/>
      <c r="E483" s="10"/>
      <c r="F483" s="10"/>
      <c r="G483" s="12"/>
      <c r="H483" s="73"/>
      <c r="I483" s="245"/>
    </row>
    <row r="484" spans="3:9" ht="24.75" hidden="1" customHeight="1">
      <c r="C484" s="10"/>
      <c r="D484" s="10"/>
      <c r="E484" s="10"/>
      <c r="F484" s="10"/>
      <c r="G484" s="12"/>
      <c r="H484" s="73"/>
      <c r="I484" s="245"/>
    </row>
    <row r="485" spans="3:9" ht="24.75" hidden="1" customHeight="1">
      <c r="C485" s="10"/>
      <c r="D485" s="10"/>
      <c r="E485" s="10"/>
      <c r="F485" s="10"/>
      <c r="G485" s="12"/>
      <c r="H485" s="73"/>
      <c r="I485" s="245"/>
    </row>
    <row r="486" spans="3:9" ht="24.75" hidden="1" customHeight="1">
      <c r="C486" s="10"/>
      <c r="D486" s="10"/>
      <c r="E486" s="10"/>
      <c r="F486" s="10"/>
      <c r="G486" s="12"/>
      <c r="H486" s="73"/>
      <c r="I486" s="245"/>
    </row>
    <row r="487" spans="3:9" ht="24.75" hidden="1" customHeight="1">
      <c r="C487" s="10"/>
      <c r="D487" s="10"/>
      <c r="E487" s="10"/>
      <c r="F487" s="10"/>
      <c r="G487" s="12"/>
      <c r="H487" s="73"/>
      <c r="I487" s="245"/>
    </row>
    <row r="488" spans="3:9" ht="24.75" hidden="1" customHeight="1">
      <c r="C488" s="10"/>
      <c r="D488" s="10"/>
      <c r="E488" s="10"/>
      <c r="F488" s="10"/>
      <c r="G488" s="12"/>
      <c r="H488" s="73"/>
      <c r="I488" s="245"/>
    </row>
    <row r="489" spans="3:9" ht="24.75" hidden="1" customHeight="1">
      <c r="C489" s="10"/>
      <c r="D489" s="10"/>
      <c r="E489" s="10"/>
      <c r="F489" s="10"/>
      <c r="G489" s="12"/>
      <c r="H489" s="73"/>
      <c r="I489" s="245"/>
    </row>
    <row r="490" spans="3:9" ht="24.75" hidden="1" customHeight="1">
      <c r="C490" s="10"/>
      <c r="D490" s="10"/>
      <c r="E490" s="10"/>
      <c r="F490" s="10"/>
      <c r="G490" s="12"/>
      <c r="H490" s="73"/>
      <c r="I490" s="245"/>
    </row>
    <row r="491" spans="3:9" ht="24.75" hidden="1" customHeight="1">
      <c r="C491" s="10"/>
      <c r="D491" s="10"/>
      <c r="E491" s="10"/>
      <c r="F491" s="10"/>
      <c r="G491" s="12"/>
      <c r="H491" s="73"/>
      <c r="I491" s="245"/>
    </row>
    <row r="492" spans="3:9" ht="24.75" hidden="1" customHeight="1">
      <c r="C492" s="10"/>
      <c r="D492" s="10"/>
      <c r="E492" s="10"/>
      <c r="F492" s="10"/>
      <c r="G492" s="12"/>
      <c r="H492" s="73"/>
      <c r="I492" s="245"/>
    </row>
    <row r="493" spans="3:9" ht="24.75" hidden="1" customHeight="1">
      <c r="C493" s="10"/>
      <c r="D493" s="10"/>
      <c r="E493" s="10"/>
      <c r="F493" s="10"/>
      <c r="G493" s="12"/>
      <c r="H493" s="73"/>
      <c r="I493" s="245"/>
    </row>
    <row r="494" spans="3:9" ht="24.75" hidden="1" customHeight="1">
      <c r="C494" s="10"/>
      <c r="D494" s="10"/>
      <c r="E494" s="10"/>
      <c r="F494" s="10"/>
      <c r="G494" s="12"/>
      <c r="H494" s="73"/>
      <c r="I494" s="245"/>
    </row>
    <row r="495" spans="3:9" ht="24.75" hidden="1" customHeight="1">
      <c r="C495" s="10"/>
      <c r="D495" s="10"/>
      <c r="E495" s="10"/>
      <c r="F495" s="10"/>
      <c r="G495" s="12"/>
      <c r="H495" s="73"/>
      <c r="I495" s="245"/>
    </row>
    <row r="496" spans="3:9" ht="24.75" hidden="1" customHeight="1">
      <c r="C496" s="10"/>
      <c r="D496" s="10"/>
      <c r="E496" s="10"/>
      <c r="F496" s="10"/>
      <c r="G496" s="12"/>
      <c r="H496" s="73"/>
      <c r="I496" s="245"/>
    </row>
    <row r="497" spans="3:9" ht="24.75" hidden="1" customHeight="1">
      <c r="C497" s="10"/>
      <c r="D497" s="10"/>
      <c r="E497" s="10"/>
      <c r="F497" s="10"/>
      <c r="G497" s="12"/>
      <c r="H497" s="73"/>
      <c r="I497" s="245"/>
    </row>
    <row r="498" spans="3:9" ht="24.75" hidden="1" customHeight="1">
      <c r="C498" s="10"/>
      <c r="D498" s="10"/>
      <c r="E498" s="10"/>
      <c r="F498" s="10"/>
      <c r="G498" s="12"/>
      <c r="H498" s="73"/>
      <c r="I498" s="245"/>
    </row>
    <row r="499" spans="3:9" ht="24.75" hidden="1" customHeight="1">
      <c r="C499" s="10"/>
      <c r="D499" s="10"/>
      <c r="E499" s="10"/>
      <c r="F499" s="10"/>
      <c r="G499" s="12"/>
      <c r="H499" s="73"/>
      <c r="I499" s="245"/>
    </row>
    <row r="500" spans="3:9" ht="24.75" hidden="1" customHeight="1">
      <c r="C500" s="10"/>
      <c r="D500" s="10"/>
      <c r="E500" s="10"/>
      <c r="F500" s="10"/>
      <c r="G500" s="12"/>
      <c r="H500" s="73"/>
      <c r="I500" s="245"/>
    </row>
    <row r="501" spans="3:9" ht="24.75" hidden="1" customHeight="1">
      <c r="C501" s="10"/>
      <c r="D501" s="10"/>
      <c r="E501" s="10"/>
      <c r="F501" s="10"/>
      <c r="G501" s="12"/>
      <c r="H501" s="73"/>
      <c r="I501" s="245"/>
    </row>
    <row r="502" spans="3:9" ht="24.75" hidden="1" customHeight="1">
      <c r="C502" s="10"/>
      <c r="D502" s="10"/>
      <c r="E502" s="10"/>
      <c r="F502" s="10"/>
      <c r="G502" s="12"/>
      <c r="H502" s="73"/>
      <c r="I502" s="245"/>
    </row>
    <row r="503" spans="3:9" ht="24.75" hidden="1" customHeight="1">
      <c r="C503" s="10"/>
      <c r="D503" s="10"/>
      <c r="E503" s="10"/>
      <c r="F503" s="10"/>
      <c r="G503" s="12"/>
      <c r="H503" s="73"/>
      <c r="I503" s="245"/>
    </row>
    <row r="504" spans="3:9" ht="24.75" hidden="1" customHeight="1">
      <c r="C504" s="10"/>
      <c r="D504" s="10"/>
      <c r="E504" s="10"/>
      <c r="F504" s="10"/>
      <c r="G504" s="12"/>
      <c r="H504" s="73"/>
      <c r="I504" s="245"/>
    </row>
    <row r="505" spans="3:9" ht="24.75" hidden="1" customHeight="1">
      <c r="C505" s="10"/>
      <c r="D505" s="10"/>
      <c r="E505" s="10"/>
      <c r="F505" s="10"/>
      <c r="G505" s="12"/>
      <c r="H505" s="73"/>
      <c r="I505" s="245"/>
    </row>
    <row r="506" spans="3:9" ht="24.75" hidden="1" customHeight="1">
      <c r="C506" s="10"/>
      <c r="D506" s="10"/>
      <c r="E506" s="10"/>
      <c r="F506" s="10"/>
      <c r="G506" s="12"/>
      <c r="H506" s="73"/>
      <c r="I506" s="245"/>
    </row>
    <row r="507" spans="3:9" ht="24.75" hidden="1" customHeight="1">
      <c r="C507" s="10"/>
      <c r="D507" s="10"/>
      <c r="E507" s="10"/>
      <c r="F507" s="10"/>
      <c r="G507" s="12"/>
      <c r="H507" s="73"/>
      <c r="I507" s="245"/>
    </row>
    <row r="508" spans="3:9" ht="24.75" hidden="1" customHeight="1">
      <c r="C508" s="10"/>
      <c r="D508" s="10"/>
      <c r="E508" s="10"/>
      <c r="F508" s="10"/>
      <c r="G508" s="12"/>
      <c r="H508" s="73"/>
      <c r="I508" s="245"/>
    </row>
    <row r="509" spans="3:9" ht="24.75" hidden="1" customHeight="1">
      <c r="C509" s="10"/>
      <c r="D509" s="10"/>
      <c r="E509" s="10"/>
      <c r="F509" s="10"/>
      <c r="G509" s="12"/>
      <c r="H509" s="73"/>
      <c r="I509" s="245"/>
    </row>
    <row r="510" spans="3:9" ht="24.75" hidden="1" customHeight="1">
      <c r="C510" s="10"/>
      <c r="D510" s="10"/>
      <c r="E510" s="10"/>
      <c r="F510" s="10"/>
      <c r="G510" s="12"/>
      <c r="H510" s="73"/>
      <c r="I510" s="245"/>
    </row>
    <row r="511" spans="3:9" ht="24.75" hidden="1" customHeight="1">
      <c r="C511" s="10"/>
      <c r="D511" s="10"/>
      <c r="E511" s="10"/>
      <c r="F511" s="10"/>
      <c r="G511" s="12"/>
      <c r="H511" s="73"/>
      <c r="I511" s="245"/>
    </row>
    <row r="512" spans="3:9" ht="24.75" hidden="1" customHeight="1">
      <c r="C512" s="10"/>
      <c r="D512" s="10"/>
      <c r="E512" s="10"/>
      <c r="F512" s="10"/>
      <c r="G512" s="12"/>
      <c r="H512" s="73"/>
      <c r="I512" s="245"/>
    </row>
    <row r="513" spans="3:9" ht="24.75" hidden="1" customHeight="1">
      <c r="C513" s="10"/>
      <c r="D513" s="10"/>
      <c r="E513" s="10"/>
      <c r="F513" s="10"/>
      <c r="G513" s="12"/>
      <c r="H513" s="73"/>
      <c r="I513" s="245"/>
    </row>
    <row r="514" spans="3:9" ht="24.75" hidden="1" customHeight="1">
      <c r="C514" s="10"/>
      <c r="D514" s="10"/>
      <c r="E514" s="10"/>
      <c r="F514" s="10"/>
      <c r="G514" s="12"/>
      <c r="H514" s="73"/>
      <c r="I514" s="245"/>
    </row>
    <row r="515" spans="3:9" ht="24.75" hidden="1" customHeight="1">
      <c r="C515" s="10"/>
      <c r="D515" s="10"/>
      <c r="E515" s="10"/>
      <c r="F515" s="10"/>
      <c r="G515" s="12"/>
      <c r="H515" s="73"/>
      <c r="I515" s="245"/>
    </row>
    <row r="516" spans="3:9" ht="24.75" hidden="1" customHeight="1">
      <c r="C516" s="10"/>
      <c r="D516" s="10"/>
      <c r="E516" s="10"/>
      <c r="F516" s="10"/>
      <c r="G516" s="12"/>
      <c r="H516" s="73"/>
      <c r="I516" s="245"/>
    </row>
    <row r="517" spans="3:9" ht="24.75" hidden="1" customHeight="1">
      <c r="C517" s="10"/>
      <c r="D517" s="10"/>
      <c r="E517" s="10"/>
      <c r="F517" s="10"/>
      <c r="G517" s="12"/>
      <c r="H517" s="73"/>
      <c r="I517" s="245"/>
    </row>
    <row r="518" spans="3:9" ht="24.75" hidden="1" customHeight="1">
      <c r="C518" s="10"/>
      <c r="D518" s="10"/>
      <c r="E518" s="10"/>
      <c r="F518" s="10"/>
      <c r="G518" s="12"/>
      <c r="H518" s="73"/>
      <c r="I518" s="245"/>
    </row>
    <row r="519" spans="3:9" ht="24.75" hidden="1" customHeight="1">
      <c r="C519" s="10"/>
      <c r="D519" s="10"/>
      <c r="E519" s="10"/>
      <c r="F519" s="10"/>
      <c r="G519" s="12"/>
      <c r="H519" s="73"/>
      <c r="I519" s="245"/>
    </row>
    <row r="520" spans="3:9" ht="24.75" hidden="1" customHeight="1">
      <c r="C520" s="10"/>
      <c r="D520" s="10"/>
      <c r="E520" s="10"/>
      <c r="F520" s="10"/>
      <c r="G520" s="12"/>
      <c r="H520" s="73"/>
      <c r="I520" s="245"/>
    </row>
    <row r="521" spans="3:9" ht="24.75" hidden="1" customHeight="1">
      <c r="C521" s="10"/>
      <c r="D521" s="10"/>
      <c r="E521" s="10"/>
      <c r="F521" s="10"/>
      <c r="G521" s="12"/>
      <c r="H521" s="73"/>
      <c r="I521" s="245"/>
    </row>
    <row r="522" spans="3:9" ht="24.75" hidden="1" customHeight="1">
      <c r="C522" s="10"/>
      <c r="D522" s="10"/>
      <c r="E522" s="10"/>
      <c r="F522" s="10"/>
      <c r="G522" s="12"/>
      <c r="H522" s="73"/>
      <c r="I522" s="245"/>
    </row>
    <row r="523" spans="3:9" ht="24.75" hidden="1" customHeight="1">
      <c r="C523" s="10"/>
      <c r="D523" s="10"/>
      <c r="E523" s="10"/>
      <c r="F523" s="10"/>
      <c r="G523" s="12"/>
      <c r="H523" s="73"/>
      <c r="I523" s="245"/>
    </row>
    <row r="524" spans="3:9" ht="24.75" hidden="1" customHeight="1">
      <c r="C524" s="10"/>
      <c r="D524" s="10"/>
      <c r="E524" s="10"/>
      <c r="F524" s="10"/>
      <c r="G524" s="12"/>
      <c r="H524" s="73"/>
      <c r="I524" s="245"/>
    </row>
    <row r="525" spans="3:9" ht="24.75" hidden="1" customHeight="1">
      <c r="C525" s="10"/>
      <c r="D525" s="10"/>
      <c r="E525" s="10"/>
      <c r="F525" s="10"/>
      <c r="G525" s="12"/>
      <c r="H525" s="73"/>
      <c r="I525" s="245"/>
    </row>
    <row r="526" spans="3:9" ht="24.75" hidden="1" customHeight="1">
      <c r="C526" s="10"/>
      <c r="D526" s="10"/>
      <c r="E526" s="10"/>
      <c r="F526" s="10"/>
      <c r="G526" s="12"/>
      <c r="H526" s="73"/>
      <c r="I526" s="245"/>
    </row>
    <row r="527" spans="3:9" ht="24.75" hidden="1" customHeight="1">
      <c r="C527" s="10"/>
      <c r="D527" s="10"/>
      <c r="E527" s="10"/>
      <c r="F527" s="10"/>
      <c r="G527" s="12"/>
      <c r="H527" s="73"/>
      <c r="I527" s="245"/>
    </row>
    <row r="528" spans="3:9" ht="24.75" hidden="1" customHeight="1">
      <c r="C528" s="10"/>
      <c r="D528" s="10"/>
      <c r="E528" s="10"/>
      <c r="F528" s="10"/>
      <c r="G528" s="12"/>
      <c r="H528" s="73"/>
      <c r="I528" s="245"/>
    </row>
    <row r="529" spans="3:9" ht="24.75" hidden="1" customHeight="1">
      <c r="C529" s="10"/>
      <c r="D529" s="10"/>
      <c r="E529" s="10"/>
      <c r="F529" s="10"/>
      <c r="G529" s="12"/>
      <c r="H529" s="73"/>
      <c r="I529" s="245"/>
    </row>
    <row r="530" spans="3:9" ht="24.75" hidden="1" customHeight="1">
      <c r="C530" s="10"/>
      <c r="D530" s="10"/>
      <c r="E530" s="10"/>
      <c r="F530" s="10"/>
      <c r="G530" s="12"/>
      <c r="H530" s="73"/>
      <c r="I530" s="245"/>
    </row>
    <row r="531" spans="3:9" ht="24.75" hidden="1" customHeight="1">
      <c r="C531" s="10"/>
      <c r="D531" s="10"/>
      <c r="E531" s="10"/>
      <c r="F531" s="10"/>
      <c r="G531" s="12"/>
      <c r="H531" s="73"/>
      <c r="I531" s="245"/>
    </row>
    <row r="532" spans="3:9" ht="24.75" hidden="1" customHeight="1">
      <c r="C532" s="10"/>
      <c r="D532" s="10"/>
      <c r="E532" s="10"/>
      <c r="F532" s="10"/>
      <c r="G532" s="12"/>
      <c r="H532" s="73"/>
      <c r="I532" s="245"/>
    </row>
    <row r="533" spans="3:9" ht="24.75" hidden="1" customHeight="1">
      <c r="C533" s="10"/>
      <c r="D533" s="10"/>
      <c r="E533" s="10"/>
      <c r="F533" s="10"/>
      <c r="G533" s="12"/>
      <c r="H533" s="73"/>
      <c r="I533" s="245"/>
    </row>
    <row r="534" spans="3:9" ht="24.75" hidden="1" customHeight="1">
      <c r="C534" s="10"/>
      <c r="D534" s="10"/>
      <c r="E534" s="10"/>
      <c r="F534" s="10"/>
      <c r="G534" s="12"/>
      <c r="H534" s="73"/>
      <c r="I534" s="245"/>
    </row>
    <row r="535" spans="3:9" ht="24.75" hidden="1" customHeight="1">
      <c r="C535" s="10"/>
      <c r="D535" s="10"/>
      <c r="E535" s="10"/>
      <c r="F535" s="10"/>
      <c r="G535" s="12"/>
      <c r="H535" s="73"/>
      <c r="I535" s="245"/>
    </row>
    <row r="536" spans="3:9" ht="24.75" hidden="1" customHeight="1">
      <c r="C536" s="10"/>
      <c r="D536" s="10"/>
      <c r="E536" s="10"/>
      <c r="F536" s="10"/>
      <c r="G536" s="12"/>
      <c r="H536" s="73"/>
      <c r="I536" s="245"/>
    </row>
    <row r="537" spans="3:9" ht="24.75" hidden="1" customHeight="1">
      <c r="C537" s="10"/>
      <c r="D537" s="10"/>
      <c r="E537" s="10"/>
      <c r="F537" s="10"/>
      <c r="G537" s="12"/>
      <c r="H537" s="73"/>
      <c r="I537" s="245"/>
    </row>
    <row r="538" spans="3:9" ht="24.75" hidden="1" customHeight="1">
      <c r="C538" s="10"/>
      <c r="D538" s="10"/>
      <c r="E538" s="10"/>
      <c r="F538" s="10"/>
      <c r="G538" s="12"/>
      <c r="H538" s="73"/>
      <c r="I538" s="245"/>
    </row>
    <row r="539" spans="3:9" ht="24.75" hidden="1" customHeight="1">
      <c r="C539" s="10"/>
      <c r="D539" s="10"/>
      <c r="E539" s="10"/>
      <c r="F539" s="10"/>
      <c r="G539" s="12"/>
      <c r="H539" s="73"/>
      <c r="I539" s="245"/>
    </row>
    <row r="540" spans="3:9" ht="24.75" hidden="1" customHeight="1">
      <c r="C540" s="10"/>
      <c r="D540" s="10"/>
      <c r="E540" s="10"/>
      <c r="F540" s="10"/>
      <c r="G540" s="12"/>
      <c r="H540" s="73"/>
      <c r="I540" s="245"/>
    </row>
    <row r="541" spans="3:9" ht="24.75" hidden="1" customHeight="1">
      <c r="C541" s="10"/>
      <c r="D541" s="10"/>
      <c r="E541" s="10"/>
      <c r="F541" s="10"/>
      <c r="G541" s="12"/>
      <c r="H541" s="73"/>
      <c r="I541" s="245"/>
    </row>
    <row r="542" spans="3:9" ht="24.75" hidden="1" customHeight="1">
      <c r="C542" s="10"/>
      <c r="D542" s="10"/>
      <c r="E542" s="10"/>
      <c r="F542" s="10"/>
      <c r="G542" s="12"/>
      <c r="H542" s="73"/>
      <c r="I542" s="245"/>
    </row>
    <row r="543" spans="3:9" ht="24.75" hidden="1" customHeight="1">
      <c r="C543" s="10"/>
      <c r="D543" s="10"/>
      <c r="E543" s="10"/>
      <c r="F543" s="10"/>
      <c r="G543" s="12"/>
      <c r="H543" s="73"/>
      <c r="I543" s="245"/>
    </row>
    <row r="544" spans="3:9" ht="24.75" hidden="1" customHeight="1">
      <c r="C544" s="10"/>
      <c r="D544" s="10"/>
      <c r="E544" s="10"/>
      <c r="F544" s="10"/>
      <c r="G544" s="12"/>
      <c r="H544" s="73"/>
      <c r="I544" s="245"/>
    </row>
    <row r="545" spans="3:9" ht="24.75" hidden="1" customHeight="1">
      <c r="C545" s="10"/>
      <c r="D545" s="10"/>
      <c r="E545" s="10"/>
      <c r="F545" s="10"/>
      <c r="G545" s="12"/>
      <c r="H545" s="73"/>
      <c r="I545" s="245"/>
    </row>
    <row r="546" spans="3:9" ht="24.75" hidden="1" customHeight="1">
      <c r="C546" s="10"/>
      <c r="D546" s="10"/>
      <c r="E546" s="10"/>
      <c r="F546" s="10"/>
      <c r="G546" s="12"/>
      <c r="H546" s="73"/>
      <c r="I546" s="245"/>
    </row>
    <row r="547" spans="3:9" ht="24.75" hidden="1" customHeight="1">
      <c r="C547" s="10"/>
      <c r="D547" s="10"/>
      <c r="E547" s="10"/>
      <c r="F547" s="10"/>
      <c r="G547" s="12"/>
      <c r="H547" s="73"/>
      <c r="I547" s="245"/>
    </row>
    <row r="548" spans="3:9" ht="24.75" hidden="1" customHeight="1">
      <c r="C548" s="10"/>
      <c r="D548" s="10"/>
      <c r="E548" s="10"/>
      <c r="F548" s="10"/>
      <c r="G548" s="12"/>
      <c r="H548" s="73"/>
      <c r="I548" s="245"/>
    </row>
    <row r="549" spans="3:9" ht="24.75" hidden="1" customHeight="1">
      <c r="C549" s="10"/>
      <c r="D549" s="10"/>
      <c r="E549" s="10"/>
      <c r="F549" s="10"/>
      <c r="G549" s="12"/>
      <c r="H549" s="73"/>
      <c r="I549" s="245"/>
    </row>
    <row r="550" spans="3:9" ht="24.75" hidden="1" customHeight="1">
      <c r="C550" s="10"/>
      <c r="D550" s="10"/>
      <c r="E550" s="10"/>
      <c r="F550" s="10"/>
      <c r="G550" s="12"/>
      <c r="H550" s="73"/>
      <c r="I550" s="245"/>
    </row>
    <row r="551" spans="3:9" ht="24.75" hidden="1" customHeight="1">
      <c r="C551" s="10"/>
      <c r="D551" s="10"/>
      <c r="E551" s="10"/>
      <c r="F551" s="10"/>
      <c r="G551" s="12"/>
      <c r="H551" s="73"/>
      <c r="I551" s="245"/>
    </row>
    <row r="552" spans="3:9" ht="24.75" hidden="1" customHeight="1">
      <c r="C552" s="10"/>
      <c r="D552" s="10"/>
      <c r="E552" s="10"/>
      <c r="F552" s="10"/>
      <c r="G552" s="12"/>
      <c r="H552" s="73"/>
      <c r="I552" s="245"/>
    </row>
    <row r="553" spans="3:9" ht="24.75" hidden="1" customHeight="1">
      <c r="C553" s="10"/>
      <c r="D553" s="10"/>
      <c r="E553" s="10"/>
      <c r="F553" s="10"/>
      <c r="G553" s="12"/>
      <c r="H553" s="73"/>
      <c r="I553" s="245"/>
    </row>
    <row r="554" spans="3:9" ht="24.75" hidden="1" customHeight="1">
      <c r="C554" s="10"/>
      <c r="D554" s="10"/>
      <c r="E554" s="10"/>
      <c r="F554" s="10"/>
      <c r="G554" s="12"/>
      <c r="H554" s="73"/>
      <c r="I554" s="245"/>
    </row>
    <row r="555" spans="3:9" ht="24.75" hidden="1" customHeight="1">
      <c r="C555" s="10"/>
      <c r="D555" s="10"/>
      <c r="E555" s="10"/>
      <c r="F555" s="10"/>
      <c r="G555" s="12"/>
      <c r="H555" s="73"/>
      <c r="I555" s="245"/>
    </row>
    <row r="556" spans="3:9" ht="24.75" hidden="1" customHeight="1">
      <c r="C556" s="10"/>
      <c r="D556" s="10"/>
      <c r="E556" s="10"/>
      <c r="F556" s="10"/>
      <c r="G556" s="12"/>
      <c r="H556" s="73"/>
      <c r="I556" s="245"/>
    </row>
    <row r="557" spans="3:9" ht="24.75" hidden="1" customHeight="1">
      <c r="C557" s="10"/>
      <c r="D557" s="10"/>
      <c r="E557" s="10"/>
      <c r="F557" s="10"/>
      <c r="G557" s="12"/>
      <c r="H557" s="73"/>
      <c r="I557" s="245"/>
    </row>
    <row r="558" spans="3:9" ht="24.75" hidden="1" customHeight="1">
      <c r="C558" s="10"/>
      <c r="D558" s="10"/>
      <c r="E558" s="10"/>
      <c r="F558" s="10"/>
      <c r="G558" s="12"/>
      <c r="H558" s="73"/>
      <c r="I558" s="245"/>
    </row>
    <row r="559" spans="3:9" ht="24.75" hidden="1" customHeight="1">
      <c r="C559" s="10"/>
      <c r="D559" s="10"/>
      <c r="E559" s="10"/>
      <c r="F559" s="10"/>
      <c r="G559" s="12"/>
      <c r="H559" s="73"/>
      <c r="I559" s="245"/>
    </row>
    <row r="560" spans="3:9" ht="24.75" hidden="1" customHeight="1">
      <c r="C560" s="10"/>
      <c r="D560" s="10"/>
      <c r="E560" s="10"/>
      <c r="F560" s="10"/>
      <c r="G560" s="12"/>
      <c r="H560" s="73"/>
      <c r="I560" s="245"/>
    </row>
    <row r="561" spans="3:9" ht="24.75" hidden="1" customHeight="1">
      <c r="C561" s="10"/>
      <c r="D561" s="10"/>
      <c r="E561" s="10"/>
      <c r="F561" s="10"/>
      <c r="G561" s="12"/>
      <c r="H561" s="73"/>
      <c r="I561" s="245"/>
    </row>
    <row r="562" spans="3:9" ht="24.75" hidden="1" customHeight="1">
      <c r="C562" s="10"/>
      <c r="D562" s="10"/>
      <c r="E562" s="10"/>
      <c r="F562" s="10"/>
      <c r="G562" s="12"/>
      <c r="H562" s="73"/>
      <c r="I562" s="245"/>
    </row>
    <row r="563" spans="3:9" ht="24.75" hidden="1" customHeight="1">
      <c r="C563" s="10"/>
      <c r="D563" s="10"/>
      <c r="E563" s="10"/>
      <c r="F563" s="10"/>
      <c r="G563" s="12"/>
      <c r="H563" s="73"/>
      <c r="I563" s="245"/>
    </row>
    <row r="564" spans="3:9" ht="24.75" hidden="1" customHeight="1">
      <c r="C564" s="10"/>
      <c r="D564" s="10"/>
      <c r="E564" s="10"/>
      <c r="F564" s="10"/>
      <c r="G564" s="12"/>
      <c r="H564" s="73"/>
      <c r="I564" s="245"/>
    </row>
    <row r="565" spans="3:9" ht="24.75" hidden="1" customHeight="1">
      <c r="C565" s="10"/>
      <c r="D565" s="10"/>
      <c r="E565" s="10"/>
      <c r="F565" s="10"/>
      <c r="G565" s="12"/>
      <c r="H565" s="73"/>
      <c r="I565" s="245"/>
    </row>
    <row r="566" spans="3:9" ht="24.75" hidden="1" customHeight="1">
      <c r="C566" s="10"/>
      <c r="D566" s="10"/>
      <c r="E566" s="10"/>
      <c r="F566" s="10"/>
      <c r="G566" s="12"/>
      <c r="H566" s="73"/>
      <c r="I566" s="245"/>
    </row>
    <row r="567" spans="3:9" ht="24.75" hidden="1" customHeight="1">
      <c r="C567" s="10"/>
      <c r="D567" s="10"/>
      <c r="E567" s="10"/>
      <c r="F567" s="10"/>
      <c r="G567" s="12"/>
      <c r="H567" s="73"/>
      <c r="I567" s="245"/>
    </row>
    <row r="568" spans="3:9" ht="24.75" hidden="1" customHeight="1">
      <c r="C568" s="10"/>
      <c r="D568" s="10"/>
      <c r="E568" s="10"/>
      <c r="F568" s="10"/>
      <c r="G568" s="12"/>
      <c r="H568" s="73"/>
      <c r="I568" s="245"/>
    </row>
    <row r="569" spans="3:9" ht="24.75" hidden="1" customHeight="1">
      <c r="C569" s="10"/>
      <c r="D569" s="10"/>
      <c r="E569" s="10"/>
      <c r="F569" s="10"/>
      <c r="G569" s="12"/>
      <c r="H569" s="73"/>
      <c r="I569" s="245"/>
    </row>
    <row r="570" spans="3:9" ht="24.75" hidden="1" customHeight="1">
      <c r="C570" s="10"/>
      <c r="D570" s="10"/>
      <c r="E570" s="10"/>
      <c r="F570" s="10"/>
      <c r="G570" s="12"/>
      <c r="H570" s="73"/>
      <c r="I570" s="245"/>
    </row>
    <row r="571" spans="3:9" ht="24.75" hidden="1" customHeight="1">
      <c r="C571" s="10"/>
      <c r="D571" s="10"/>
      <c r="E571" s="10"/>
      <c r="F571" s="10"/>
      <c r="G571" s="12"/>
      <c r="H571" s="73"/>
      <c r="I571" s="245"/>
    </row>
    <row r="572" spans="3:9" ht="24.75" hidden="1" customHeight="1">
      <c r="C572" s="10"/>
      <c r="D572" s="10"/>
      <c r="E572" s="10"/>
      <c r="F572" s="10"/>
      <c r="G572" s="12"/>
      <c r="H572" s="73"/>
      <c r="I572" s="245"/>
    </row>
    <row r="573" spans="3:9" ht="24.75" hidden="1" customHeight="1">
      <c r="C573" s="10"/>
      <c r="D573" s="10"/>
      <c r="E573" s="10"/>
      <c r="F573" s="10"/>
      <c r="G573" s="12"/>
      <c r="H573" s="73"/>
      <c r="I573" s="245"/>
    </row>
    <row r="574" spans="3:9" ht="24.75" hidden="1" customHeight="1">
      <c r="C574" s="10"/>
      <c r="D574" s="10"/>
      <c r="E574" s="10"/>
      <c r="F574" s="10"/>
      <c r="G574" s="12"/>
      <c r="H574" s="73"/>
      <c r="I574" s="245"/>
    </row>
    <row r="575" spans="3:9" ht="24.75" hidden="1" customHeight="1">
      <c r="C575" s="10"/>
      <c r="D575" s="10"/>
      <c r="E575" s="10"/>
      <c r="F575" s="10"/>
      <c r="G575" s="12"/>
      <c r="H575" s="73"/>
      <c r="I575" s="245"/>
    </row>
    <row r="576" spans="3:9" ht="24.75" hidden="1" customHeight="1">
      <c r="C576" s="10"/>
      <c r="D576" s="10"/>
      <c r="E576" s="10"/>
      <c r="F576" s="10"/>
      <c r="G576" s="12"/>
      <c r="H576" s="73"/>
      <c r="I576" s="245"/>
    </row>
    <row r="577" spans="3:9" ht="24.75" hidden="1" customHeight="1">
      <c r="C577" s="10"/>
      <c r="D577" s="10"/>
      <c r="E577" s="10"/>
      <c r="F577" s="10"/>
      <c r="G577" s="12"/>
      <c r="H577" s="73"/>
      <c r="I577" s="245"/>
    </row>
    <row r="578" spans="3:9" ht="24.75" hidden="1" customHeight="1">
      <c r="C578" s="10"/>
      <c r="D578" s="10"/>
      <c r="E578" s="10"/>
      <c r="F578" s="10"/>
      <c r="G578" s="12"/>
      <c r="H578" s="73"/>
      <c r="I578" s="245"/>
    </row>
    <row r="579" spans="3:9" ht="24.75" hidden="1" customHeight="1">
      <c r="C579" s="10"/>
      <c r="D579" s="10"/>
      <c r="E579" s="10"/>
      <c r="F579" s="10"/>
      <c r="G579" s="12"/>
      <c r="H579" s="73"/>
      <c r="I579" s="245"/>
    </row>
    <row r="580" spans="3:9" ht="24.75" hidden="1" customHeight="1">
      <c r="C580" s="10"/>
      <c r="D580" s="10"/>
      <c r="E580" s="10"/>
      <c r="F580" s="10"/>
      <c r="G580" s="12"/>
      <c r="H580" s="73"/>
      <c r="I580" s="245"/>
    </row>
    <row r="581" spans="3:9" ht="24.75" hidden="1" customHeight="1">
      <c r="C581" s="10"/>
      <c r="D581" s="10"/>
      <c r="E581" s="10"/>
      <c r="F581" s="10"/>
      <c r="G581" s="12"/>
      <c r="H581" s="73"/>
      <c r="I581" s="245"/>
    </row>
    <row r="582" spans="3:9" ht="24.75" hidden="1" customHeight="1">
      <c r="C582" s="10"/>
      <c r="D582" s="10"/>
      <c r="E582" s="10"/>
      <c r="F582" s="10"/>
      <c r="G582" s="12"/>
      <c r="H582" s="73"/>
      <c r="I582" s="245"/>
    </row>
    <row r="583" spans="3:9" ht="24.75" hidden="1" customHeight="1">
      <c r="C583" s="10"/>
      <c r="D583" s="10"/>
      <c r="E583" s="10"/>
      <c r="F583" s="10"/>
      <c r="G583" s="12"/>
      <c r="H583" s="73"/>
      <c r="I583" s="245"/>
    </row>
    <row r="584" spans="3:9" ht="24.75" hidden="1" customHeight="1">
      <c r="C584" s="10"/>
      <c r="D584" s="10"/>
      <c r="E584" s="10"/>
      <c r="F584" s="10"/>
      <c r="G584" s="12"/>
      <c r="H584" s="73"/>
      <c r="I584" s="245"/>
    </row>
    <row r="585" spans="3:9" ht="24.75" hidden="1" customHeight="1">
      <c r="C585" s="10"/>
      <c r="D585" s="10"/>
      <c r="E585" s="10"/>
      <c r="F585" s="10"/>
      <c r="G585" s="12"/>
      <c r="H585" s="73"/>
      <c r="I585" s="245"/>
    </row>
    <row r="586" spans="3:9" ht="24.75" hidden="1" customHeight="1">
      <c r="C586" s="10"/>
      <c r="D586" s="10"/>
      <c r="E586" s="10"/>
      <c r="F586" s="10"/>
      <c r="G586" s="12"/>
      <c r="H586" s="73"/>
      <c r="I586" s="245"/>
    </row>
    <row r="587" spans="3:9" ht="24.75" hidden="1" customHeight="1">
      <c r="C587" s="10"/>
      <c r="D587" s="10"/>
      <c r="E587" s="10"/>
      <c r="F587" s="10"/>
      <c r="G587" s="12"/>
      <c r="H587" s="73"/>
      <c r="I587" s="245"/>
    </row>
    <row r="588" spans="3:9" ht="24.75" hidden="1" customHeight="1">
      <c r="C588" s="10"/>
      <c r="D588" s="10"/>
      <c r="E588" s="10"/>
      <c r="F588" s="10"/>
      <c r="G588" s="12"/>
      <c r="H588" s="73"/>
      <c r="I588" s="245"/>
    </row>
    <row r="589" spans="3:9" ht="24.75" hidden="1" customHeight="1">
      <c r="C589" s="10"/>
      <c r="D589" s="10"/>
      <c r="E589" s="10"/>
      <c r="F589" s="10"/>
      <c r="G589" s="12"/>
      <c r="H589" s="73"/>
      <c r="I589" s="245"/>
    </row>
    <row r="590" spans="3:9" ht="24.75" hidden="1" customHeight="1">
      <c r="C590" s="10"/>
      <c r="D590" s="10"/>
      <c r="E590" s="10"/>
      <c r="F590" s="10"/>
      <c r="G590" s="12"/>
      <c r="H590" s="73"/>
      <c r="I590" s="245"/>
    </row>
    <row r="591" spans="3:9" ht="24.75" hidden="1" customHeight="1">
      <c r="C591" s="10"/>
      <c r="D591" s="10"/>
      <c r="E591" s="10"/>
      <c r="F591" s="10"/>
      <c r="G591" s="12"/>
      <c r="H591" s="73"/>
      <c r="I591" s="245"/>
    </row>
    <row r="592" spans="3:9" ht="24.75" hidden="1" customHeight="1">
      <c r="C592" s="10"/>
      <c r="D592" s="10"/>
      <c r="E592" s="10"/>
      <c r="F592" s="10"/>
      <c r="G592" s="12"/>
      <c r="H592" s="73"/>
      <c r="I592" s="245"/>
    </row>
    <row r="593" spans="3:9" ht="24.75" hidden="1" customHeight="1">
      <c r="C593" s="10"/>
      <c r="D593" s="10"/>
      <c r="E593" s="10"/>
      <c r="F593" s="10"/>
      <c r="G593" s="12"/>
      <c r="H593" s="73"/>
      <c r="I593" s="245"/>
    </row>
    <row r="594" spans="3:9" ht="24.75" hidden="1" customHeight="1">
      <c r="C594" s="10"/>
      <c r="D594" s="10"/>
      <c r="E594" s="10"/>
      <c r="F594" s="10"/>
      <c r="G594" s="12"/>
      <c r="H594" s="73"/>
      <c r="I594" s="245"/>
    </row>
    <row r="595" spans="3:9" ht="24.75" hidden="1" customHeight="1">
      <c r="C595" s="10"/>
      <c r="D595" s="10"/>
      <c r="E595" s="10"/>
      <c r="F595" s="10"/>
      <c r="G595" s="12"/>
      <c r="H595" s="73"/>
      <c r="I595" s="245"/>
    </row>
    <row r="596" spans="3:9" ht="24.75" hidden="1" customHeight="1">
      <c r="C596" s="10"/>
      <c r="D596" s="10"/>
      <c r="E596" s="10"/>
      <c r="F596" s="10"/>
      <c r="G596" s="12"/>
      <c r="H596" s="73"/>
      <c r="I596" s="245"/>
    </row>
    <row r="597" spans="3:9" ht="24.75" hidden="1" customHeight="1">
      <c r="C597" s="10"/>
      <c r="D597" s="10"/>
      <c r="E597" s="10"/>
      <c r="F597" s="10"/>
      <c r="G597" s="12"/>
      <c r="H597" s="73"/>
      <c r="I597" s="245"/>
    </row>
    <row r="598" spans="3:9" ht="24.75" hidden="1" customHeight="1">
      <c r="C598" s="10"/>
      <c r="D598" s="10"/>
      <c r="E598" s="10"/>
      <c r="F598" s="10"/>
      <c r="G598" s="12"/>
      <c r="H598" s="73"/>
      <c r="I598" s="245"/>
    </row>
    <row r="599" spans="3:9" ht="24.75" hidden="1" customHeight="1">
      <c r="C599" s="10"/>
      <c r="D599" s="10"/>
      <c r="E599" s="10"/>
      <c r="F599" s="10"/>
      <c r="G599" s="12"/>
      <c r="H599" s="73"/>
      <c r="I599" s="245"/>
    </row>
    <row r="600" spans="3:9" ht="24.75" hidden="1" customHeight="1">
      <c r="C600" s="10"/>
      <c r="D600" s="10"/>
      <c r="E600" s="10"/>
      <c r="F600" s="10"/>
      <c r="G600" s="12"/>
      <c r="H600" s="73"/>
      <c r="I600" s="245"/>
    </row>
    <row r="601" spans="3:9" ht="24.75" hidden="1" customHeight="1">
      <c r="C601" s="10"/>
      <c r="D601" s="10"/>
      <c r="E601" s="10"/>
      <c r="F601" s="10"/>
      <c r="G601" s="12"/>
      <c r="H601" s="73"/>
      <c r="I601" s="245"/>
    </row>
    <row r="602" spans="3:9" ht="24.75" hidden="1" customHeight="1">
      <c r="C602" s="10"/>
      <c r="D602" s="10"/>
      <c r="E602" s="10"/>
      <c r="F602" s="10"/>
      <c r="G602" s="12"/>
      <c r="H602" s="73"/>
      <c r="I602" s="245"/>
    </row>
    <row r="603" spans="3:9" ht="24.75" hidden="1" customHeight="1">
      <c r="C603" s="10"/>
      <c r="D603" s="10"/>
      <c r="E603" s="10"/>
      <c r="F603" s="10"/>
      <c r="G603" s="12"/>
      <c r="H603" s="73"/>
      <c r="I603" s="245"/>
    </row>
    <row r="604" spans="3:9" ht="24.75" hidden="1" customHeight="1">
      <c r="C604" s="10"/>
      <c r="D604" s="10"/>
      <c r="E604" s="10"/>
      <c r="F604" s="10"/>
      <c r="G604" s="12"/>
      <c r="H604" s="73"/>
      <c r="I604" s="245"/>
    </row>
    <row r="605" spans="3:9" ht="24.75" hidden="1" customHeight="1">
      <c r="C605" s="10"/>
      <c r="D605" s="10"/>
      <c r="E605" s="10"/>
      <c r="F605" s="10"/>
      <c r="G605" s="12"/>
      <c r="H605" s="73"/>
      <c r="I605" s="245"/>
    </row>
    <row r="606" spans="3:9" ht="24.75" hidden="1" customHeight="1">
      <c r="C606" s="10"/>
      <c r="D606" s="10"/>
      <c r="E606" s="10"/>
      <c r="F606" s="10"/>
      <c r="G606" s="12"/>
      <c r="H606" s="73"/>
      <c r="I606" s="245"/>
    </row>
    <row r="607" spans="3:9" ht="24.75" hidden="1" customHeight="1">
      <c r="C607" s="10"/>
      <c r="D607" s="10"/>
      <c r="E607" s="10"/>
      <c r="F607" s="10"/>
      <c r="G607" s="12"/>
      <c r="H607" s="73"/>
      <c r="I607" s="245"/>
    </row>
    <row r="608" spans="3:9" ht="24.75" hidden="1" customHeight="1">
      <c r="C608" s="10"/>
      <c r="D608" s="10"/>
      <c r="E608" s="10"/>
      <c r="F608" s="10"/>
      <c r="G608" s="12"/>
      <c r="H608" s="73"/>
      <c r="I608" s="245"/>
    </row>
    <row r="609" spans="3:9" ht="24.75" hidden="1" customHeight="1">
      <c r="C609" s="10"/>
      <c r="D609" s="10"/>
      <c r="E609" s="10"/>
      <c r="F609" s="10"/>
      <c r="G609" s="12"/>
      <c r="H609" s="73"/>
      <c r="I609" s="245"/>
    </row>
    <row r="610" spans="3:9" ht="24.75" hidden="1" customHeight="1">
      <c r="C610" s="10"/>
      <c r="D610" s="10"/>
      <c r="E610" s="10"/>
      <c r="F610" s="10"/>
      <c r="G610" s="12"/>
      <c r="H610" s="73"/>
      <c r="I610" s="245"/>
    </row>
    <row r="611" spans="3:9" ht="24.75" hidden="1" customHeight="1">
      <c r="C611" s="10"/>
      <c r="D611" s="10"/>
      <c r="E611" s="10"/>
      <c r="F611" s="10"/>
      <c r="G611" s="12"/>
      <c r="H611" s="73"/>
      <c r="I611" s="245"/>
    </row>
    <row r="612" spans="3:9" ht="24.75" hidden="1" customHeight="1">
      <c r="C612" s="10"/>
      <c r="D612" s="10"/>
      <c r="E612" s="10"/>
      <c r="F612" s="10"/>
      <c r="G612" s="12"/>
      <c r="H612" s="73"/>
      <c r="I612" s="245"/>
    </row>
    <row r="613" spans="3:9" ht="24.75" hidden="1" customHeight="1">
      <c r="C613" s="10"/>
      <c r="D613" s="10"/>
      <c r="E613" s="10"/>
      <c r="F613" s="10"/>
      <c r="G613" s="12"/>
      <c r="H613" s="73"/>
      <c r="I613" s="245"/>
    </row>
    <row r="614" spans="3:9" ht="24.75" hidden="1" customHeight="1">
      <c r="C614" s="10"/>
      <c r="D614" s="10"/>
      <c r="E614" s="10"/>
      <c r="F614" s="10"/>
      <c r="G614" s="12"/>
      <c r="H614" s="73"/>
      <c r="I614" s="245"/>
    </row>
    <row r="615" spans="3:9" ht="24.75" hidden="1" customHeight="1">
      <c r="C615" s="10"/>
      <c r="D615" s="10"/>
      <c r="E615" s="10"/>
      <c r="F615" s="10"/>
      <c r="G615" s="12"/>
      <c r="H615" s="73"/>
      <c r="I615" s="245"/>
    </row>
    <row r="616" spans="3:9" ht="24.75" hidden="1" customHeight="1">
      <c r="C616" s="10"/>
      <c r="D616" s="10"/>
      <c r="E616" s="10"/>
      <c r="F616" s="10"/>
      <c r="G616" s="12"/>
      <c r="H616" s="73"/>
      <c r="I616" s="245"/>
    </row>
    <row r="617" spans="3:9" ht="24.75" hidden="1" customHeight="1">
      <c r="C617" s="10"/>
      <c r="D617" s="10"/>
      <c r="E617" s="10"/>
      <c r="F617" s="10"/>
      <c r="G617" s="12"/>
      <c r="H617" s="73"/>
      <c r="I617" s="245"/>
    </row>
    <row r="618" spans="3:9" ht="24.75" hidden="1" customHeight="1">
      <c r="C618" s="10"/>
      <c r="D618" s="10"/>
      <c r="E618" s="10"/>
      <c r="F618" s="10"/>
      <c r="G618" s="12"/>
      <c r="H618" s="73"/>
      <c r="I618" s="245"/>
    </row>
    <row r="619" spans="3:9" ht="24.75" hidden="1" customHeight="1">
      <c r="C619" s="10"/>
      <c r="D619" s="10"/>
      <c r="E619" s="10"/>
      <c r="F619" s="10"/>
      <c r="G619" s="12"/>
      <c r="H619" s="73"/>
      <c r="I619" s="245"/>
    </row>
    <row r="620" spans="3:9" ht="24.75" hidden="1" customHeight="1">
      <c r="C620" s="10"/>
      <c r="D620" s="10"/>
      <c r="E620" s="10"/>
      <c r="F620" s="10"/>
      <c r="G620" s="12"/>
      <c r="H620" s="73"/>
      <c r="I620" s="245"/>
    </row>
    <row r="621" spans="3:9" ht="24.75" hidden="1" customHeight="1">
      <c r="C621" s="10"/>
      <c r="D621" s="10"/>
      <c r="E621" s="10"/>
      <c r="F621" s="10"/>
      <c r="G621" s="12"/>
      <c r="H621" s="73"/>
      <c r="I621" s="245"/>
    </row>
    <row r="622" spans="3:9" ht="24.75" hidden="1" customHeight="1">
      <c r="C622" s="10"/>
      <c r="D622" s="10"/>
      <c r="E622" s="10"/>
      <c r="F622" s="10"/>
      <c r="G622" s="12"/>
      <c r="H622" s="73"/>
      <c r="I622" s="245"/>
    </row>
    <row r="623" spans="3:9" ht="24.75" hidden="1" customHeight="1">
      <c r="C623" s="10"/>
      <c r="D623" s="10"/>
      <c r="E623" s="10"/>
      <c r="F623" s="10"/>
      <c r="G623" s="12"/>
      <c r="H623" s="73"/>
      <c r="I623" s="245"/>
    </row>
    <row r="624" spans="3:9" ht="24.75" hidden="1" customHeight="1">
      <c r="C624" s="10"/>
      <c r="D624" s="10"/>
      <c r="E624" s="10"/>
      <c r="F624" s="10"/>
      <c r="G624" s="12"/>
      <c r="H624" s="73"/>
      <c r="I624" s="245"/>
    </row>
    <row r="625" spans="3:9" ht="24.75" hidden="1" customHeight="1">
      <c r="C625" s="10"/>
      <c r="D625" s="10"/>
      <c r="E625" s="10"/>
      <c r="F625" s="10"/>
      <c r="G625" s="12"/>
      <c r="H625" s="73"/>
      <c r="I625" s="245"/>
    </row>
    <row r="626" spans="3:9" ht="24.75" hidden="1" customHeight="1">
      <c r="C626" s="10"/>
      <c r="D626" s="10"/>
      <c r="E626" s="10"/>
      <c r="F626" s="10"/>
      <c r="G626" s="12"/>
      <c r="H626" s="73"/>
      <c r="I626" s="245"/>
    </row>
    <row r="627" spans="3:9" ht="24.75" hidden="1" customHeight="1">
      <c r="C627" s="10"/>
      <c r="D627" s="10"/>
      <c r="E627" s="10"/>
      <c r="F627" s="10"/>
      <c r="G627" s="12"/>
      <c r="H627" s="73"/>
      <c r="I627" s="245"/>
    </row>
    <row r="628" spans="3:9" ht="24.75" hidden="1" customHeight="1">
      <c r="C628" s="10"/>
      <c r="D628" s="10"/>
      <c r="E628" s="10"/>
      <c r="F628" s="10"/>
      <c r="G628" s="12"/>
      <c r="H628" s="73"/>
      <c r="I628" s="245"/>
    </row>
    <row r="629" spans="3:9" ht="24.75" hidden="1" customHeight="1">
      <c r="C629" s="10"/>
      <c r="D629" s="10"/>
      <c r="E629" s="10"/>
      <c r="F629" s="10"/>
      <c r="G629" s="12"/>
      <c r="H629" s="73"/>
      <c r="I629" s="245"/>
    </row>
    <row r="630" spans="3:9" ht="24.75" hidden="1" customHeight="1">
      <c r="C630" s="10"/>
      <c r="D630" s="10"/>
      <c r="E630" s="10"/>
      <c r="F630" s="10"/>
      <c r="G630" s="12"/>
      <c r="H630" s="73"/>
      <c r="I630" s="245"/>
    </row>
    <row r="631" spans="3:9" ht="24.75" hidden="1" customHeight="1">
      <c r="C631" s="10"/>
      <c r="D631" s="10"/>
      <c r="E631" s="10"/>
      <c r="F631" s="10"/>
      <c r="G631" s="12"/>
      <c r="H631" s="73"/>
      <c r="I631" s="245"/>
    </row>
    <row r="632" spans="3:9" ht="24.75" hidden="1" customHeight="1">
      <c r="C632" s="10"/>
      <c r="D632" s="10"/>
      <c r="E632" s="10"/>
      <c r="F632" s="10"/>
      <c r="G632" s="12"/>
      <c r="H632" s="73"/>
      <c r="I632" s="245"/>
    </row>
    <row r="633" spans="3:9" ht="24.75" hidden="1" customHeight="1">
      <c r="C633" s="10"/>
      <c r="D633" s="10"/>
      <c r="E633" s="10"/>
      <c r="F633" s="10"/>
      <c r="G633" s="12"/>
      <c r="H633" s="73"/>
      <c r="I633" s="245"/>
    </row>
    <row r="634" spans="3:9" ht="24.75" hidden="1" customHeight="1">
      <c r="C634" s="10"/>
      <c r="D634" s="10"/>
      <c r="E634" s="10"/>
      <c r="F634" s="10"/>
      <c r="G634" s="12"/>
      <c r="H634" s="73"/>
      <c r="I634" s="245"/>
    </row>
    <row r="635" spans="3:9" ht="24.75" hidden="1" customHeight="1">
      <c r="C635" s="10"/>
      <c r="D635" s="10"/>
      <c r="E635" s="10"/>
      <c r="F635" s="10"/>
      <c r="G635" s="12"/>
      <c r="H635" s="73"/>
      <c r="I635" s="245"/>
    </row>
    <row r="636" spans="3:9" ht="24.75" hidden="1" customHeight="1">
      <c r="C636" s="10"/>
      <c r="D636" s="10"/>
      <c r="E636" s="10"/>
      <c r="F636" s="10"/>
      <c r="G636" s="12"/>
      <c r="H636" s="73"/>
      <c r="I636" s="245"/>
    </row>
    <row r="637" spans="3:9" ht="24.75" hidden="1" customHeight="1">
      <c r="C637" s="10"/>
      <c r="D637" s="10"/>
      <c r="E637" s="10"/>
      <c r="F637" s="10"/>
      <c r="G637" s="12"/>
      <c r="H637" s="73"/>
      <c r="I637" s="245"/>
    </row>
    <row r="638" spans="3:9" ht="24.75" hidden="1" customHeight="1">
      <c r="C638" s="10"/>
      <c r="D638" s="10"/>
      <c r="E638" s="10"/>
      <c r="F638" s="10"/>
      <c r="G638" s="12"/>
      <c r="H638" s="73"/>
      <c r="I638" s="245"/>
    </row>
    <row r="639" spans="3:9" ht="24.75" hidden="1" customHeight="1">
      <c r="C639" s="10"/>
      <c r="D639" s="10"/>
      <c r="E639" s="10"/>
      <c r="F639" s="10"/>
      <c r="G639" s="12"/>
      <c r="H639" s="73"/>
      <c r="I639" s="245"/>
    </row>
    <row r="640" spans="3:9" ht="24.75" hidden="1" customHeight="1">
      <c r="C640" s="10"/>
      <c r="D640" s="10"/>
      <c r="E640" s="10"/>
      <c r="F640" s="10"/>
      <c r="G640" s="12"/>
      <c r="H640" s="73"/>
      <c r="I640" s="245"/>
    </row>
    <row r="641" spans="3:9" ht="24.75" hidden="1" customHeight="1">
      <c r="C641" s="10"/>
      <c r="D641" s="10"/>
      <c r="E641" s="10"/>
      <c r="F641" s="10"/>
      <c r="G641" s="12"/>
      <c r="H641" s="73"/>
      <c r="I641" s="245"/>
    </row>
    <row r="642" spans="3:9" ht="24.75" hidden="1" customHeight="1">
      <c r="C642" s="10"/>
      <c r="D642" s="10"/>
      <c r="E642" s="10"/>
      <c r="F642" s="10"/>
      <c r="G642" s="12"/>
      <c r="H642" s="73"/>
      <c r="I642" s="245"/>
    </row>
    <row r="643" spans="3:9" ht="24.75" hidden="1" customHeight="1">
      <c r="C643" s="10"/>
      <c r="D643" s="10"/>
      <c r="E643" s="10"/>
      <c r="F643" s="10"/>
      <c r="G643" s="12"/>
      <c r="H643" s="73"/>
      <c r="I643" s="245"/>
    </row>
    <row r="644" spans="3:9" ht="24.75" hidden="1" customHeight="1">
      <c r="C644" s="10"/>
      <c r="D644" s="10"/>
      <c r="E644" s="10"/>
      <c r="F644" s="10"/>
      <c r="G644" s="12"/>
      <c r="H644" s="73"/>
      <c r="I644" s="245"/>
    </row>
    <row r="645" spans="3:9" ht="24.75" hidden="1" customHeight="1">
      <c r="C645" s="10"/>
      <c r="D645" s="10"/>
      <c r="E645" s="10"/>
      <c r="F645" s="10"/>
      <c r="G645" s="12"/>
      <c r="H645" s="73"/>
      <c r="I645" s="245"/>
    </row>
    <row r="646" spans="3:9" ht="24.75" hidden="1" customHeight="1">
      <c r="C646" s="10"/>
      <c r="D646" s="10"/>
      <c r="E646" s="10"/>
      <c r="F646" s="10"/>
      <c r="G646" s="12"/>
      <c r="H646" s="73"/>
      <c r="I646" s="245"/>
    </row>
    <row r="647" spans="3:9" ht="24.75" hidden="1" customHeight="1">
      <c r="C647" s="10"/>
      <c r="D647" s="10"/>
      <c r="E647" s="10"/>
      <c r="F647" s="10"/>
      <c r="G647" s="12"/>
      <c r="H647" s="73"/>
      <c r="I647" s="245"/>
    </row>
    <row r="648" spans="3:9" ht="24.75" hidden="1" customHeight="1">
      <c r="C648" s="10"/>
      <c r="D648" s="10"/>
      <c r="E648" s="10"/>
      <c r="F648" s="10"/>
      <c r="G648" s="12"/>
      <c r="H648" s="73"/>
      <c r="I648" s="245"/>
    </row>
    <row r="649" spans="3:9" ht="24.75" hidden="1" customHeight="1">
      <c r="C649" s="10"/>
      <c r="D649" s="10"/>
      <c r="E649" s="10"/>
      <c r="F649" s="10"/>
      <c r="G649" s="12"/>
      <c r="H649" s="73"/>
      <c r="I649" s="245"/>
    </row>
    <row r="650" spans="3:9" ht="24.75" hidden="1" customHeight="1">
      <c r="C650" s="10"/>
      <c r="D650" s="10"/>
      <c r="E650" s="10"/>
      <c r="F650" s="10"/>
      <c r="G650" s="12"/>
      <c r="H650" s="73"/>
      <c r="I650" s="245"/>
    </row>
    <row r="651" spans="3:9" ht="24.75" hidden="1" customHeight="1">
      <c r="C651" s="10"/>
      <c r="D651" s="10"/>
      <c r="E651" s="10"/>
      <c r="F651" s="10"/>
      <c r="G651" s="12"/>
      <c r="H651" s="73"/>
      <c r="I651" s="245"/>
    </row>
    <row r="652" spans="3:9" ht="24.75" hidden="1" customHeight="1">
      <c r="C652" s="10"/>
      <c r="D652" s="10"/>
      <c r="E652" s="10"/>
      <c r="F652" s="10"/>
      <c r="G652" s="12"/>
      <c r="H652" s="73"/>
      <c r="I652" s="245"/>
    </row>
    <row r="653" spans="3:9" ht="24.75" hidden="1" customHeight="1">
      <c r="C653" s="10"/>
      <c r="D653" s="10"/>
      <c r="E653" s="10"/>
      <c r="F653" s="10"/>
      <c r="G653" s="12"/>
      <c r="H653" s="73"/>
      <c r="I653" s="245"/>
    </row>
    <row r="654" spans="3:9" ht="24.75" hidden="1" customHeight="1">
      <c r="C654" s="10"/>
      <c r="D654" s="10"/>
      <c r="E654" s="10"/>
      <c r="F654" s="10"/>
      <c r="G654" s="12"/>
      <c r="H654" s="73"/>
      <c r="I654" s="245"/>
    </row>
    <row r="655" spans="3:9" ht="24.75" hidden="1" customHeight="1">
      <c r="C655" s="10"/>
      <c r="D655" s="10"/>
      <c r="E655" s="10"/>
      <c r="F655" s="10"/>
      <c r="G655" s="12"/>
      <c r="H655" s="73"/>
      <c r="I655" s="245"/>
    </row>
    <row r="656" spans="3:9" ht="24.75" hidden="1" customHeight="1">
      <c r="C656" s="10"/>
      <c r="D656" s="10"/>
      <c r="E656" s="10"/>
      <c r="F656" s="10"/>
      <c r="G656" s="12"/>
      <c r="H656" s="73"/>
      <c r="I656" s="245"/>
    </row>
    <row r="657" spans="3:9" ht="24.75" hidden="1" customHeight="1">
      <c r="C657" s="10"/>
      <c r="D657" s="10"/>
      <c r="E657" s="10"/>
      <c r="F657" s="10"/>
      <c r="G657" s="12"/>
      <c r="H657" s="73"/>
      <c r="I657" s="245"/>
    </row>
    <row r="658" spans="3:9" ht="24.75" hidden="1" customHeight="1">
      <c r="C658" s="10"/>
      <c r="D658" s="10"/>
      <c r="E658" s="10"/>
      <c r="F658" s="10"/>
      <c r="G658" s="12"/>
      <c r="H658" s="73"/>
      <c r="I658" s="245"/>
    </row>
    <row r="659" spans="3:9" ht="24.75" hidden="1" customHeight="1">
      <c r="C659" s="10"/>
      <c r="D659" s="10"/>
      <c r="E659" s="10"/>
      <c r="F659" s="10"/>
      <c r="G659" s="12"/>
      <c r="H659" s="73"/>
      <c r="I659" s="245"/>
    </row>
    <row r="660" spans="3:9" ht="24.75" hidden="1" customHeight="1">
      <c r="C660" s="10"/>
      <c r="D660" s="10"/>
      <c r="E660" s="10"/>
      <c r="F660" s="10"/>
      <c r="G660" s="12"/>
      <c r="H660" s="73"/>
      <c r="I660" s="245"/>
    </row>
    <row r="661" spans="3:9" ht="24.75" hidden="1" customHeight="1">
      <c r="C661" s="10"/>
      <c r="D661" s="10"/>
      <c r="E661" s="10"/>
      <c r="F661" s="10"/>
      <c r="G661" s="12"/>
      <c r="H661" s="73"/>
      <c r="I661" s="245"/>
    </row>
    <row r="662" spans="3:9" ht="24.75" hidden="1" customHeight="1">
      <c r="C662" s="10"/>
      <c r="D662" s="10"/>
      <c r="E662" s="10"/>
      <c r="F662" s="10"/>
      <c r="G662" s="12"/>
      <c r="H662" s="73"/>
      <c r="I662" s="245"/>
    </row>
    <row r="663" spans="3:9" ht="24.75" hidden="1" customHeight="1">
      <c r="C663" s="10"/>
      <c r="D663" s="10"/>
      <c r="E663" s="10"/>
      <c r="F663" s="10"/>
      <c r="G663" s="12"/>
      <c r="H663" s="73"/>
      <c r="I663" s="245"/>
    </row>
    <row r="664" spans="3:9" ht="24.75" hidden="1" customHeight="1">
      <c r="C664" s="10"/>
      <c r="D664" s="10"/>
      <c r="E664" s="10"/>
      <c r="F664" s="10"/>
      <c r="G664" s="12"/>
      <c r="H664" s="73"/>
      <c r="I664" s="245"/>
    </row>
    <row r="665" spans="3:9" ht="24.75" hidden="1" customHeight="1">
      <c r="C665" s="10"/>
      <c r="D665" s="10"/>
      <c r="E665" s="10"/>
      <c r="F665" s="10"/>
      <c r="G665" s="12"/>
      <c r="H665" s="73"/>
      <c r="I665" s="245"/>
    </row>
    <row r="666" spans="3:9" ht="24.75" hidden="1" customHeight="1">
      <c r="C666" s="10"/>
      <c r="D666" s="10"/>
      <c r="E666" s="10"/>
      <c r="F666" s="10"/>
      <c r="G666" s="12"/>
      <c r="H666" s="73"/>
      <c r="I666" s="245"/>
    </row>
    <row r="667" spans="3:9" ht="24.75" hidden="1" customHeight="1">
      <c r="C667" s="10"/>
      <c r="D667" s="10"/>
      <c r="E667" s="10"/>
      <c r="F667" s="10"/>
      <c r="G667" s="12"/>
      <c r="H667" s="73"/>
      <c r="I667" s="245"/>
    </row>
    <row r="668" spans="3:9" ht="24.75" hidden="1" customHeight="1">
      <c r="C668" s="10"/>
      <c r="D668" s="10"/>
      <c r="E668" s="10"/>
      <c r="F668" s="10"/>
      <c r="G668" s="12"/>
      <c r="H668" s="73"/>
      <c r="I668" s="245"/>
    </row>
    <row r="669" spans="3:9" ht="24.75" hidden="1" customHeight="1">
      <c r="C669" s="10"/>
      <c r="D669" s="10"/>
      <c r="E669" s="10"/>
      <c r="F669" s="10"/>
      <c r="G669" s="12"/>
      <c r="H669" s="73"/>
      <c r="I669" s="245"/>
    </row>
    <row r="670" spans="3:9" ht="24.75" hidden="1" customHeight="1">
      <c r="C670" s="10"/>
      <c r="D670" s="10"/>
      <c r="E670" s="10"/>
      <c r="F670" s="10"/>
      <c r="G670" s="12"/>
      <c r="H670" s="73"/>
      <c r="I670" s="245"/>
    </row>
    <row r="671" spans="3:9" ht="24.75" hidden="1" customHeight="1">
      <c r="C671" s="10"/>
      <c r="D671" s="10"/>
      <c r="E671" s="10"/>
      <c r="F671" s="10"/>
      <c r="G671" s="12"/>
      <c r="H671" s="73"/>
      <c r="I671" s="245"/>
    </row>
    <row r="672" spans="3:9" ht="24.75" hidden="1" customHeight="1">
      <c r="C672" s="10"/>
      <c r="D672" s="10"/>
      <c r="E672" s="10"/>
      <c r="F672" s="10"/>
      <c r="G672" s="12"/>
      <c r="H672" s="73"/>
      <c r="I672" s="245"/>
    </row>
    <row r="673" spans="3:9" ht="24.75" hidden="1" customHeight="1">
      <c r="C673" s="10"/>
      <c r="D673" s="10"/>
      <c r="E673" s="10"/>
      <c r="F673" s="10"/>
      <c r="G673" s="12"/>
      <c r="H673" s="73"/>
      <c r="I673" s="245"/>
    </row>
    <row r="674" spans="3:9" ht="24.75" hidden="1" customHeight="1">
      <c r="C674" s="10"/>
      <c r="D674" s="10"/>
      <c r="E674" s="10"/>
      <c r="F674" s="10"/>
      <c r="G674" s="12"/>
      <c r="H674" s="73"/>
      <c r="I674" s="245"/>
    </row>
    <row r="675" spans="3:9" ht="24.75" hidden="1" customHeight="1">
      <c r="C675" s="10"/>
      <c r="D675" s="10"/>
      <c r="E675" s="10"/>
      <c r="F675" s="10"/>
      <c r="G675" s="12"/>
      <c r="H675" s="73"/>
      <c r="I675" s="245"/>
    </row>
    <row r="676" spans="3:9" ht="24.75" hidden="1" customHeight="1">
      <c r="C676" s="10"/>
      <c r="D676" s="10"/>
      <c r="E676" s="10"/>
      <c r="F676" s="10"/>
      <c r="G676" s="12"/>
      <c r="H676" s="73"/>
      <c r="I676" s="245"/>
    </row>
    <row r="677" spans="3:9" ht="24.75" hidden="1" customHeight="1">
      <c r="C677" s="10"/>
      <c r="D677" s="10"/>
      <c r="E677" s="10"/>
      <c r="F677" s="10"/>
      <c r="G677" s="12"/>
      <c r="H677" s="73"/>
      <c r="I677" s="245"/>
    </row>
    <row r="678" spans="3:9" ht="24.75" hidden="1" customHeight="1">
      <c r="C678" s="10"/>
      <c r="D678" s="10"/>
      <c r="E678" s="10"/>
      <c r="F678" s="10"/>
      <c r="G678" s="12"/>
      <c r="H678" s="73"/>
      <c r="I678" s="245"/>
    </row>
    <row r="679" spans="3:9" ht="24.75" hidden="1" customHeight="1">
      <c r="C679" s="10"/>
      <c r="D679" s="10"/>
      <c r="E679" s="10"/>
      <c r="F679" s="10"/>
      <c r="G679" s="12"/>
      <c r="H679" s="73"/>
      <c r="I679" s="245"/>
    </row>
    <row r="680" spans="3:9" ht="24.75" hidden="1" customHeight="1">
      <c r="C680" s="10"/>
      <c r="D680" s="10"/>
      <c r="E680" s="10"/>
      <c r="F680" s="10"/>
      <c r="G680" s="12"/>
      <c r="H680" s="73"/>
      <c r="I680" s="245"/>
    </row>
    <row r="681" spans="3:9" ht="24.75" hidden="1" customHeight="1">
      <c r="C681" s="10"/>
      <c r="D681" s="10"/>
      <c r="E681" s="10"/>
      <c r="F681" s="10"/>
      <c r="G681" s="12"/>
      <c r="H681" s="73"/>
      <c r="I681" s="245"/>
    </row>
    <row r="682" spans="3:9" ht="24.75" hidden="1" customHeight="1">
      <c r="C682" s="10"/>
      <c r="D682" s="10"/>
      <c r="E682" s="10"/>
      <c r="F682" s="10"/>
      <c r="G682" s="12"/>
      <c r="H682" s="73"/>
      <c r="I682" s="245"/>
    </row>
    <row r="683" spans="3:9" ht="24.75" hidden="1" customHeight="1">
      <c r="C683" s="10"/>
      <c r="D683" s="10"/>
      <c r="E683" s="10"/>
      <c r="F683" s="10"/>
      <c r="G683" s="12"/>
      <c r="H683" s="73"/>
      <c r="I683" s="245"/>
    </row>
    <row r="684" spans="3:9" ht="24.75" hidden="1" customHeight="1">
      <c r="C684" s="10"/>
      <c r="D684" s="10"/>
      <c r="E684" s="10"/>
      <c r="F684" s="10"/>
      <c r="G684" s="12"/>
      <c r="H684" s="73"/>
      <c r="I684" s="245"/>
    </row>
    <row r="685" spans="3:9" ht="24.75" hidden="1" customHeight="1">
      <c r="C685" s="10"/>
      <c r="D685" s="10"/>
      <c r="E685" s="10"/>
      <c r="F685" s="10"/>
      <c r="G685" s="12"/>
      <c r="H685" s="73"/>
      <c r="I685" s="245"/>
    </row>
    <row r="686" spans="3:9" ht="24.75" hidden="1" customHeight="1">
      <c r="C686" s="10"/>
      <c r="D686" s="10"/>
      <c r="E686" s="10"/>
      <c r="F686" s="10"/>
      <c r="G686" s="12"/>
      <c r="H686" s="73"/>
      <c r="I686" s="245"/>
    </row>
    <row r="687" spans="3:9" ht="24.75" hidden="1" customHeight="1">
      <c r="C687" s="10"/>
      <c r="D687" s="10"/>
      <c r="E687" s="10"/>
      <c r="F687" s="10"/>
      <c r="G687" s="12"/>
      <c r="H687" s="73"/>
      <c r="I687" s="245"/>
    </row>
    <row r="688" spans="3:9" ht="24.75" hidden="1" customHeight="1">
      <c r="C688" s="10"/>
      <c r="D688" s="10"/>
      <c r="E688" s="10"/>
      <c r="F688" s="10"/>
      <c r="G688" s="12"/>
      <c r="H688" s="73"/>
      <c r="I688" s="245"/>
    </row>
    <row r="689" spans="3:9" ht="24.75" hidden="1" customHeight="1">
      <c r="C689" s="10"/>
      <c r="D689" s="10"/>
      <c r="E689" s="10"/>
      <c r="F689" s="10"/>
      <c r="G689" s="12"/>
      <c r="H689" s="73"/>
      <c r="I689" s="245"/>
    </row>
    <row r="690" spans="3:9" ht="24.75" hidden="1" customHeight="1">
      <c r="C690" s="10"/>
      <c r="D690" s="10"/>
      <c r="E690" s="10"/>
      <c r="F690" s="10"/>
      <c r="G690" s="12"/>
      <c r="H690" s="73"/>
      <c r="I690" s="245"/>
    </row>
    <row r="691" spans="3:9" ht="24.75" hidden="1" customHeight="1">
      <c r="C691" s="10"/>
      <c r="D691" s="10"/>
      <c r="E691" s="10"/>
      <c r="F691" s="10"/>
      <c r="G691" s="12"/>
      <c r="H691" s="73"/>
      <c r="I691" s="245"/>
    </row>
    <row r="692" spans="3:9" ht="24.75" hidden="1" customHeight="1">
      <c r="C692" s="10"/>
      <c r="D692" s="10"/>
      <c r="E692" s="10"/>
      <c r="F692" s="10"/>
      <c r="G692" s="12"/>
      <c r="H692" s="73"/>
      <c r="I692" s="245"/>
    </row>
    <row r="693" spans="3:9" ht="24.75" hidden="1" customHeight="1">
      <c r="C693" s="10"/>
      <c r="D693" s="10"/>
      <c r="E693" s="10"/>
      <c r="F693" s="10"/>
      <c r="G693" s="12"/>
      <c r="H693" s="73"/>
      <c r="I693" s="245"/>
    </row>
    <row r="694" spans="3:9" ht="24.75" hidden="1" customHeight="1">
      <c r="C694" s="10"/>
      <c r="D694" s="10"/>
      <c r="E694" s="10"/>
      <c r="F694" s="10"/>
      <c r="G694" s="12"/>
      <c r="H694" s="73"/>
      <c r="I694" s="245"/>
    </row>
    <row r="695" spans="3:9" ht="24.75" hidden="1" customHeight="1">
      <c r="C695" s="10"/>
      <c r="D695" s="10"/>
      <c r="E695" s="10"/>
      <c r="F695" s="10"/>
      <c r="G695" s="12"/>
      <c r="H695" s="73"/>
      <c r="I695" s="245"/>
    </row>
    <row r="696" spans="3:9" ht="24.75" hidden="1" customHeight="1">
      <c r="C696" s="10"/>
      <c r="D696" s="10"/>
      <c r="E696" s="10"/>
      <c r="F696" s="10"/>
      <c r="G696" s="12"/>
      <c r="H696" s="73"/>
      <c r="I696" s="245"/>
    </row>
    <row r="697" spans="3:9" ht="24.75" hidden="1" customHeight="1">
      <c r="C697" s="10"/>
      <c r="D697" s="10"/>
      <c r="E697" s="10"/>
      <c r="F697" s="10"/>
      <c r="G697" s="12"/>
      <c r="H697" s="73"/>
      <c r="I697" s="245"/>
    </row>
    <row r="698" spans="3:9" ht="24.75" hidden="1" customHeight="1">
      <c r="C698" s="10"/>
      <c r="D698" s="10"/>
      <c r="E698" s="10"/>
      <c r="F698" s="10"/>
      <c r="G698" s="12"/>
      <c r="H698" s="73"/>
      <c r="I698" s="245"/>
    </row>
    <row r="699" spans="3:9" ht="24.75" hidden="1" customHeight="1">
      <c r="C699" s="10"/>
      <c r="D699" s="10"/>
      <c r="E699" s="10"/>
      <c r="F699" s="10"/>
      <c r="G699" s="12"/>
      <c r="H699" s="73"/>
      <c r="I699" s="245"/>
    </row>
    <row r="700" spans="3:9" ht="24.75" hidden="1" customHeight="1">
      <c r="C700" s="10"/>
      <c r="D700" s="10"/>
      <c r="E700" s="10"/>
      <c r="F700" s="10"/>
      <c r="G700" s="12"/>
      <c r="H700" s="73"/>
      <c r="I700" s="245"/>
    </row>
    <row r="701" spans="3:9" ht="24.75" hidden="1" customHeight="1">
      <c r="C701" s="10"/>
      <c r="D701" s="10"/>
      <c r="E701" s="10"/>
      <c r="F701" s="10"/>
      <c r="G701" s="12"/>
      <c r="H701" s="73"/>
      <c r="I701" s="245"/>
    </row>
    <row r="702" spans="3:9" ht="24.75" hidden="1" customHeight="1">
      <c r="C702" s="10"/>
      <c r="D702" s="10"/>
      <c r="E702" s="10"/>
      <c r="F702" s="10"/>
      <c r="G702" s="12"/>
      <c r="H702" s="73"/>
      <c r="I702" s="245"/>
    </row>
    <row r="703" spans="3:9" ht="24.75" hidden="1" customHeight="1">
      <c r="C703" s="10"/>
      <c r="D703" s="10"/>
      <c r="E703" s="10"/>
      <c r="F703" s="10"/>
      <c r="G703" s="12"/>
      <c r="H703" s="73"/>
      <c r="I703" s="245"/>
    </row>
    <row r="704" spans="3:9" ht="24.75" hidden="1" customHeight="1">
      <c r="C704" s="10"/>
      <c r="D704" s="10"/>
      <c r="E704" s="10"/>
      <c r="F704" s="10"/>
      <c r="G704" s="12"/>
      <c r="H704" s="73"/>
      <c r="I704" s="245"/>
    </row>
    <row r="705" spans="3:9" ht="24.75" hidden="1" customHeight="1">
      <c r="C705" s="10"/>
      <c r="D705" s="10"/>
      <c r="E705" s="10"/>
      <c r="F705" s="10"/>
      <c r="G705" s="12"/>
      <c r="H705" s="73"/>
      <c r="I705" s="245"/>
    </row>
    <row r="706" spans="3:9" ht="24.75" hidden="1" customHeight="1">
      <c r="C706" s="10"/>
      <c r="D706" s="10"/>
      <c r="E706" s="10"/>
      <c r="F706" s="10"/>
      <c r="G706" s="12"/>
      <c r="H706" s="73"/>
      <c r="I706" s="245"/>
    </row>
    <row r="707" spans="3:9" ht="24.75" hidden="1" customHeight="1">
      <c r="C707" s="10"/>
      <c r="D707" s="10"/>
      <c r="E707" s="10"/>
      <c r="F707" s="10"/>
      <c r="G707" s="12"/>
      <c r="H707" s="73"/>
      <c r="I707" s="245"/>
    </row>
    <row r="708" spans="3:9" ht="24.75" hidden="1" customHeight="1">
      <c r="C708" s="10"/>
      <c r="D708" s="10"/>
      <c r="E708" s="10"/>
      <c r="F708" s="10"/>
      <c r="G708" s="12"/>
      <c r="H708" s="73"/>
      <c r="I708" s="245"/>
    </row>
    <row r="709" spans="3:9" ht="24.75" hidden="1" customHeight="1">
      <c r="C709" s="10"/>
      <c r="D709" s="10"/>
      <c r="E709" s="10"/>
      <c r="F709" s="10"/>
      <c r="G709" s="12"/>
      <c r="H709" s="73"/>
      <c r="I709" s="245"/>
    </row>
    <row r="710" spans="3:9" ht="24.75" hidden="1" customHeight="1">
      <c r="C710" s="10"/>
      <c r="D710" s="10"/>
      <c r="E710" s="10"/>
      <c r="F710" s="10"/>
      <c r="G710" s="12"/>
      <c r="H710" s="73"/>
      <c r="I710" s="245"/>
    </row>
    <row r="711" spans="3:9" ht="24.75" hidden="1" customHeight="1">
      <c r="C711" s="10"/>
      <c r="D711" s="10"/>
      <c r="E711" s="10"/>
      <c r="F711" s="10"/>
      <c r="G711" s="12"/>
      <c r="H711" s="73"/>
      <c r="I711" s="245"/>
    </row>
    <row r="712" spans="3:9" ht="24.75" hidden="1" customHeight="1">
      <c r="C712" s="10"/>
      <c r="D712" s="10"/>
      <c r="E712" s="10"/>
      <c r="F712" s="10"/>
      <c r="G712" s="12"/>
      <c r="H712" s="73"/>
      <c r="I712" s="245"/>
    </row>
    <row r="713" spans="3:9" ht="24.75" hidden="1" customHeight="1">
      <c r="C713" s="10"/>
      <c r="D713" s="10"/>
      <c r="E713" s="10"/>
      <c r="F713" s="10"/>
      <c r="G713" s="12"/>
      <c r="H713" s="73"/>
      <c r="I713" s="245"/>
    </row>
    <row r="714" spans="3:9" ht="24.75" hidden="1" customHeight="1">
      <c r="C714" s="10"/>
      <c r="D714" s="10"/>
      <c r="E714" s="10"/>
      <c r="F714" s="10"/>
      <c r="G714" s="12"/>
      <c r="H714" s="73"/>
      <c r="I714" s="245"/>
    </row>
    <row r="715" spans="3:9" ht="24.75" hidden="1" customHeight="1">
      <c r="C715" s="10"/>
      <c r="D715" s="10"/>
      <c r="E715" s="10"/>
      <c r="F715" s="10"/>
      <c r="G715" s="12"/>
      <c r="H715" s="73"/>
      <c r="I715" s="245"/>
    </row>
    <row r="716" spans="3:9" ht="24.75" hidden="1" customHeight="1">
      <c r="C716" s="10"/>
      <c r="D716" s="10"/>
      <c r="E716" s="10"/>
      <c r="F716" s="10"/>
      <c r="G716" s="12"/>
      <c r="H716" s="73"/>
      <c r="I716" s="245"/>
    </row>
    <row r="717" spans="3:9" ht="24.75" hidden="1" customHeight="1">
      <c r="C717" s="10"/>
      <c r="D717" s="10"/>
      <c r="E717" s="10"/>
      <c r="F717" s="10"/>
      <c r="G717" s="12"/>
      <c r="H717" s="73"/>
      <c r="I717" s="245"/>
    </row>
    <row r="718" spans="3:9" ht="24.75" hidden="1" customHeight="1">
      <c r="C718" s="10"/>
      <c r="D718" s="10"/>
      <c r="E718" s="10"/>
      <c r="F718" s="10"/>
      <c r="G718" s="12"/>
      <c r="H718" s="73"/>
      <c r="I718" s="245"/>
    </row>
    <row r="719" spans="3:9" ht="24.75" hidden="1" customHeight="1">
      <c r="C719" s="10"/>
      <c r="D719" s="10"/>
      <c r="E719" s="10"/>
      <c r="F719" s="10"/>
      <c r="G719" s="12"/>
      <c r="H719" s="73"/>
      <c r="I719" s="245"/>
    </row>
    <row r="720" spans="3:9" ht="24.75" hidden="1" customHeight="1">
      <c r="C720" s="10"/>
      <c r="D720" s="10"/>
      <c r="E720" s="10"/>
      <c r="F720" s="10"/>
      <c r="G720" s="12"/>
      <c r="H720" s="73"/>
      <c r="I720" s="245"/>
    </row>
    <row r="721" spans="3:9" ht="24.75" hidden="1" customHeight="1">
      <c r="C721" s="10"/>
      <c r="D721" s="10"/>
      <c r="E721" s="10"/>
      <c r="F721" s="10"/>
      <c r="G721" s="12"/>
      <c r="H721" s="73"/>
      <c r="I721" s="245"/>
    </row>
    <row r="722" spans="3:9" ht="24.75" hidden="1" customHeight="1">
      <c r="C722" s="10"/>
      <c r="D722" s="10"/>
      <c r="E722" s="10"/>
      <c r="F722" s="10"/>
      <c r="G722" s="12"/>
      <c r="H722" s="73"/>
      <c r="I722" s="245"/>
    </row>
    <row r="723" spans="3:9" ht="24.75" hidden="1" customHeight="1">
      <c r="C723" s="10"/>
      <c r="D723" s="10"/>
      <c r="E723" s="10"/>
      <c r="F723" s="10"/>
      <c r="G723" s="12"/>
      <c r="H723" s="73"/>
      <c r="I723" s="245"/>
    </row>
    <row r="724" spans="3:9" ht="24.75" hidden="1" customHeight="1">
      <c r="C724" s="10"/>
      <c r="D724" s="10"/>
      <c r="E724" s="10"/>
      <c r="F724" s="10"/>
      <c r="G724" s="12"/>
      <c r="H724" s="73"/>
      <c r="I724" s="245"/>
    </row>
    <row r="725" spans="3:9" ht="24.75" hidden="1" customHeight="1">
      <c r="C725" s="10"/>
      <c r="D725" s="10"/>
      <c r="E725" s="10"/>
      <c r="F725" s="10"/>
      <c r="G725" s="12"/>
      <c r="H725" s="73"/>
      <c r="I725" s="245"/>
    </row>
    <row r="726" spans="3:9" ht="24.75" hidden="1" customHeight="1">
      <c r="C726" s="10"/>
      <c r="D726" s="10"/>
      <c r="E726" s="10"/>
      <c r="F726" s="10"/>
      <c r="G726" s="12"/>
      <c r="H726" s="73"/>
      <c r="I726" s="245"/>
    </row>
    <row r="727" spans="3:9" ht="24.75" hidden="1" customHeight="1">
      <c r="C727" s="10"/>
      <c r="D727" s="10"/>
      <c r="E727" s="10"/>
      <c r="F727" s="10"/>
      <c r="G727" s="12"/>
      <c r="H727" s="73"/>
      <c r="I727" s="245"/>
    </row>
    <row r="728" spans="3:9" ht="24.75" hidden="1" customHeight="1">
      <c r="C728" s="10"/>
      <c r="D728" s="10"/>
      <c r="E728" s="10"/>
      <c r="F728" s="10"/>
      <c r="G728" s="12"/>
      <c r="H728" s="73"/>
      <c r="I728" s="245"/>
    </row>
    <row r="729" spans="3:9" ht="24.75" hidden="1" customHeight="1">
      <c r="C729" s="10"/>
      <c r="D729" s="10"/>
      <c r="E729" s="10"/>
      <c r="F729" s="10"/>
      <c r="G729" s="12"/>
      <c r="H729" s="73"/>
      <c r="I729" s="245"/>
    </row>
    <row r="730" spans="3:9" ht="24.75" hidden="1" customHeight="1">
      <c r="C730" s="10"/>
      <c r="D730" s="10"/>
      <c r="E730" s="10"/>
      <c r="F730" s="10"/>
      <c r="G730" s="12"/>
      <c r="H730" s="73"/>
      <c r="I730" s="245"/>
    </row>
    <row r="731" spans="3:9" ht="24.75" hidden="1" customHeight="1">
      <c r="C731" s="10"/>
      <c r="D731" s="10"/>
      <c r="E731" s="10"/>
      <c r="F731" s="10"/>
      <c r="G731" s="12"/>
      <c r="H731" s="73"/>
      <c r="I731" s="245"/>
    </row>
    <row r="732" spans="3:9" ht="24.75" hidden="1" customHeight="1">
      <c r="C732" s="10"/>
      <c r="D732" s="10"/>
      <c r="E732" s="10"/>
      <c r="F732" s="10"/>
      <c r="G732" s="12"/>
      <c r="H732" s="73"/>
      <c r="I732" s="245"/>
    </row>
    <row r="733" spans="3:9" ht="24.75" hidden="1" customHeight="1">
      <c r="C733" s="10"/>
      <c r="D733" s="10"/>
      <c r="E733" s="10"/>
      <c r="F733" s="10"/>
      <c r="G733" s="12"/>
      <c r="H733" s="73"/>
      <c r="I733" s="245"/>
    </row>
    <row r="734" spans="3:9" ht="24.75" hidden="1" customHeight="1">
      <c r="C734" s="10"/>
      <c r="D734" s="10"/>
      <c r="E734" s="10"/>
      <c r="F734" s="10"/>
      <c r="G734" s="12"/>
      <c r="H734" s="73"/>
      <c r="I734" s="245"/>
    </row>
    <row r="735" spans="3:9" ht="24.75" hidden="1" customHeight="1">
      <c r="C735" s="10"/>
      <c r="D735" s="10"/>
      <c r="E735" s="10"/>
      <c r="F735" s="10"/>
      <c r="G735" s="12"/>
      <c r="H735" s="73"/>
      <c r="I735" s="245"/>
    </row>
    <row r="736" spans="3:9" ht="24.75" hidden="1" customHeight="1">
      <c r="C736" s="10"/>
      <c r="D736" s="10"/>
      <c r="E736" s="10"/>
      <c r="F736" s="10"/>
      <c r="G736" s="12"/>
      <c r="H736" s="73"/>
      <c r="I736" s="245"/>
    </row>
    <row r="737" spans="3:9" ht="24.75" hidden="1" customHeight="1">
      <c r="C737" s="10"/>
      <c r="D737" s="10"/>
      <c r="E737" s="10"/>
      <c r="F737" s="10"/>
      <c r="G737" s="12"/>
      <c r="H737" s="73"/>
      <c r="I737" s="245"/>
    </row>
    <row r="738" spans="3:9" ht="24.75" hidden="1" customHeight="1">
      <c r="C738" s="10"/>
      <c r="D738" s="10"/>
      <c r="E738" s="10"/>
      <c r="F738" s="10"/>
      <c r="G738" s="12"/>
      <c r="H738" s="73"/>
      <c r="I738" s="245"/>
    </row>
    <row r="739" spans="3:9" ht="24.75" hidden="1" customHeight="1">
      <c r="C739" s="10"/>
      <c r="D739" s="10"/>
      <c r="E739" s="10"/>
      <c r="F739" s="10"/>
      <c r="G739" s="12"/>
      <c r="H739" s="73"/>
      <c r="I739" s="245"/>
    </row>
    <row r="740" spans="3:9" ht="24.75" hidden="1" customHeight="1">
      <c r="C740" s="10"/>
      <c r="D740" s="10"/>
      <c r="E740" s="10"/>
      <c r="F740" s="10"/>
      <c r="G740" s="12"/>
      <c r="H740" s="73"/>
      <c r="I740" s="245"/>
    </row>
    <row r="741" spans="3:9" ht="24.75" hidden="1" customHeight="1">
      <c r="C741" s="10"/>
      <c r="D741" s="10"/>
      <c r="E741" s="10"/>
      <c r="F741" s="10"/>
      <c r="G741" s="12"/>
      <c r="H741" s="73"/>
      <c r="I741" s="245"/>
    </row>
    <row r="742" spans="3:9" ht="24.75" hidden="1" customHeight="1">
      <c r="C742" s="10"/>
      <c r="D742" s="10"/>
      <c r="E742" s="10"/>
      <c r="F742" s="10"/>
      <c r="G742" s="12"/>
      <c r="H742" s="73"/>
      <c r="I742" s="245"/>
    </row>
    <row r="743" spans="3:9" ht="24.75" hidden="1" customHeight="1">
      <c r="C743" s="10"/>
      <c r="D743" s="10"/>
      <c r="E743" s="10"/>
      <c r="F743" s="10"/>
      <c r="G743" s="12"/>
      <c r="H743" s="73"/>
      <c r="I743" s="245"/>
    </row>
    <row r="744" spans="3:9" ht="24.75" hidden="1" customHeight="1">
      <c r="C744" s="10"/>
      <c r="D744" s="10"/>
      <c r="E744" s="10"/>
      <c r="F744" s="10"/>
      <c r="G744" s="12"/>
      <c r="H744" s="73"/>
      <c r="I744" s="245"/>
    </row>
    <row r="745" spans="3:9" ht="24.75" hidden="1" customHeight="1">
      <c r="C745" s="10"/>
      <c r="D745" s="10"/>
      <c r="E745" s="10"/>
      <c r="F745" s="10"/>
      <c r="G745" s="12"/>
      <c r="H745" s="73"/>
      <c r="I745" s="245"/>
    </row>
    <row r="746" spans="3:9" ht="24.75" hidden="1" customHeight="1">
      <c r="C746" s="10"/>
      <c r="D746" s="10"/>
      <c r="E746" s="10"/>
      <c r="F746" s="10"/>
      <c r="G746" s="12"/>
      <c r="H746" s="73"/>
      <c r="I746" s="245"/>
    </row>
    <row r="747" spans="3:9" ht="24.75" hidden="1" customHeight="1">
      <c r="C747" s="10"/>
      <c r="D747" s="10"/>
      <c r="E747" s="10"/>
      <c r="F747" s="10"/>
      <c r="G747" s="12"/>
      <c r="H747" s="73"/>
      <c r="I747" s="245"/>
    </row>
    <row r="748" spans="3:9" ht="24.75" hidden="1" customHeight="1">
      <c r="C748" s="10"/>
      <c r="D748" s="10"/>
      <c r="E748" s="10"/>
      <c r="F748" s="10"/>
      <c r="G748" s="12"/>
      <c r="H748" s="73"/>
      <c r="I748" s="245"/>
    </row>
    <row r="749" spans="3:9" ht="24.75" hidden="1" customHeight="1">
      <c r="C749" s="10"/>
      <c r="D749" s="10"/>
      <c r="E749" s="10"/>
      <c r="F749" s="10"/>
      <c r="G749" s="12"/>
      <c r="H749" s="73"/>
      <c r="I749" s="245"/>
    </row>
    <row r="750" spans="3:9" ht="24.75" hidden="1" customHeight="1">
      <c r="C750" s="10"/>
      <c r="D750" s="10"/>
      <c r="E750" s="10"/>
      <c r="F750" s="10"/>
      <c r="G750" s="12"/>
      <c r="H750" s="73"/>
      <c r="I750" s="245"/>
    </row>
    <row r="751" spans="3:9" ht="24.75" hidden="1" customHeight="1">
      <c r="C751" s="10"/>
      <c r="D751" s="10"/>
      <c r="E751" s="10"/>
      <c r="F751" s="10"/>
      <c r="G751" s="12"/>
      <c r="H751" s="73"/>
      <c r="I751" s="245"/>
    </row>
    <row r="752" spans="3:9" ht="24.75" hidden="1" customHeight="1">
      <c r="C752" s="10"/>
      <c r="D752" s="10"/>
      <c r="E752" s="10"/>
      <c r="F752" s="10"/>
      <c r="G752" s="12"/>
      <c r="H752" s="73"/>
      <c r="I752" s="245"/>
    </row>
    <row r="753" spans="3:9" ht="24.75" hidden="1" customHeight="1">
      <c r="C753" s="10"/>
      <c r="D753" s="10"/>
      <c r="E753" s="10"/>
      <c r="F753" s="10"/>
      <c r="G753" s="12"/>
      <c r="H753" s="73"/>
      <c r="I753" s="245"/>
    </row>
    <row r="754" spans="3:9" ht="24.75" hidden="1" customHeight="1">
      <c r="C754" s="10"/>
      <c r="D754" s="10"/>
      <c r="E754" s="10"/>
      <c r="F754" s="10"/>
      <c r="G754" s="12"/>
      <c r="H754" s="73"/>
      <c r="I754" s="245"/>
    </row>
    <row r="755" spans="3:9" ht="24.75" hidden="1" customHeight="1">
      <c r="C755" s="10"/>
      <c r="D755" s="10"/>
      <c r="E755" s="10"/>
      <c r="F755" s="10"/>
      <c r="G755" s="12"/>
      <c r="H755" s="73"/>
      <c r="I755" s="245"/>
    </row>
    <row r="756" spans="3:9" ht="24.75" hidden="1" customHeight="1">
      <c r="C756" s="10"/>
      <c r="D756" s="10"/>
      <c r="E756" s="10"/>
      <c r="F756" s="10"/>
      <c r="G756" s="12"/>
      <c r="H756" s="73"/>
      <c r="I756" s="245"/>
    </row>
    <row r="757" spans="3:9" ht="24.75" hidden="1" customHeight="1">
      <c r="C757" s="10"/>
      <c r="D757" s="10"/>
      <c r="E757" s="10"/>
      <c r="F757" s="10"/>
      <c r="G757" s="12"/>
      <c r="H757" s="73"/>
      <c r="I757" s="245"/>
    </row>
    <row r="758" spans="3:9" ht="24.75" hidden="1" customHeight="1">
      <c r="C758" s="10"/>
      <c r="D758" s="10"/>
      <c r="E758" s="10"/>
      <c r="F758" s="10"/>
      <c r="G758" s="12"/>
      <c r="H758" s="73"/>
      <c r="I758" s="245"/>
    </row>
    <row r="759" spans="3:9" ht="24.75" hidden="1" customHeight="1">
      <c r="C759" s="10"/>
      <c r="D759" s="10"/>
      <c r="E759" s="10"/>
      <c r="F759" s="10"/>
      <c r="G759" s="12"/>
      <c r="H759" s="73"/>
      <c r="I759" s="245"/>
    </row>
    <row r="760" spans="3:9" ht="24.75" hidden="1" customHeight="1">
      <c r="C760" s="10"/>
      <c r="D760" s="10"/>
      <c r="E760" s="10"/>
      <c r="F760" s="10"/>
      <c r="G760" s="12"/>
      <c r="H760" s="73"/>
      <c r="I760" s="245"/>
    </row>
    <row r="761" spans="3:9" ht="24.75" hidden="1" customHeight="1">
      <c r="C761" s="10"/>
      <c r="D761" s="10"/>
      <c r="E761" s="10"/>
      <c r="F761" s="10"/>
      <c r="G761" s="12"/>
      <c r="H761" s="73"/>
      <c r="I761" s="245"/>
    </row>
    <row r="762" spans="3:9" ht="24.75" hidden="1" customHeight="1">
      <c r="C762" s="10"/>
      <c r="D762" s="10"/>
      <c r="E762" s="10"/>
      <c r="F762" s="10"/>
      <c r="G762" s="12"/>
      <c r="H762" s="73"/>
      <c r="I762" s="245"/>
    </row>
    <row r="763" spans="3:9" ht="24.75" hidden="1" customHeight="1">
      <c r="C763" s="10"/>
      <c r="D763" s="10"/>
      <c r="E763" s="10"/>
      <c r="F763" s="10"/>
      <c r="G763" s="12"/>
      <c r="H763" s="73"/>
      <c r="I763" s="245"/>
    </row>
    <row r="764" spans="3:9" ht="24.75" hidden="1" customHeight="1">
      <c r="C764" s="10"/>
      <c r="D764" s="10"/>
      <c r="E764" s="10"/>
      <c r="F764" s="10"/>
      <c r="G764" s="12"/>
      <c r="H764" s="73"/>
      <c r="I764" s="245"/>
    </row>
    <row r="765" spans="3:9" ht="24.75" hidden="1" customHeight="1">
      <c r="C765" s="10"/>
      <c r="D765" s="10"/>
      <c r="E765" s="10"/>
      <c r="F765" s="10"/>
      <c r="G765" s="12"/>
      <c r="H765" s="73"/>
      <c r="I765" s="245"/>
    </row>
    <row r="766" spans="3:9" ht="24.75" hidden="1" customHeight="1">
      <c r="C766" s="10"/>
      <c r="D766" s="10"/>
      <c r="E766" s="10"/>
      <c r="F766" s="10"/>
      <c r="G766" s="12"/>
      <c r="H766" s="73"/>
      <c r="I766" s="245"/>
    </row>
    <row r="767" spans="3:9" ht="24.75" hidden="1" customHeight="1">
      <c r="C767" s="10"/>
      <c r="D767" s="10"/>
      <c r="E767" s="10"/>
      <c r="F767" s="10"/>
      <c r="G767" s="12"/>
      <c r="H767" s="73"/>
      <c r="I767" s="245"/>
    </row>
    <row r="768" spans="3:9" ht="24.75" hidden="1" customHeight="1">
      <c r="C768" s="10"/>
      <c r="D768" s="10"/>
      <c r="E768" s="10"/>
      <c r="F768" s="10"/>
      <c r="G768" s="12"/>
      <c r="H768" s="73"/>
      <c r="I768" s="245"/>
    </row>
    <row r="769" spans="3:9" ht="24.75" hidden="1" customHeight="1">
      <c r="C769" s="10"/>
      <c r="D769" s="10"/>
      <c r="E769" s="10"/>
      <c r="F769" s="10"/>
      <c r="G769" s="12"/>
      <c r="H769" s="73"/>
      <c r="I769" s="245"/>
    </row>
    <row r="770" spans="3:9" ht="24.75" hidden="1" customHeight="1">
      <c r="C770" s="10"/>
      <c r="D770" s="10"/>
      <c r="E770" s="10"/>
      <c r="F770" s="10"/>
      <c r="G770" s="12"/>
      <c r="H770" s="73"/>
      <c r="I770" s="245"/>
    </row>
    <row r="771" spans="3:9" ht="24.75" hidden="1" customHeight="1">
      <c r="C771" s="10"/>
      <c r="D771" s="10"/>
      <c r="E771" s="10"/>
      <c r="F771" s="10"/>
      <c r="G771" s="12"/>
      <c r="H771" s="73"/>
      <c r="I771" s="245"/>
    </row>
    <row r="772" spans="3:9" ht="24.75" hidden="1" customHeight="1">
      <c r="C772" s="10"/>
      <c r="D772" s="10"/>
      <c r="E772" s="10"/>
      <c r="F772" s="10"/>
      <c r="G772" s="12"/>
      <c r="H772" s="73"/>
      <c r="I772" s="245"/>
    </row>
    <row r="773" spans="3:9" ht="24.75" hidden="1" customHeight="1">
      <c r="C773" s="10"/>
      <c r="D773" s="10"/>
      <c r="E773" s="10"/>
      <c r="F773" s="10"/>
      <c r="G773" s="12"/>
      <c r="H773" s="73"/>
      <c r="I773" s="245"/>
    </row>
    <row r="774" spans="3:9" ht="24.75" hidden="1" customHeight="1">
      <c r="C774" s="10"/>
      <c r="D774" s="10"/>
      <c r="E774" s="10"/>
      <c r="F774" s="10"/>
      <c r="G774" s="12"/>
      <c r="H774" s="73"/>
      <c r="I774" s="245"/>
    </row>
    <row r="775" spans="3:9" ht="24.75" hidden="1" customHeight="1">
      <c r="C775" s="10"/>
      <c r="D775" s="10"/>
      <c r="E775" s="10"/>
      <c r="F775" s="10"/>
      <c r="G775" s="12"/>
      <c r="H775" s="73"/>
      <c r="I775" s="245"/>
    </row>
    <row r="776" spans="3:9" ht="24.75" hidden="1" customHeight="1">
      <c r="C776" s="10"/>
      <c r="D776" s="10"/>
      <c r="E776" s="10"/>
      <c r="F776" s="10"/>
      <c r="G776" s="12"/>
      <c r="H776" s="73"/>
      <c r="I776" s="245"/>
    </row>
    <row r="777" spans="3:9" ht="24.75" hidden="1" customHeight="1">
      <c r="C777" s="10"/>
      <c r="D777" s="10"/>
      <c r="E777" s="10"/>
      <c r="F777" s="10"/>
      <c r="G777" s="12"/>
      <c r="H777" s="73"/>
      <c r="I777" s="245"/>
    </row>
    <row r="778" spans="3:9" ht="24.75" hidden="1" customHeight="1">
      <c r="C778" s="10"/>
      <c r="D778" s="10"/>
      <c r="E778" s="10"/>
      <c r="F778" s="10"/>
      <c r="G778" s="12"/>
      <c r="H778" s="73"/>
      <c r="I778" s="245"/>
    </row>
    <row r="779" spans="3:9" ht="24.75" hidden="1" customHeight="1">
      <c r="C779" s="10"/>
      <c r="D779" s="10"/>
      <c r="E779" s="10"/>
      <c r="F779" s="10"/>
      <c r="G779" s="12"/>
      <c r="H779" s="73"/>
      <c r="I779" s="245"/>
    </row>
    <row r="780" spans="3:9" ht="24.75" hidden="1" customHeight="1">
      <c r="C780" s="10"/>
      <c r="D780" s="10"/>
      <c r="E780" s="10"/>
      <c r="F780" s="10"/>
      <c r="G780" s="12"/>
      <c r="H780" s="73"/>
      <c r="I780" s="245"/>
    </row>
    <row r="781" spans="3:9" ht="24.75" hidden="1" customHeight="1">
      <c r="C781" s="10"/>
      <c r="D781" s="10"/>
      <c r="E781" s="10"/>
      <c r="F781" s="10"/>
      <c r="G781" s="12"/>
      <c r="H781" s="73"/>
      <c r="I781" s="245"/>
    </row>
    <row r="782" spans="3:9" ht="24.75" hidden="1" customHeight="1">
      <c r="C782" s="10"/>
      <c r="D782" s="10"/>
      <c r="E782" s="10"/>
      <c r="F782" s="10"/>
      <c r="G782" s="12"/>
      <c r="H782" s="73"/>
      <c r="I782" s="245"/>
    </row>
    <row r="783" spans="3:9" ht="24.75" hidden="1" customHeight="1">
      <c r="C783" s="10"/>
      <c r="D783" s="10"/>
      <c r="E783" s="10"/>
      <c r="F783" s="10"/>
      <c r="G783" s="12"/>
      <c r="H783" s="73"/>
      <c r="I783" s="245"/>
    </row>
    <row r="784" spans="3:9" ht="24.75" hidden="1" customHeight="1">
      <c r="C784" s="10"/>
      <c r="D784" s="10"/>
      <c r="E784" s="10"/>
      <c r="F784" s="10"/>
      <c r="G784" s="12"/>
      <c r="H784" s="73"/>
      <c r="I784" s="245"/>
    </row>
    <row r="785" spans="3:9" ht="24.75" hidden="1" customHeight="1">
      <c r="C785" s="10"/>
      <c r="D785" s="10"/>
      <c r="E785" s="10"/>
      <c r="F785" s="10"/>
      <c r="G785" s="12"/>
      <c r="H785" s="73"/>
      <c r="I785" s="245"/>
    </row>
    <row r="786" spans="3:9" ht="24.75" hidden="1" customHeight="1">
      <c r="C786" s="10"/>
      <c r="D786" s="10"/>
      <c r="E786" s="10"/>
      <c r="F786" s="10"/>
      <c r="G786" s="12"/>
      <c r="H786" s="73"/>
      <c r="I786" s="245"/>
    </row>
    <row r="787" spans="3:9" ht="24.75" hidden="1" customHeight="1">
      <c r="C787" s="10"/>
      <c r="D787" s="10"/>
      <c r="E787" s="10"/>
      <c r="F787" s="10"/>
      <c r="G787" s="12"/>
      <c r="H787" s="73"/>
      <c r="I787" s="245"/>
    </row>
    <row r="788" spans="3:9" ht="24.75" hidden="1" customHeight="1">
      <c r="C788" s="10"/>
      <c r="D788" s="10"/>
      <c r="E788" s="10"/>
      <c r="F788" s="10"/>
      <c r="G788" s="12"/>
      <c r="H788" s="73"/>
      <c r="I788" s="245"/>
    </row>
    <row r="789" spans="3:9" ht="24.75" hidden="1" customHeight="1">
      <c r="C789" s="10"/>
      <c r="D789" s="10"/>
      <c r="E789" s="10"/>
      <c r="F789" s="10"/>
      <c r="G789" s="12"/>
      <c r="H789" s="73"/>
      <c r="I789" s="245"/>
    </row>
    <row r="790" spans="3:9" ht="24.75" hidden="1" customHeight="1">
      <c r="C790" s="10"/>
      <c r="D790" s="10"/>
      <c r="E790" s="10"/>
      <c r="F790" s="10"/>
      <c r="G790" s="12"/>
      <c r="H790" s="73"/>
      <c r="I790" s="245"/>
    </row>
    <row r="791" spans="3:9" ht="24.75" hidden="1" customHeight="1">
      <c r="C791" s="10"/>
      <c r="D791" s="10"/>
      <c r="E791" s="10"/>
      <c r="F791" s="10"/>
      <c r="G791" s="12"/>
      <c r="H791" s="73"/>
      <c r="I791" s="245"/>
    </row>
    <row r="792" spans="3:9" ht="24.75" hidden="1" customHeight="1">
      <c r="C792" s="10"/>
      <c r="D792" s="10"/>
      <c r="E792" s="10"/>
      <c r="F792" s="10"/>
      <c r="G792" s="12"/>
      <c r="H792" s="73"/>
      <c r="I792" s="245"/>
    </row>
    <row r="793" spans="3:9" ht="24.75" hidden="1" customHeight="1">
      <c r="C793" s="10"/>
      <c r="D793" s="10"/>
      <c r="E793" s="10"/>
      <c r="F793" s="10"/>
      <c r="G793" s="12"/>
      <c r="H793" s="73"/>
      <c r="I793" s="245"/>
    </row>
    <row r="794" spans="3:9" ht="24.75" hidden="1" customHeight="1">
      <c r="C794" s="10"/>
      <c r="D794" s="10"/>
      <c r="E794" s="10"/>
      <c r="F794" s="10"/>
      <c r="G794" s="12"/>
      <c r="H794" s="73"/>
      <c r="I794" s="245"/>
    </row>
    <row r="795" spans="3:9" ht="24.75" hidden="1" customHeight="1">
      <c r="C795" s="10"/>
      <c r="D795" s="10"/>
      <c r="E795" s="10"/>
      <c r="F795" s="10"/>
      <c r="G795" s="12"/>
      <c r="H795" s="73"/>
      <c r="I795" s="245"/>
    </row>
    <row r="796" spans="3:9" ht="24.75" hidden="1" customHeight="1">
      <c r="C796" s="10"/>
      <c r="D796" s="10"/>
      <c r="E796" s="10"/>
      <c r="F796" s="10"/>
      <c r="G796" s="12"/>
      <c r="H796" s="73"/>
      <c r="I796" s="245"/>
    </row>
    <row r="797" spans="3:9" ht="24.75" hidden="1" customHeight="1">
      <c r="C797" s="10"/>
      <c r="D797" s="10"/>
      <c r="E797" s="10"/>
      <c r="F797" s="10"/>
      <c r="G797" s="12"/>
      <c r="H797" s="73"/>
      <c r="I797" s="245"/>
    </row>
    <row r="798" spans="3:9" ht="24.75" hidden="1" customHeight="1">
      <c r="C798" s="10"/>
      <c r="D798" s="10"/>
      <c r="E798" s="10"/>
      <c r="F798" s="10"/>
      <c r="G798" s="12"/>
      <c r="H798" s="73"/>
      <c r="I798" s="245"/>
    </row>
    <row r="799" spans="3:9" ht="24.75" hidden="1" customHeight="1">
      <c r="C799" s="10"/>
      <c r="D799" s="10"/>
      <c r="E799" s="10"/>
      <c r="F799" s="10"/>
      <c r="G799" s="12"/>
      <c r="H799" s="73"/>
      <c r="I799" s="245"/>
    </row>
    <row r="800" spans="3:9" ht="24.75" hidden="1" customHeight="1">
      <c r="C800" s="10"/>
      <c r="D800" s="10"/>
      <c r="E800" s="10"/>
      <c r="F800" s="10"/>
      <c r="G800" s="12"/>
      <c r="H800" s="73"/>
      <c r="I800" s="245"/>
    </row>
    <row r="801" spans="3:9" ht="24.75" hidden="1" customHeight="1">
      <c r="C801" s="10"/>
      <c r="D801" s="10"/>
      <c r="E801" s="10"/>
      <c r="F801" s="10"/>
      <c r="G801" s="12"/>
      <c r="H801" s="73"/>
      <c r="I801" s="245"/>
    </row>
    <row r="802" spans="3:9" ht="24.75" hidden="1" customHeight="1">
      <c r="C802" s="10"/>
      <c r="D802" s="10"/>
      <c r="E802" s="10"/>
      <c r="F802" s="10"/>
      <c r="G802" s="12"/>
      <c r="H802" s="73"/>
      <c r="I802" s="245"/>
    </row>
    <row r="803" spans="3:9" ht="24.75" hidden="1" customHeight="1">
      <c r="C803" s="10"/>
      <c r="D803" s="10"/>
      <c r="E803" s="10"/>
      <c r="F803" s="10"/>
      <c r="G803" s="12"/>
      <c r="H803" s="73"/>
      <c r="I803" s="245"/>
    </row>
    <row r="804" spans="3:9" ht="24.75" hidden="1" customHeight="1">
      <c r="C804" s="10"/>
      <c r="D804" s="10"/>
      <c r="E804" s="10"/>
      <c r="F804" s="10"/>
      <c r="G804" s="12"/>
      <c r="H804" s="73"/>
      <c r="I804" s="245"/>
    </row>
    <row r="805" spans="3:9" ht="24.75" hidden="1" customHeight="1">
      <c r="C805" s="10"/>
      <c r="D805" s="10"/>
      <c r="E805" s="10"/>
      <c r="F805" s="10"/>
      <c r="G805" s="12"/>
      <c r="H805" s="73"/>
      <c r="I805" s="245"/>
    </row>
    <row r="806" spans="3:9" ht="24.75" hidden="1" customHeight="1">
      <c r="C806" s="10"/>
      <c r="D806" s="10"/>
      <c r="E806" s="10"/>
      <c r="F806" s="10"/>
      <c r="G806" s="12"/>
      <c r="H806" s="73"/>
      <c r="I806" s="245"/>
    </row>
    <row r="807" spans="3:9" ht="24.75" hidden="1" customHeight="1">
      <c r="C807" s="10"/>
      <c r="D807" s="10"/>
      <c r="E807" s="10"/>
      <c r="F807" s="10"/>
      <c r="G807" s="12"/>
      <c r="H807" s="73"/>
      <c r="I807" s="245"/>
    </row>
    <row r="808" spans="3:9" ht="24.75" hidden="1" customHeight="1">
      <c r="C808" s="10"/>
      <c r="D808" s="10"/>
      <c r="E808" s="10"/>
      <c r="F808" s="10"/>
      <c r="G808" s="12"/>
      <c r="H808" s="73"/>
      <c r="I808" s="245"/>
    </row>
    <row r="809" spans="3:9" ht="24.75" hidden="1" customHeight="1">
      <c r="C809" s="10"/>
      <c r="D809" s="10"/>
      <c r="E809" s="10"/>
      <c r="F809" s="10"/>
      <c r="G809" s="12"/>
      <c r="H809" s="73"/>
      <c r="I809" s="245"/>
    </row>
    <row r="810" spans="3:9" ht="24.75" hidden="1" customHeight="1">
      <c r="C810" s="10"/>
      <c r="D810" s="10"/>
      <c r="E810" s="10"/>
      <c r="F810" s="10"/>
      <c r="G810" s="12"/>
      <c r="H810" s="73"/>
      <c r="I810" s="245"/>
    </row>
    <row r="811" spans="3:9" ht="24.75" hidden="1" customHeight="1">
      <c r="C811" s="10"/>
      <c r="D811" s="10"/>
      <c r="E811" s="10"/>
      <c r="F811" s="10"/>
      <c r="G811" s="12"/>
      <c r="H811" s="73"/>
      <c r="I811" s="245"/>
    </row>
    <row r="812" spans="3:9" ht="24.75" hidden="1" customHeight="1">
      <c r="C812" s="10"/>
      <c r="D812" s="10"/>
      <c r="E812" s="10"/>
      <c r="F812" s="10"/>
      <c r="G812" s="12"/>
      <c r="H812" s="73"/>
      <c r="I812" s="245"/>
    </row>
    <row r="813" spans="3:9" ht="24.75" hidden="1" customHeight="1">
      <c r="C813" s="10"/>
      <c r="D813" s="10"/>
      <c r="E813" s="10"/>
      <c r="F813" s="10"/>
      <c r="G813" s="12"/>
      <c r="H813" s="73"/>
      <c r="I813" s="245"/>
    </row>
    <row r="814" spans="3:9" ht="24.75" hidden="1" customHeight="1">
      <c r="C814" s="10"/>
      <c r="D814" s="10"/>
      <c r="E814" s="10"/>
      <c r="F814" s="10"/>
      <c r="G814" s="12"/>
      <c r="H814" s="73"/>
      <c r="I814" s="245"/>
    </row>
    <row r="815" spans="3:9" ht="24.75" hidden="1" customHeight="1">
      <c r="C815" s="10"/>
      <c r="D815" s="10"/>
      <c r="E815" s="10"/>
      <c r="F815" s="10"/>
      <c r="G815" s="12"/>
      <c r="H815" s="73"/>
      <c r="I815" s="245"/>
    </row>
    <row r="816" spans="3:9" ht="24.75" hidden="1" customHeight="1">
      <c r="C816" s="10"/>
      <c r="D816" s="10"/>
      <c r="E816" s="10"/>
      <c r="F816" s="10"/>
      <c r="G816" s="12"/>
      <c r="H816" s="73"/>
      <c r="I816" s="245"/>
    </row>
    <row r="817" spans="3:9" ht="24.75" hidden="1" customHeight="1">
      <c r="C817" s="10"/>
      <c r="D817" s="10"/>
      <c r="E817" s="10"/>
      <c r="F817" s="10"/>
      <c r="G817" s="12"/>
      <c r="H817" s="73"/>
      <c r="I817" s="245"/>
    </row>
    <row r="818" spans="3:9" ht="24.75" hidden="1" customHeight="1">
      <c r="C818" s="10"/>
      <c r="D818" s="10"/>
      <c r="E818" s="10"/>
      <c r="F818" s="10"/>
      <c r="G818" s="12"/>
      <c r="H818" s="73"/>
      <c r="I818" s="245"/>
    </row>
    <row r="819" spans="3:9" ht="24.75" hidden="1" customHeight="1">
      <c r="C819" s="10"/>
      <c r="D819" s="10"/>
      <c r="E819" s="10"/>
      <c r="F819" s="10"/>
      <c r="G819" s="12"/>
      <c r="H819" s="73"/>
      <c r="I819" s="245"/>
    </row>
    <row r="820" spans="3:9" ht="24.75" hidden="1" customHeight="1">
      <c r="C820" s="10"/>
      <c r="D820" s="10"/>
      <c r="E820" s="10"/>
      <c r="F820" s="10"/>
      <c r="G820" s="12"/>
      <c r="H820" s="73"/>
      <c r="I820" s="245"/>
    </row>
    <row r="821" spans="3:9" ht="24.75" hidden="1" customHeight="1">
      <c r="C821" s="10"/>
      <c r="D821" s="10"/>
      <c r="E821" s="10"/>
      <c r="F821" s="10"/>
      <c r="G821" s="12"/>
      <c r="H821" s="73"/>
      <c r="I821" s="245"/>
    </row>
    <row r="822" spans="3:9" ht="24.75" hidden="1" customHeight="1">
      <c r="C822" s="10"/>
      <c r="D822" s="10"/>
      <c r="E822" s="10"/>
      <c r="F822" s="10"/>
      <c r="G822" s="12"/>
      <c r="H822" s="73"/>
      <c r="I822" s="245"/>
    </row>
    <row r="823" spans="3:9" ht="24.75" hidden="1" customHeight="1">
      <c r="C823" s="10"/>
      <c r="D823" s="10"/>
      <c r="E823" s="10"/>
      <c r="F823" s="10"/>
      <c r="G823" s="12"/>
      <c r="H823" s="73"/>
      <c r="I823" s="245"/>
    </row>
    <row r="824" spans="3:9" ht="24.75" hidden="1" customHeight="1">
      <c r="C824" s="10"/>
      <c r="D824" s="10"/>
      <c r="E824" s="10"/>
      <c r="F824" s="10"/>
      <c r="G824" s="12"/>
      <c r="H824" s="73"/>
      <c r="I824" s="245"/>
    </row>
    <row r="825" spans="3:9" ht="24.75" hidden="1" customHeight="1">
      <c r="C825" s="10"/>
      <c r="D825" s="10"/>
      <c r="E825" s="10"/>
      <c r="F825" s="10"/>
      <c r="G825" s="12"/>
      <c r="H825" s="73"/>
      <c r="I825" s="245"/>
    </row>
    <row r="826" spans="3:9" ht="24.75" hidden="1" customHeight="1">
      <c r="C826" s="10"/>
      <c r="D826" s="10"/>
      <c r="E826" s="10"/>
      <c r="F826" s="10"/>
      <c r="G826" s="12"/>
      <c r="H826" s="73"/>
      <c r="I826" s="245"/>
    </row>
    <row r="827" spans="3:9" ht="24.75" hidden="1" customHeight="1">
      <c r="C827" s="10"/>
      <c r="D827" s="10"/>
      <c r="E827" s="10"/>
      <c r="F827" s="10"/>
      <c r="G827" s="12"/>
      <c r="H827" s="73"/>
      <c r="I827" s="245"/>
    </row>
    <row r="828" spans="3:9" ht="24.75" hidden="1" customHeight="1">
      <c r="C828" s="10"/>
      <c r="D828" s="10"/>
      <c r="E828" s="10"/>
      <c r="F828" s="10"/>
      <c r="G828" s="12"/>
      <c r="H828" s="73"/>
      <c r="I828" s="245"/>
    </row>
    <row r="829" spans="3:9" ht="24.75" hidden="1" customHeight="1">
      <c r="C829" s="10"/>
      <c r="D829" s="10"/>
      <c r="E829" s="10"/>
      <c r="F829" s="10"/>
      <c r="G829" s="12"/>
      <c r="H829" s="73"/>
      <c r="I829" s="245"/>
    </row>
    <row r="830" spans="3:9" ht="24.75" hidden="1" customHeight="1">
      <c r="C830" s="10"/>
      <c r="D830" s="10"/>
      <c r="E830" s="10"/>
      <c r="F830" s="10"/>
      <c r="G830" s="12"/>
      <c r="H830" s="73"/>
      <c r="I830" s="245"/>
    </row>
    <row r="831" spans="3:9" ht="24.75" hidden="1" customHeight="1">
      <c r="C831" s="10"/>
      <c r="D831" s="10"/>
      <c r="E831" s="10"/>
      <c r="F831" s="10"/>
      <c r="G831" s="12"/>
      <c r="H831" s="73"/>
      <c r="I831" s="245"/>
    </row>
    <row r="832" spans="3:9" ht="24.75" hidden="1" customHeight="1">
      <c r="C832" s="10"/>
      <c r="D832" s="10"/>
      <c r="E832" s="10"/>
      <c r="F832" s="10"/>
      <c r="G832" s="12"/>
      <c r="H832" s="73"/>
      <c r="I832" s="245"/>
    </row>
    <row r="833" spans="3:9" ht="24.75" hidden="1" customHeight="1">
      <c r="C833" s="10"/>
      <c r="D833" s="10"/>
      <c r="E833" s="10"/>
      <c r="F833" s="10"/>
      <c r="G833" s="12"/>
      <c r="H833" s="73"/>
      <c r="I833" s="245"/>
    </row>
    <row r="834" spans="3:9" ht="24.75" hidden="1" customHeight="1">
      <c r="C834" s="10"/>
      <c r="D834" s="10"/>
      <c r="E834" s="10"/>
      <c r="F834" s="10"/>
      <c r="G834" s="12"/>
      <c r="H834" s="73"/>
      <c r="I834" s="245"/>
    </row>
    <row r="835" spans="3:9" ht="24.75" hidden="1" customHeight="1">
      <c r="C835" s="10"/>
      <c r="D835" s="10"/>
      <c r="E835" s="10"/>
      <c r="F835" s="10"/>
      <c r="G835" s="12"/>
      <c r="H835" s="73"/>
      <c r="I835" s="245"/>
    </row>
    <row r="836" spans="3:9" ht="24.75" hidden="1" customHeight="1">
      <c r="C836" s="10"/>
      <c r="D836" s="10"/>
      <c r="E836" s="10"/>
      <c r="F836" s="10"/>
      <c r="G836" s="12"/>
      <c r="H836" s="73"/>
      <c r="I836" s="245"/>
    </row>
    <row r="837" spans="3:9" ht="24.75" hidden="1" customHeight="1">
      <c r="C837" s="10"/>
      <c r="D837" s="10"/>
      <c r="E837" s="10"/>
      <c r="F837" s="10"/>
      <c r="G837" s="12"/>
      <c r="H837" s="73"/>
      <c r="I837" s="245"/>
    </row>
    <row r="838" spans="3:9" ht="24.75" hidden="1" customHeight="1">
      <c r="C838" s="10"/>
      <c r="D838" s="10"/>
      <c r="E838" s="10"/>
      <c r="F838" s="10"/>
      <c r="G838" s="12"/>
      <c r="H838" s="73"/>
      <c r="I838" s="245"/>
    </row>
    <row r="839" spans="3:9" ht="24.75" hidden="1" customHeight="1">
      <c r="C839" s="10"/>
      <c r="D839" s="10"/>
      <c r="E839" s="10"/>
      <c r="F839" s="10"/>
      <c r="G839" s="12"/>
      <c r="H839" s="73"/>
      <c r="I839" s="245"/>
    </row>
    <row r="840" spans="3:9" ht="24.75" hidden="1" customHeight="1">
      <c r="C840" s="10"/>
      <c r="D840" s="10"/>
      <c r="E840" s="10"/>
      <c r="F840" s="10"/>
      <c r="G840" s="12"/>
      <c r="H840" s="73"/>
      <c r="I840" s="245"/>
    </row>
    <row r="841" spans="3:9" ht="24.75" hidden="1" customHeight="1">
      <c r="C841" s="10"/>
      <c r="D841" s="10"/>
      <c r="E841" s="10"/>
      <c r="F841" s="10"/>
      <c r="G841" s="12"/>
      <c r="H841" s="73"/>
      <c r="I841" s="245"/>
    </row>
    <row r="842" spans="3:9" ht="24.75" hidden="1" customHeight="1">
      <c r="C842" s="10"/>
      <c r="D842" s="10"/>
      <c r="E842" s="10"/>
      <c r="F842" s="10"/>
      <c r="G842" s="12"/>
      <c r="H842" s="73"/>
      <c r="I842" s="245"/>
    </row>
    <row r="843" spans="3:9" ht="24.75" hidden="1" customHeight="1">
      <c r="C843" s="10"/>
      <c r="D843" s="10"/>
      <c r="E843" s="10"/>
      <c r="F843" s="10"/>
      <c r="G843" s="12"/>
      <c r="H843" s="73"/>
      <c r="I843" s="245"/>
    </row>
    <row r="844" spans="3:9" ht="24.75" hidden="1" customHeight="1">
      <c r="C844" s="10"/>
      <c r="D844" s="10"/>
      <c r="E844" s="10"/>
      <c r="F844" s="10"/>
      <c r="G844" s="12"/>
      <c r="H844" s="73"/>
      <c r="I844" s="245"/>
    </row>
    <row r="845" spans="3:9" ht="24.75" hidden="1" customHeight="1">
      <c r="C845" s="10"/>
      <c r="D845" s="10"/>
      <c r="E845" s="10"/>
      <c r="F845" s="10"/>
      <c r="G845" s="12"/>
      <c r="H845" s="73"/>
      <c r="I845" s="245"/>
    </row>
    <row r="846" spans="3:9" ht="24.75" hidden="1" customHeight="1">
      <c r="C846" s="10"/>
      <c r="D846" s="10"/>
      <c r="E846" s="10"/>
      <c r="F846" s="10"/>
      <c r="G846" s="12"/>
      <c r="H846" s="73"/>
      <c r="I846" s="245"/>
    </row>
    <row r="847" spans="3:9" ht="24.75" hidden="1" customHeight="1">
      <c r="C847" s="10"/>
      <c r="D847" s="10"/>
      <c r="E847" s="10"/>
      <c r="F847" s="10"/>
      <c r="G847" s="12"/>
      <c r="H847" s="73"/>
      <c r="I847" s="245"/>
    </row>
    <row r="848" spans="3:9" ht="24.75" hidden="1" customHeight="1">
      <c r="C848" s="10"/>
      <c r="D848" s="10"/>
      <c r="E848" s="10"/>
      <c r="F848" s="10"/>
      <c r="G848" s="12"/>
      <c r="H848" s="73"/>
      <c r="I848" s="245"/>
    </row>
    <row r="849" spans="3:9" ht="24.75" hidden="1" customHeight="1">
      <c r="C849" s="10"/>
      <c r="D849" s="10"/>
      <c r="E849" s="10"/>
      <c r="F849" s="10"/>
      <c r="G849" s="12"/>
      <c r="H849" s="73"/>
      <c r="I849" s="245"/>
    </row>
    <row r="850" spans="3:9" ht="24.75" hidden="1" customHeight="1">
      <c r="C850" s="10"/>
      <c r="D850" s="10"/>
      <c r="E850" s="10"/>
      <c r="F850" s="10"/>
      <c r="G850" s="12"/>
      <c r="H850" s="73"/>
      <c r="I850" s="245"/>
    </row>
    <row r="851" spans="3:9" ht="24.75" hidden="1" customHeight="1">
      <c r="C851" s="10"/>
      <c r="D851" s="10"/>
      <c r="E851" s="10"/>
      <c r="F851" s="10"/>
      <c r="G851" s="12"/>
      <c r="H851" s="73"/>
      <c r="I851" s="245"/>
    </row>
    <row r="852" spans="3:9" ht="24.75" hidden="1" customHeight="1">
      <c r="C852" s="10"/>
      <c r="D852" s="10"/>
      <c r="E852" s="10"/>
      <c r="F852" s="10"/>
      <c r="G852" s="12"/>
      <c r="H852" s="73"/>
      <c r="I852" s="245"/>
    </row>
    <row r="853" spans="3:9" ht="24.75" hidden="1" customHeight="1">
      <c r="C853" s="10"/>
      <c r="D853" s="10"/>
      <c r="E853" s="10"/>
      <c r="F853" s="10"/>
      <c r="G853" s="12"/>
      <c r="H853" s="73"/>
      <c r="I853" s="245"/>
    </row>
    <row r="854" spans="3:9" ht="24.75" hidden="1" customHeight="1">
      <c r="C854" s="10"/>
      <c r="D854" s="10"/>
      <c r="E854" s="10"/>
      <c r="F854" s="10"/>
      <c r="G854" s="12"/>
      <c r="H854" s="73"/>
      <c r="I854" s="245"/>
    </row>
    <row r="855" spans="3:9" ht="24.75" hidden="1" customHeight="1">
      <c r="C855" s="10"/>
      <c r="D855" s="10"/>
      <c r="E855" s="10"/>
      <c r="F855" s="10"/>
      <c r="G855" s="12"/>
      <c r="H855" s="73"/>
      <c r="I855" s="245"/>
    </row>
    <row r="856" spans="3:9" ht="24.75" hidden="1" customHeight="1">
      <c r="C856" s="10"/>
      <c r="D856" s="10"/>
      <c r="E856" s="10"/>
      <c r="F856" s="10"/>
      <c r="G856" s="12"/>
      <c r="H856" s="73"/>
      <c r="I856" s="245"/>
    </row>
    <row r="857" spans="3:9" ht="24.75" hidden="1" customHeight="1">
      <c r="C857" s="10"/>
      <c r="D857" s="10"/>
      <c r="E857" s="10"/>
      <c r="F857" s="10"/>
      <c r="G857" s="12"/>
      <c r="H857" s="73"/>
      <c r="I857" s="245"/>
    </row>
    <row r="858" spans="3:9" ht="24.75" hidden="1" customHeight="1">
      <c r="C858" s="10"/>
      <c r="D858" s="10"/>
      <c r="E858" s="10"/>
      <c r="F858" s="10"/>
      <c r="G858" s="12"/>
      <c r="H858" s="73"/>
      <c r="I858" s="245"/>
    </row>
    <row r="859" spans="3:9" ht="24.75" hidden="1" customHeight="1">
      <c r="C859" s="10"/>
      <c r="D859" s="10"/>
      <c r="E859" s="10"/>
      <c r="F859" s="10"/>
      <c r="G859" s="12"/>
      <c r="H859" s="73"/>
      <c r="I859" s="245"/>
    </row>
    <row r="860" spans="3:9" ht="24.75" hidden="1" customHeight="1">
      <c r="C860" s="10"/>
      <c r="D860" s="10"/>
      <c r="E860" s="10"/>
      <c r="F860" s="10"/>
      <c r="G860" s="12"/>
      <c r="H860" s="73"/>
      <c r="I860" s="245"/>
    </row>
    <row r="861" spans="3:9" ht="24.75" hidden="1" customHeight="1">
      <c r="C861" s="10"/>
      <c r="D861" s="10"/>
      <c r="E861" s="10"/>
      <c r="F861" s="10"/>
      <c r="G861" s="12"/>
      <c r="H861" s="73"/>
      <c r="I861" s="245"/>
    </row>
    <row r="862" spans="3:9" ht="24.75" hidden="1" customHeight="1">
      <c r="C862" s="10"/>
      <c r="D862" s="10"/>
      <c r="E862" s="10"/>
      <c r="F862" s="10"/>
      <c r="G862" s="12"/>
      <c r="H862" s="73"/>
      <c r="I862" s="245"/>
    </row>
    <row r="863" spans="3:9" ht="24.75" hidden="1" customHeight="1">
      <c r="C863" s="10"/>
      <c r="D863" s="10"/>
      <c r="E863" s="10"/>
      <c r="F863" s="10"/>
      <c r="G863" s="12"/>
      <c r="H863" s="73"/>
      <c r="I863" s="245"/>
    </row>
    <row r="864" spans="3:9" ht="24.75" hidden="1" customHeight="1">
      <c r="C864" s="10"/>
      <c r="D864" s="10"/>
      <c r="E864" s="10"/>
      <c r="F864" s="10"/>
      <c r="G864" s="12"/>
      <c r="H864" s="73"/>
      <c r="I864" s="245"/>
    </row>
    <row r="865" spans="3:9" ht="24.75" hidden="1" customHeight="1">
      <c r="C865" s="10"/>
      <c r="D865" s="10"/>
      <c r="E865" s="10"/>
      <c r="F865" s="10"/>
      <c r="G865" s="12"/>
      <c r="H865" s="73"/>
      <c r="I865" s="245"/>
    </row>
    <row r="866" spans="3:9" ht="24.75" hidden="1" customHeight="1">
      <c r="C866" s="10"/>
      <c r="D866" s="10"/>
      <c r="E866" s="10"/>
      <c r="F866" s="10"/>
      <c r="G866" s="12"/>
      <c r="H866" s="73"/>
      <c r="I866" s="245"/>
    </row>
    <row r="867" spans="3:9" ht="24.75" hidden="1" customHeight="1">
      <c r="C867" s="10"/>
      <c r="D867" s="10"/>
      <c r="E867" s="10"/>
      <c r="F867" s="10"/>
      <c r="G867" s="12"/>
      <c r="H867" s="73"/>
      <c r="I867" s="245"/>
    </row>
    <row r="868" spans="3:9" ht="24.75" hidden="1" customHeight="1">
      <c r="C868" s="10"/>
      <c r="D868" s="10"/>
      <c r="E868" s="10"/>
      <c r="F868" s="10"/>
      <c r="G868" s="12"/>
      <c r="H868" s="73"/>
      <c r="I868" s="245"/>
    </row>
    <row r="869" spans="3:9" ht="24.75" hidden="1" customHeight="1">
      <c r="C869" s="10"/>
      <c r="D869" s="10"/>
      <c r="E869" s="10"/>
      <c r="F869" s="10"/>
      <c r="G869" s="12"/>
      <c r="H869" s="73"/>
      <c r="I869" s="245"/>
    </row>
    <row r="870" spans="3:9" ht="24.75" hidden="1" customHeight="1">
      <c r="C870" s="10"/>
      <c r="D870" s="10"/>
      <c r="E870" s="10"/>
      <c r="F870" s="10"/>
      <c r="G870" s="12"/>
      <c r="H870" s="73"/>
      <c r="I870" s="245"/>
    </row>
    <row r="871" spans="3:9" ht="24.75" hidden="1" customHeight="1">
      <c r="C871" s="10"/>
      <c r="D871" s="10"/>
      <c r="E871" s="10"/>
      <c r="F871" s="10"/>
      <c r="G871" s="12"/>
      <c r="H871" s="73"/>
      <c r="I871" s="245"/>
    </row>
    <row r="872" spans="3:9" ht="24.75" hidden="1" customHeight="1">
      <c r="C872" s="10"/>
      <c r="D872" s="10"/>
      <c r="E872" s="10"/>
      <c r="F872" s="10"/>
      <c r="G872" s="12"/>
      <c r="H872" s="73"/>
      <c r="I872" s="245"/>
    </row>
    <row r="873" spans="3:9" ht="24.75" hidden="1" customHeight="1">
      <c r="C873" s="10"/>
      <c r="D873" s="10"/>
      <c r="E873" s="10"/>
      <c r="F873" s="10"/>
      <c r="G873" s="12"/>
      <c r="H873" s="73"/>
      <c r="I873" s="245"/>
    </row>
    <row r="874" spans="3:9" ht="24.75" hidden="1" customHeight="1">
      <c r="C874" s="10"/>
      <c r="D874" s="10"/>
      <c r="E874" s="10"/>
      <c r="F874" s="10"/>
      <c r="G874" s="12"/>
      <c r="H874" s="73"/>
      <c r="I874" s="245"/>
    </row>
    <row r="875" spans="3:9" ht="24.75" hidden="1" customHeight="1">
      <c r="C875" s="10"/>
      <c r="D875" s="10"/>
      <c r="E875" s="10"/>
      <c r="F875" s="10"/>
      <c r="G875" s="12"/>
      <c r="H875" s="73"/>
      <c r="I875" s="245"/>
    </row>
    <row r="876" spans="3:9" ht="24.75" hidden="1" customHeight="1">
      <c r="C876" s="10"/>
      <c r="D876" s="10"/>
      <c r="E876" s="10"/>
      <c r="F876" s="10"/>
      <c r="G876" s="12"/>
      <c r="H876" s="73"/>
      <c r="I876" s="245"/>
    </row>
    <row r="877" spans="3:9" ht="24.75" hidden="1" customHeight="1">
      <c r="C877" s="10"/>
      <c r="D877" s="10"/>
      <c r="E877" s="10"/>
      <c r="F877" s="10"/>
      <c r="G877" s="12"/>
      <c r="H877" s="73"/>
      <c r="I877" s="245"/>
    </row>
    <row r="878" spans="3:9" ht="24.75" hidden="1" customHeight="1">
      <c r="C878" s="10"/>
      <c r="D878" s="10"/>
      <c r="E878" s="10"/>
      <c r="F878" s="10"/>
      <c r="G878" s="12"/>
      <c r="H878" s="73"/>
      <c r="I878" s="245"/>
    </row>
    <row r="879" spans="3:9" ht="24.75" hidden="1" customHeight="1">
      <c r="C879" s="10"/>
      <c r="D879" s="10"/>
      <c r="E879" s="10"/>
      <c r="F879" s="10"/>
      <c r="G879" s="12"/>
      <c r="H879" s="73"/>
      <c r="I879" s="245"/>
    </row>
    <row r="880" spans="3:9" ht="24.75" hidden="1" customHeight="1">
      <c r="C880" s="10"/>
      <c r="D880" s="10"/>
      <c r="E880" s="10"/>
      <c r="F880" s="10"/>
      <c r="G880" s="12"/>
      <c r="H880" s="73"/>
      <c r="I880" s="245"/>
    </row>
    <row r="881" spans="3:9" ht="24.75" hidden="1" customHeight="1">
      <c r="C881" s="10"/>
      <c r="D881" s="10"/>
      <c r="E881" s="10"/>
      <c r="F881" s="10"/>
      <c r="G881" s="12"/>
      <c r="H881" s="73"/>
      <c r="I881" s="245"/>
    </row>
    <row r="882" spans="3:9" ht="24.75" hidden="1" customHeight="1">
      <c r="C882" s="10"/>
      <c r="D882" s="10"/>
      <c r="E882" s="10"/>
      <c r="F882" s="10"/>
      <c r="G882" s="12"/>
      <c r="H882" s="73"/>
      <c r="I882" s="245"/>
    </row>
    <row r="883" spans="3:9" ht="24.75" hidden="1" customHeight="1">
      <c r="C883" s="10"/>
      <c r="D883" s="10"/>
      <c r="E883" s="10"/>
      <c r="F883" s="10"/>
      <c r="G883" s="12"/>
      <c r="H883" s="73"/>
      <c r="I883" s="245"/>
    </row>
    <row r="884" spans="3:9" ht="24.75" hidden="1" customHeight="1">
      <c r="C884" s="10"/>
      <c r="D884" s="10"/>
      <c r="E884" s="10"/>
      <c r="F884" s="10"/>
      <c r="G884" s="12"/>
      <c r="H884" s="73"/>
      <c r="I884" s="245"/>
    </row>
    <row r="885" spans="3:9" ht="24.75" hidden="1" customHeight="1">
      <c r="C885" s="10"/>
      <c r="D885" s="10"/>
      <c r="E885" s="10"/>
      <c r="F885" s="10"/>
      <c r="G885" s="12"/>
      <c r="H885" s="73"/>
      <c r="I885" s="245"/>
    </row>
    <row r="886" spans="3:9" ht="24.75" hidden="1" customHeight="1">
      <c r="C886" s="10"/>
      <c r="D886" s="10"/>
      <c r="E886" s="10"/>
      <c r="F886" s="10"/>
      <c r="G886" s="12"/>
      <c r="H886" s="73"/>
      <c r="I886" s="245"/>
    </row>
    <row r="887" spans="3:9" ht="24.75" hidden="1" customHeight="1">
      <c r="C887" s="10"/>
      <c r="D887" s="10"/>
      <c r="E887" s="10"/>
      <c r="F887" s="10"/>
      <c r="G887" s="12"/>
      <c r="H887" s="73"/>
      <c r="I887" s="245"/>
    </row>
    <row r="888" spans="3:9" ht="24.75" hidden="1" customHeight="1">
      <c r="C888" s="10"/>
      <c r="D888" s="10"/>
      <c r="E888" s="10"/>
      <c r="F888" s="10"/>
      <c r="G888" s="12"/>
      <c r="H888" s="73"/>
      <c r="I888" s="245"/>
    </row>
    <row r="889" spans="3:9" ht="24.75" hidden="1" customHeight="1">
      <c r="C889" s="10"/>
      <c r="D889" s="10"/>
      <c r="E889" s="10"/>
      <c r="F889" s="10"/>
      <c r="G889" s="12"/>
      <c r="H889" s="73"/>
      <c r="I889" s="245"/>
    </row>
    <row r="890" spans="3:9" ht="24.75" hidden="1" customHeight="1">
      <c r="C890" s="10"/>
      <c r="D890" s="10"/>
      <c r="E890" s="10"/>
      <c r="F890" s="10"/>
      <c r="G890" s="12"/>
      <c r="H890" s="73"/>
      <c r="I890" s="245"/>
    </row>
    <row r="891" spans="3:9" ht="24.75" hidden="1" customHeight="1">
      <c r="C891" s="10"/>
      <c r="D891" s="10"/>
      <c r="E891" s="10"/>
      <c r="F891" s="10"/>
      <c r="G891" s="12"/>
      <c r="H891" s="73"/>
      <c r="I891" s="245"/>
    </row>
    <row r="892" spans="3:9" ht="24.75" hidden="1" customHeight="1">
      <c r="C892" s="10"/>
      <c r="D892" s="10"/>
      <c r="E892" s="10"/>
      <c r="F892" s="10"/>
      <c r="G892" s="12"/>
      <c r="H892" s="73"/>
      <c r="I892" s="245"/>
    </row>
    <row r="893" spans="3:9" ht="24.75" hidden="1" customHeight="1">
      <c r="C893" s="10"/>
      <c r="D893" s="10"/>
      <c r="E893" s="10"/>
      <c r="F893" s="10"/>
      <c r="G893" s="12"/>
      <c r="H893" s="73"/>
      <c r="I893" s="245"/>
    </row>
    <row r="894" spans="3:9" ht="24.75" hidden="1" customHeight="1">
      <c r="C894" s="10"/>
      <c r="D894" s="10"/>
      <c r="E894" s="10"/>
      <c r="F894" s="10"/>
      <c r="G894" s="12"/>
      <c r="H894" s="73"/>
      <c r="I894" s="245"/>
    </row>
    <row r="895" spans="3:9" ht="24.75" hidden="1" customHeight="1">
      <c r="C895" s="10"/>
      <c r="D895" s="10"/>
      <c r="E895" s="10"/>
      <c r="F895" s="10"/>
      <c r="G895" s="12"/>
      <c r="H895" s="73"/>
      <c r="I895" s="245"/>
    </row>
    <row r="896" spans="3:9" ht="24.75" hidden="1" customHeight="1">
      <c r="C896" s="10"/>
      <c r="D896" s="10"/>
      <c r="E896" s="10"/>
      <c r="F896" s="10"/>
      <c r="G896" s="12"/>
      <c r="H896" s="73"/>
      <c r="I896" s="245"/>
    </row>
    <row r="897" spans="3:9" ht="24.75" hidden="1" customHeight="1">
      <c r="C897" s="10"/>
      <c r="D897" s="10"/>
      <c r="E897" s="10"/>
      <c r="F897" s="10"/>
      <c r="G897" s="12"/>
      <c r="H897" s="73"/>
      <c r="I897" s="245"/>
    </row>
    <row r="898" spans="3:9" ht="24.75" hidden="1" customHeight="1">
      <c r="C898" s="10"/>
      <c r="D898" s="10"/>
      <c r="E898" s="10"/>
      <c r="F898" s="10"/>
      <c r="G898" s="12"/>
      <c r="H898" s="73"/>
      <c r="I898" s="245"/>
    </row>
    <row r="899" spans="3:9" ht="24.75" hidden="1" customHeight="1">
      <c r="C899" s="10"/>
      <c r="D899" s="10"/>
      <c r="E899" s="10"/>
      <c r="F899" s="10"/>
      <c r="G899" s="12"/>
      <c r="H899" s="73"/>
      <c r="I899" s="245"/>
    </row>
    <row r="900" spans="3:9" ht="24.75" hidden="1" customHeight="1">
      <c r="C900" s="10"/>
      <c r="D900" s="10"/>
      <c r="E900" s="10"/>
      <c r="F900" s="10"/>
      <c r="G900" s="12"/>
      <c r="H900" s="73"/>
      <c r="I900" s="245"/>
    </row>
    <row r="901" spans="3:9" ht="24.75" hidden="1" customHeight="1">
      <c r="C901" s="10"/>
      <c r="D901" s="10"/>
      <c r="E901" s="10"/>
      <c r="F901" s="10"/>
      <c r="G901" s="12"/>
      <c r="H901" s="73"/>
      <c r="I901" s="245"/>
    </row>
    <row r="902" spans="3:9" ht="24.75" hidden="1" customHeight="1">
      <c r="C902" s="10"/>
      <c r="D902" s="10"/>
      <c r="E902" s="10"/>
      <c r="F902" s="10"/>
      <c r="G902" s="12"/>
      <c r="H902" s="73"/>
      <c r="I902" s="245"/>
    </row>
    <row r="903" spans="3:9" ht="24.75" hidden="1" customHeight="1">
      <c r="C903" s="10"/>
      <c r="D903" s="10"/>
      <c r="E903" s="10"/>
      <c r="F903" s="10"/>
      <c r="G903" s="12"/>
      <c r="H903" s="73"/>
      <c r="I903" s="245"/>
    </row>
    <row r="904" spans="3:9" ht="24.75" hidden="1" customHeight="1">
      <c r="C904" s="10"/>
      <c r="D904" s="10"/>
      <c r="E904" s="10"/>
      <c r="F904" s="10"/>
      <c r="G904" s="12"/>
      <c r="H904" s="73"/>
      <c r="I904" s="245"/>
    </row>
    <row r="905" spans="3:9" ht="24.75" hidden="1" customHeight="1">
      <c r="C905" s="10"/>
      <c r="D905" s="10"/>
      <c r="E905" s="10"/>
      <c r="F905" s="10"/>
      <c r="G905" s="12"/>
      <c r="H905" s="73"/>
      <c r="I905" s="245"/>
    </row>
    <row r="906" spans="3:9" ht="24.75" hidden="1" customHeight="1">
      <c r="C906" s="10"/>
      <c r="D906" s="10"/>
      <c r="E906" s="10"/>
      <c r="F906" s="10"/>
      <c r="G906" s="12"/>
      <c r="H906" s="73"/>
      <c r="I906" s="245"/>
    </row>
    <row r="907" spans="3:9" ht="24.75" hidden="1" customHeight="1">
      <c r="C907" s="10"/>
      <c r="D907" s="10"/>
      <c r="E907" s="10"/>
      <c r="F907" s="10"/>
      <c r="G907" s="12"/>
      <c r="H907" s="73"/>
      <c r="I907" s="245"/>
    </row>
    <row r="908" spans="3:9" ht="24.75" hidden="1" customHeight="1">
      <c r="C908" s="10"/>
      <c r="D908" s="10"/>
      <c r="E908" s="10"/>
      <c r="F908" s="10"/>
      <c r="G908" s="12"/>
      <c r="H908" s="73"/>
      <c r="I908" s="245"/>
    </row>
    <row r="909" spans="3:9" ht="24.75" hidden="1" customHeight="1">
      <c r="C909" s="10"/>
      <c r="D909" s="10"/>
      <c r="E909" s="10"/>
      <c r="F909" s="10"/>
      <c r="G909" s="12"/>
      <c r="H909" s="73"/>
      <c r="I909" s="245"/>
    </row>
    <row r="910" spans="3:9" ht="24.75" hidden="1" customHeight="1">
      <c r="C910" s="10"/>
      <c r="D910" s="10"/>
      <c r="E910" s="10"/>
      <c r="F910" s="10"/>
      <c r="G910" s="12"/>
      <c r="H910" s="73"/>
      <c r="I910" s="245"/>
    </row>
    <row r="911" spans="3:9" ht="24.75" hidden="1" customHeight="1">
      <c r="C911" s="10"/>
      <c r="D911" s="10"/>
      <c r="E911" s="10"/>
      <c r="F911" s="10"/>
      <c r="G911" s="12"/>
      <c r="H911" s="73"/>
      <c r="I911" s="245"/>
    </row>
    <row r="912" spans="3:9" ht="24.75" hidden="1" customHeight="1">
      <c r="C912" s="10"/>
      <c r="D912" s="10"/>
      <c r="E912" s="10"/>
      <c r="F912" s="10"/>
      <c r="G912" s="12"/>
      <c r="H912" s="73"/>
      <c r="I912" s="245"/>
    </row>
    <row r="913" spans="3:9" ht="24.75" hidden="1" customHeight="1">
      <c r="C913" s="10"/>
      <c r="D913" s="10"/>
      <c r="E913" s="10"/>
      <c r="F913" s="10"/>
      <c r="G913" s="12"/>
      <c r="H913" s="73"/>
      <c r="I913" s="245"/>
    </row>
    <row r="914" spans="3:9" ht="24.75" hidden="1" customHeight="1">
      <c r="C914" s="10"/>
      <c r="D914" s="10"/>
      <c r="E914" s="10"/>
      <c r="F914" s="10"/>
      <c r="G914" s="12"/>
      <c r="H914" s="73"/>
      <c r="I914" s="245"/>
    </row>
    <row r="915" spans="3:9" ht="24.75" hidden="1" customHeight="1">
      <c r="C915" s="10"/>
      <c r="D915" s="10"/>
      <c r="E915" s="10"/>
      <c r="F915" s="10"/>
      <c r="G915" s="12"/>
      <c r="H915" s="73"/>
      <c r="I915" s="245"/>
    </row>
    <row r="916" spans="3:9" ht="24.75" hidden="1" customHeight="1">
      <c r="C916" s="10"/>
      <c r="D916" s="10"/>
      <c r="E916" s="10"/>
      <c r="F916" s="10"/>
      <c r="G916" s="12"/>
      <c r="H916" s="73"/>
      <c r="I916" s="245"/>
    </row>
    <row r="917" spans="3:9" ht="24.75" hidden="1" customHeight="1">
      <c r="C917" s="10"/>
      <c r="D917" s="10"/>
      <c r="E917" s="10"/>
      <c r="F917" s="10"/>
      <c r="G917" s="12"/>
      <c r="H917" s="73"/>
      <c r="I917" s="245"/>
    </row>
    <row r="918" spans="3:9" ht="24.75" hidden="1" customHeight="1">
      <c r="C918" s="10"/>
      <c r="D918" s="10"/>
      <c r="E918" s="10"/>
      <c r="F918" s="10"/>
      <c r="G918" s="12"/>
      <c r="H918" s="73"/>
      <c r="I918" s="245"/>
    </row>
    <row r="919" spans="3:9" ht="24.75" hidden="1" customHeight="1">
      <c r="C919" s="10"/>
      <c r="D919" s="10"/>
      <c r="E919" s="10"/>
      <c r="F919" s="10"/>
      <c r="G919" s="12"/>
      <c r="H919" s="73"/>
      <c r="I919" s="245"/>
    </row>
    <row r="920" spans="3:9" ht="24.75" hidden="1" customHeight="1">
      <c r="C920" s="10"/>
      <c r="D920" s="10"/>
      <c r="E920" s="10"/>
      <c r="F920" s="10"/>
      <c r="G920" s="12"/>
      <c r="H920" s="73"/>
      <c r="I920" s="245"/>
    </row>
    <row r="921" spans="3:9" ht="24.75" hidden="1" customHeight="1">
      <c r="C921" s="10"/>
      <c r="D921" s="10"/>
      <c r="E921" s="10"/>
      <c r="F921" s="10"/>
      <c r="G921" s="12"/>
      <c r="H921" s="73"/>
      <c r="I921" s="245"/>
    </row>
    <row r="922" spans="3:9" ht="24.75" hidden="1" customHeight="1">
      <c r="C922" s="10"/>
      <c r="D922" s="10"/>
      <c r="E922" s="10"/>
      <c r="F922" s="10"/>
      <c r="G922" s="12"/>
      <c r="H922" s="73"/>
      <c r="I922" s="245"/>
    </row>
    <row r="923" spans="3:9" ht="24.75" hidden="1" customHeight="1">
      <c r="C923" s="10"/>
      <c r="D923" s="10"/>
      <c r="E923" s="10"/>
      <c r="F923" s="10"/>
      <c r="G923" s="12"/>
      <c r="H923" s="73"/>
      <c r="I923" s="245"/>
    </row>
    <row r="924" spans="3:9" ht="24.75" hidden="1" customHeight="1">
      <c r="C924" s="10"/>
      <c r="D924" s="10"/>
      <c r="E924" s="10"/>
      <c r="F924" s="10"/>
      <c r="G924" s="12"/>
      <c r="H924" s="73"/>
      <c r="I924" s="245"/>
    </row>
    <row r="925" spans="3:9" ht="24.75" hidden="1" customHeight="1">
      <c r="C925" s="10"/>
      <c r="D925" s="10"/>
      <c r="E925" s="10"/>
      <c r="F925" s="10"/>
      <c r="G925" s="12"/>
      <c r="H925" s="73"/>
      <c r="I925" s="245"/>
    </row>
    <row r="926" spans="3:9" ht="24.75" hidden="1" customHeight="1">
      <c r="C926" s="10"/>
      <c r="D926" s="10"/>
      <c r="E926" s="10"/>
      <c r="F926" s="10"/>
      <c r="G926" s="12"/>
      <c r="H926" s="73"/>
      <c r="I926" s="245"/>
    </row>
    <row r="927" spans="3:9" ht="24.75" hidden="1" customHeight="1">
      <c r="C927" s="10"/>
      <c r="D927" s="10"/>
      <c r="E927" s="10"/>
      <c r="F927" s="10"/>
      <c r="G927" s="12"/>
      <c r="H927" s="73"/>
      <c r="I927" s="245"/>
    </row>
    <row r="928" spans="3:9" ht="24.75" hidden="1" customHeight="1">
      <c r="C928" s="10"/>
      <c r="D928" s="10"/>
      <c r="E928" s="10"/>
      <c r="F928" s="10"/>
      <c r="G928" s="12"/>
      <c r="H928" s="73"/>
      <c r="I928" s="245"/>
    </row>
    <row r="929" spans="3:9" ht="24.75" hidden="1" customHeight="1">
      <c r="C929" s="10"/>
      <c r="D929" s="10"/>
      <c r="E929" s="10"/>
      <c r="F929" s="10"/>
      <c r="G929" s="12"/>
      <c r="H929" s="73"/>
      <c r="I929" s="245"/>
    </row>
    <row r="930" spans="3:9" ht="24.75" hidden="1" customHeight="1">
      <c r="C930" s="10"/>
      <c r="D930" s="10"/>
      <c r="E930" s="10"/>
      <c r="F930" s="10"/>
      <c r="G930" s="12"/>
      <c r="H930" s="73"/>
      <c r="I930" s="245"/>
    </row>
    <row r="931" spans="3:9" ht="24.75" hidden="1" customHeight="1">
      <c r="C931" s="10"/>
      <c r="D931" s="10"/>
      <c r="E931" s="10"/>
      <c r="F931" s="10"/>
      <c r="G931" s="12"/>
      <c r="H931" s="73"/>
      <c r="I931" s="245"/>
    </row>
    <row r="932" spans="3:9" ht="24.75" hidden="1" customHeight="1">
      <c r="C932" s="10"/>
      <c r="D932" s="10"/>
      <c r="E932" s="10"/>
      <c r="F932" s="10"/>
      <c r="G932" s="12"/>
      <c r="H932" s="73"/>
      <c r="I932" s="245"/>
    </row>
    <row r="933" spans="3:9" ht="24.75" hidden="1" customHeight="1">
      <c r="C933" s="10"/>
      <c r="D933" s="10"/>
      <c r="E933" s="10"/>
      <c r="F933" s="10"/>
      <c r="G933" s="12"/>
      <c r="H933" s="73"/>
      <c r="I933" s="245"/>
    </row>
    <row r="934" spans="3:9" ht="24.75" hidden="1" customHeight="1">
      <c r="C934" s="10"/>
      <c r="D934" s="10"/>
      <c r="E934" s="10"/>
      <c r="F934" s="10"/>
      <c r="G934" s="12"/>
      <c r="H934" s="73"/>
      <c r="I934" s="245"/>
    </row>
    <row r="935" spans="3:9" ht="24.75" hidden="1" customHeight="1">
      <c r="C935" s="10"/>
      <c r="D935" s="10"/>
      <c r="E935" s="10"/>
      <c r="F935" s="10"/>
      <c r="G935" s="12"/>
      <c r="H935" s="73"/>
      <c r="I935" s="245"/>
    </row>
    <row r="936" spans="3:9" ht="24.75" hidden="1" customHeight="1">
      <c r="C936" s="10"/>
      <c r="D936" s="10"/>
      <c r="E936" s="10"/>
      <c r="F936" s="10"/>
      <c r="G936" s="12"/>
      <c r="H936" s="73"/>
      <c r="I936" s="245"/>
    </row>
    <row r="937" spans="3:9" ht="24.75" hidden="1" customHeight="1">
      <c r="C937" s="10"/>
      <c r="D937" s="10"/>
      <c r="E937" s="10"/>
      <c r="F937" s="10"/>
      <c r="G937" s="12"/>
      <c r="H937" s="73"/>
      <c r="I937" s="245"/>
    </row>
    <row r="938" spans="3:9" ht="24.75" hidden="1" customHeight="1">
      <c r="C938" s="10"/>
      <c r="D938" s="10"/>
      <c r="E938" s="10"/>
      <c r="F938" s="10"/>
      <c r="G938" s="12"/>
      <c r="H938" s="73"/>
      <c r="I938" s="245"/>
    </row>
    <row r="939" spans="3:9" ht="24.75" hidden="1" customHeight="1">
      <c r="C939" s="10"/>
      <c r="D939" s="10"/>
      <c r="E939" s="10"/>
      <c r="F939" s="10"/>
      <c r="G939" s="12"/>
      <c r="H939" s="73"/>
      <c r="I939" s="245"/>
    </row>
    <row r="940" spans="3:9" ht="24.75" hidden="1" customHeight="1">
      <c r="C940" s="10"/>
      <c r="D940" s="10"/>
      <c r="E940" s="10"/>
      <c r="F940" s="10"/>
      <c r="G940" s="12"/>
      <c r="H940" s="73"/>
      <c r="I940" s="245"/>
    </row>
    <row r="941" spans="3:9" ht="24.75" hidden="1" customHeight="1">
      <c r="C941" s="10"/>
      <c r="D941" s="10"/>
      <c r="E941" s="10"/>
      <c r="F941" s="10"/>
      <c r="G941" s="12"/>
      <c r="H941" s="73"/>
      <c r="I941" s="245"/>
    </row>
    <row r="942" spans="3:9" ht="24.75" hidden="1" customHeight="1">
      <c r="C942" s="10"/>
      <c r="D942" s="10"/>
      <c r="E942" s="10"/>
      <c r="F942" s="10"/>
      <c r="G942" s="12"/>
      <c r="H942" s="73"/>
      <c r="I942" s="245"/>
    </row>
    <row r="943" spans="3:9" ht="24.75" hidden="1" customHeight="1">
      <c r="C943" s="10"/>
      <c r="D943" s="10"/>
      <c r="E943" s="10"/>
      <c r="F943" s="10"/>
      <c r="G943" s="12"/>
      <c r="H943" s="73"/>
      <c r="I943" s="245"/>
    </row>
    <row r="944" spans="3:9" ht="24.75" hidden="1" customHeight="1">
      <c r="C944" s="10"/>
      <c r="D944" s="10"/>
      <c r="E944" s="10"/>
      <c r="F944" s="10"/>
      <c r="G944" s="12"/>
      <c r="H944" s="73"/>
      <c r="I944" s="245"/>
    </row>
    <row r="945" spans="3:9" ht="24.75" hidden="1" customHeight="1">
      <c r="C945" s="10"/>
      <c r="D945" s="10"/>
      <c r="E945" s="10"/>
      <c r="F945" s="10"/>
      <c r="G945" s="12"/>
      <c r="H945" s="73"/>
      <c r="I945" s="245"/>
    </row>
    <row r="946" spans="3:9" ht="24.75" hidden="1" customHeight="1">
      <c r="C946" s="10"/>
      <c r="D946" s="10"/>
      <c r="E946" s="10"/>
      <c r="F946" s="10"/>
      <c r="G946" s="12"/>
      <c r="H946" s="73"/>
      <c r="I946" s="245"/>
    </row>
    <row r="947" spans="3:9" ht="24.75" hidden="1" customHeight="1">
      <c r="C947" s="10"/>
      <c r="D947" s="10"/>
      <c r="E947" s="10"/>
      <c r="F947" s="10"/>
      <c r="G947" s="12"/>
      <c r="H947" s="73"/>
      <c r="I947" s="245"/>
    </row>
    <row r="948" spans="3:9" ht="24.75" hidden="1" customHeight="1">
      <c r="C948" s="10"/>
      <c r="D948" s="10"/>
      <c r="E948" s="10"/>
      <c r="F948" s="10"/>
      <c r="G948" s="12"/>
      <c r="H948" s="73"/>
      <c r="I948" s="245"/>
    </row>
    <row r="949" spans="3:9" ht="24.75" hidden="1" customHeight="1">
      <c r="C949" s="10"/>
      <c r="D949" s="10"/>
      <c r="E949" s="10"/>
      <c r="F949" s="10"/>
      <c r="G949" s="12"/>
      <c r="H949" s="73"/>
      <c r="I949" s="245"/>
    </row>
    <row r="950" spans="3:9" ht="24.75" hidden="1" customHeight="1">
      <c r="C950" s="10"/>
      <c r="D950" s="10"/>
      <c r="E950" s="10"/>
      <c r="F950" s="10"/>
      <c r="G950" s="12"/>
      <c r="H950" s="73"/>
      <c r="I950" s="245"/>
    </row>
    <row r="951" spans="3:9" ht="24.75" hidden="1" customHeight="1">
      <c r="C951" s="10"/>
      <c r="D951" s="10"/>
      <c r="E951" s="10"/>
      <c r="F951" s="10"/>
      <c r="G951" s="12"/>
      <c r="H951" s="73"/>
      <c r="I951" s="245"/>
    </row>
    <row r="952" spans="3:9" ht="24.75" hidden="1" customHeight="1">
      <c r="C952" s="10"/>
      <c r="D952" s="10"/>
      <c r="E952" s="10"/>
      <c r="F952" s="10"/>
      <c r="G952" s="12"/>
      <c r="H952" s="73"/>
      <c r="I952" s="245"/>
    </row>
    <row r="953" spans="3:9" ht="24.75" hidden="1" customHeight="1">
      <c r="C953" s="10"/>
      <c r="D953" s="10"/>
      <c r="E953" s="10"/>
      <c r="F953" s="10"/>
      <c r="G953" s="12"/>
      <c r="H953" s="73"/>
      <c r="I953" s="245"/>
    </row>
    <row r="954" spans="3:9" ht="24.75" hidden="1" customHeight="1">
      <c r="C954" s="10"/>
      <c r="D954" s="10"/>
      <c r="E954" s="10"/>
      <c r="F954" s="10"/>
      <c r="G954" s="12"/>
      <c r="H954" s="73"/>
      <c r="I954" s="245"/>
    </row>
    <row r="955" spans="3:9" ht="24.75" hidden="1" customHeight="1">
      <c r="C955" s="10"/>
      <c r="D955" s="10"/>
      <c r="E955" s="10"/>
      <c r="F955" s="10"/>
      <c r="G955" s="12"/>
      <c r="H955" s="73"/>
      <c r="I955" s="245"/>
    </row>
    <row r="956" spans="3:9" ht="24.75" hidden="1" customHeight="1">
      <c r="C956" s="10"/>
      <c r="D956" s="10"/>
      <c r="E956" s="10"/>
      <c r="F956" s="10"/>
      <c r="G956" s="12"/>
      <c r="H956" s="73"/>
      <c r="I956" s="245"/>
    </row>
    <row r="957" spans="3:9" ht="24.75" hidden="1" customHeight="1">
      <c r="C957" s="10"/>
      <c r="D957" s="10"/>
      <c r="E957" s="10"/>
      <c r="F957" s="10"/>
      <c r="G957" s="12"/>
      <c r="H957" s="73"/>
      <c r="I957" s="245"/>
    </row>
    <row r="958" spans="3:9" ht="24.75" hidden="1" customHeight="1">
      <c r="C958" s="10"/>
      <c r="D958" s="10"/>
      <c r="E958" s="10"/>
      <c r="F958" s="10"/>
      <c r="G958" s="12"/>
      <c r="H958" s="73"/>
      <c r="I958" s="245"/>
    </row>
    <row r="959" spans="3:9" ht="24.75" hidden="1" customHeight="1">
      <c r="C959" s="10"/>
      <c r="D959" s="10"/>
      <c r="E959" s="10"/>
      <c r="F959" s="10"/>
      <c r="G959" s="12"/>
      <c r="H959" s="73"/>
      <c r="I959" s="245"/>
    </row>
    <row r="960" spans="3:9" ht="24.75" hidden="1" customHeight="1">
      <c r="C960" s="10"/>
      <c r="D960" s="10"/>
      <c r="E960" s="10"/>
      <c r="F960" s="10"/>
      <c r="G960" s="12"/>
      <c r="H960" s="73"/>
      <c r="I960" s="245"/>
    </row>
    <row r="961" spans="3:9" ht="24.75" hidden="1" customHeight="1">
      <c r="C961" s="10"/>
      <c r="D961" s="10"/>
      <c r="E961" s="10"/>
      <c r="F961" s="10"/>
      <c r="G961" s="12"/>
      <c r="H961" s="73"/>
      <c r="I961" s="245"/>
    </row>
    <row r="962" spans="3:9" ht="24.75" hidden="1" customHeight="1">
      <c r="C962" s="10"/>
      <c r="D962" s="10"/>
      <c r="E962" s="10"/>
      <c r="F962" s="10"/>
      <c r="G962" s="12"/>
      <c r="H962" s="73"/>
      <c r="I962" s="245"/>
    </row>
    <row r="963" spans="3:9" ht="24.75" hidden="1" customHeight="1">
      <c r="C963" s="10"/>
      <c r="D963" s="10"/>
      <c r="E963" s="10"/>
      <c r="F963" s="10"/>
      <c r="G963" s="12"/>
      <c r="H963" s="73"/>
      <c r="I963" s="245"/>
    </row>
    <row r="964" spans="3:9" ht="24.75" hidden="1" customHeight="1">
      <c r="C964" s="10"/>
      <c r="D964" s="10"/>
      <c r="E964" s="10"/>
      <c r="F964" s="10"/>
      <c r="G964" s="12"/>
      <c r="H964" s="73"/>
      <c r="I964" s="245"/>
    </row>
    <row r="965" spans="3:9" ht="24.75" hidden="1" customHeight="1">
      <c r="C965" s="10"/>
      <c r="D965" s="10"/>
      <c r="E965" s="10"/>
      <c r="F965" s="10"/>
      <c r="G965" s="12"/>
      <c r="H965" s="73"/>
      <c r="I965" s="245"/>
    </row>
    <row r="966" spans="3:9" ht="24.75" hidden="1" customHeight="1">
      <c r="C966" s="10"/>
      <c r="D966" s="10"/>
      <c r="E966" s="10"/>
      <c r="F966" s="10"/>
      <c r="G966" s="12"/>
      <c r="H966" s="73"/>
      <c r="I966" s="245"/>
    </row>
    <row r="967" spans="3:9" ht="24.75" hidden="1" customHeight="1">
      <c r="C967" s="10"/>
      <c r="D967" s="10"/>
      <c r="E967" s="10"/>
      <c r="F967" s="10"/>
      <c r="G967" s="12"/>
      <c r="H967" s="73"/>
      <c r="I967" s="245"/>
    </row>
    <row r="968" spans="3:9" ht="24.75" hidden="1" customHeight="1">
      <c r="C968" s="10"/>
      <c r="D968" s="10"/>
      <c r="E968" s="10"/>
      <c r="F968" s="10"/>
      <c r="G968" s="12"/>
      <c r="H968" s="73"/>
      <c r="I968" s="245"/>
    </row>
    <row r="969" spans="3:9" ht="24.75" hidden="1" customHeight="1">
      <c r="C969" s="10"/>
      <c r="D969" s="10"/>
      <c r="E969" s="10"/>
      <c r="F969" s="10"/>
      <c r="G969" s="12"/>
      <c r="H969" s="73"/>
      <c r="I969" s="245"/>
    </row>
    <row r="970" spans="3:9" ht="24.75" hidden="1" customHeight="1">
      <c r="C970" s="10"/>
      <c r="D970" s="10"/>
      <c r="E970" s="10"/>
      <c r="F970" s="10"/>
      <c r="G970" s="12"/>
      <c r="H970" s="73"/>
      <c r="I970" s="245"/>
    </row>
    <row r="971" spans="3:9" ht="24.75" hidden="1" customHeight="1">
      <c r="C971" s="10"/>
      <c r="D971" s="10"/>
      <c r="E971" s="10"/>
      <c r="F971" s="10"/>
      <c r="G971" s="12"/>
      <c r="H971" s="73"/>
      <c r="I971" s="245"/>
    </row>
    <row r="972" spans="3:9" ht="24.75" hidden="1" customHeight="1">
      <c r="C972" s="10"/>
      <c r="D972" s="10"/>
      <c r="E972" s="10"/>
      <c r="F972" s="10"/>
      <c r="G972" s="12"/>
      <c r="H972" s="73"/>
      <c r="I972" s="245"/>
    </row>
    <row r="973" spans="3:9" ht="24.75" hidden="1" customHeight="1">
      <c r="C973" s="10"/>
      <c r="D973" s="10"/>
      <c r="E973" s="10"/>
      <c r="F973" s="10"/>
      <c r="G973" s="12"/>
      <c r="H973" s="73"/>
      <c r="I973" s="245"/>
    </row>
    <row r="974" spans="3:9" ht="24.75" hidden="1" customHeight="1">
      <c r="C974" s="10"/>
      <c r="D974" s="10"/>
      <c r="E974" s="10"/>
      <c r="F974" s="10"/>
      <c r="G974" s="12"/>
      <c r="H974" s="73"/>
      <c r="I974" s="245"/>
    </row>
    <row r="975" spans="3:9" ht="24.75" hidden="1" customHeight="1">
      <c r="C975" s="10"/>
      <c r="D975" s="10"/>
      <c r="E975" s="10"/>
      <c r="F975" s="10"/>
      <c r="G975" s="12"/>
      <c r="H975" s="73"/>
      <c r="I975" s="245"/>
    </row>
    <row r="976" spans="3:9" ht="24.75" hidden="1" customHeight="1">
      <c r="C976" s="10"/>
      <c r="D976" s="10"/>
      <c r="E976" s="10"/>
      <c r="F976" s="10"/>
      <c r="G976" s="12"/>
      <c r="H976" s="73"/>
      <c r="I976" s="245"/>
    </row>
    <row r="977" spans="3:9" ht="24.75" hidden="1" customHeight="1">
      <c r="C977" s="10"/>
      <c r="D977" s="10"/>
      <c r="E977" s="10"/>
      <c r="F977" s="10"/>
      <c r="G977" s="12"/>
      <c r="H977" s="73"/>
      <c r="I977" s="245"/>
    </row>
    <row r="978" spans="3:9" ht="24.75" hidden="1" customHeight="1">
      <c r="C978" s="10"/>
      <c r="D978" s="10"/>
      <c r="E978" s="10"/>
      <c r="F978" s="10"/>
      <c r="G978" s="12"/>
      <c r="H978" s="73"/>
      <c r="I978" s="245"/>
    </row>
    <row r="979" spans="3:9" ht="24.75" hidden="1" customHeight="1">
      <c r="C979" s="10"/>
      <c r="D979" s="10"/>
      <c r="E979" s="10"/>
      <c r="F979" s="10"/>
      <c r="G979" s="12"/>
      <c r="H979" s="73"/>
      <c r="I979" s="245"/>
    </row>
    <row r="980" spans="3:9" ht="24.75" hidden="1" customHeight="1">
      <c r="C980" s="10"/>
      <c r="D980" s="10"/>
      <c r="E980" s="10"/>
      <c r="F980" s="10"/>
      <c r="G980" s="12"/>
      <c r="H980" s="73"/>
      <c r="I980" s="245"/>
    </row>
    <row r="981" spans="3:9" ht="24.75" hidden="1" customHeight="1">
      <c r="C981" s="10"/>
      <c r="D981" s="10"/>
      <c r="E981" s="10"/>
      <c r="F981" s="10"/>
      <c r="G981" s="12"/>
      <c r="H981" s="73"/>
      <c r="I981" s="245"/>
    </row>
    <row r="982" spans="3:9" ht="24.75" hidden="1" customHeight="1">
      <c r="C982" s="10"/>
      <c r="D982" s="10"/>
      <c r="E982" s="10"/>
      <c r="F982" s="10"/>
      <c r="G982" s="12"/>
      <c r="H982" s="73"/>
      <c r="I982" s="245"/>
    </row>
    <row r="983" spans="3:9" ht="24.75" hidden="1" customHeight="1">
      <c r="C983" s="10"/>
      <c r="D983" s="10"/>
      <c r="E983" s="10"/>
      <c r="F983" s="10"/>
      <c r="G983" s="12"/>
      <c r="H983" s="73"/>
      <c r="I983" s="245"/>
    </row>
    <row r="984" spans="3:9" ht="24.75" hidden="1" customHeight="1">
      <c r="C984" s="10"/>
      <c r="D984" s="10"/>
      <c r="E984" s="10"/>
      <c r="F984" s="10"/>
      <c r="G984" s="12"/>
      <c r="H984" s="73"/>
      <c r="I984" s="245"/>
    </row>
    <row r="985" spans="3:9" ht="24.75" hidden="1" customHeight="1">
      <c r="C985" s="10"/>
      <c r="D985" s="10"/>
      <c r="E985" s="10"/>
      <c r="F985" s="10"/>
      <c r="G985" s="12"/>
      <c r="H985" s="73"/>
      <c r="I985" s="245"/>
    </row>
    <row r="986" spans="3:9" ht="24.75" hidden="1" customHeight="1">
      <c r="C986" s="10"/>
      <c r="D986" s="10"/>
      <c r="E986" s="10"/>
      <c r="F986" s="10"/>
      <c r="G986" s="12"/>
      <c r="H986" s="73"/>
      <c r="I986" s="245"/>
    </row>
    <row r="987" spans="3:9" ht="24.75" hidden="1" customHeight="1">
      <c r="C987" s="10"/>
      <c r="D987" s="10"/>
      <c r="E987" s="10"/>
      <c r="F987" s="10"/>
      <c r="G987" s="12"/>
      <c r="H987" s="73"/>
      <c r="I987" s="245"/>
    </row>
    <row r="988" spans="3:9" ht="24.75" hidden="1" customHeight="1">
      <c r="C988" s="10"/>
      <c r="D988" s="10"/>
      <c r="E988" s="10"/>
      <c r="F988" s="10"/>
      <c r="G988" s="12"/>
      <c r="H988" s="73"/>
      <c r="I988" s="245"/>
    </row>
    <row r="989" spans="3:9" ht="24.75" hidden="1" customHeight="1">
      <c r="C989" s="10"/>
      <c r="D989" s="10"/>
      <c r="E989" s="10"/>
      <c r="F989" s="10"/>
      <c r="G989" s="12"/>
      <c r="H989" s="73"/>
      <c r="I989" s="245"/>
    </row>
    <row r="990" spans="3:9" ht="24.75" hidden="1" customHeight="1">
      <c r="C990" s="10"/>
      <c r="D990" s="10"/>
      <c r="E990" s="10"/>
      <c r="F990" s="10"/>
      <c r="G990" s="12"/>
      <c r="H990" s="73"/>
      <c r="I990" s="245"/>
    </row>
    <row r="991" spans="3:9" ht="24.75" hidden="1" customHeight="1">
      <c r="C991" s="10"/>
      <c r="D991" s="10"/>
      <c r="E991" s="10"/>
      <c r="F991" s="10"/>
      <c r="G991" s="12"/>
      <c r="H991" s="73"/>
      <c r="I991" s="245"/>
    </row>
    <row r="992" spans="3:9" ht="24.75" hidden="1" customHeight="1">
      <c r="C992" s="10"/>
      <c r="D992" s="10"/>
      <c r="E992" s="10"/>
      <c r="F992" s="10"/>
      <c r="G992" s="12"/>
      <c r="H992" s="73"/>
      <c r="I992" s="245"/>
    </row>
    <row r="993" spans="3:9" ht="24.75" hidden="1" customHeight="1">
      <c r="C993" s="10"/>
      <c r="D993" s="10"/>
      <c r="E993" s="10"/>
      <c r="F993" s="10"/>
      <c r="G993" s="12"/>
      <c r="H993" s="73"/>
      <c r="I993" s="245"/>
    </row>
    <row r="994" spans="3:9" ht="24.75" hidden="1" customHeight="1">
      <c r="C994" s="10"/>
      <c r="D994" s="10"/>
      <c r="E994" s="10"/>
      <c r="F994" s="10"/>
      <c r="G994" s="12"/>
      <c r="H994" s="73"/>
      <c r="I994" s="245"/>
    </row>
    <row r="995" spans="3:9" ht="24.75" hidden="1" customHeight="1">
      <c r="C995" s="10"/>
      <c r="D995" s="10"/>
      <c r="E995" s="10"/>
      <c r="F995" s="10"/>
      <c r="G995" s="12"/>
      <c r="H995" s="73"/>
      <c r="I995" s="245"/>
    </row>
    <row r="996" spans="3:9" ht="24.75" hidden="1" customHeight="1">
      <c r="C996" s="10"/>
      <c r="D996" s="10"/>
      <c r="E996" s="10"/>
      <c r="F996" s="10"/>
      <c r="G996" s="12"/>
      <c r="H996" s="73"/>
      <c r="I996" s="245"/>
    </row>
    <row r="997" spans="3:9" ht="24.75" hidden="1" customHeight="1">
      <c r="C997" s="10"/>
      <c r="D997" s="10"/>
      <c r="E997" s="10"/>
      <c r="F997" s="10"/>
      <c r="G997" s="12"/>
      <c r="H997" s="73"/>
      <c r="I997" s="245"/>
    </row>
    <row r="998" spans="3:9" ht="24.75" hidden="1" customHeight="1">
      <c r="C998" s="10"/>
      <c r="D998" s="10"/>
      <c r="E998" s="10"/>
      <c r="F998" s="10"/>
      <c r="G998" s="12"/>
      <c r="H998" s="73"/>
      <c r="I998" s="245"/>
    </row>
    <row r="999" spans="3:9" ht="24.75" hidden="1" customHeight="1">
      <c r="C999" s="10"/>
      <c r="D999" s="10"/>
      <c r="E999" s="10"/>
      <c r="F999" s="10"/>
      <c r="G999" s="12"/>
      <c r="H999" s="73"/>
      <c r="I999" s="245"/>
    </row>
    <row r="1000" spans="3:9" ht="24.75" hidden="1" customHeight="1">
      <c r="C1000" s="10"/>
      <c r="D1000" s="10"/>
      <c r="E1000" s="10"/>
      <c r="F1000" s="10"/>
      <c r="G1000" s="12"/>
      <c r="H1000" s="73"/>
      <c r="I1000" s="245"/>
    </row>
    <row r="1001" spans="3:9" ht="24.75" hidden="1" customHeight="1">
      <c r="C1001" s="10"/>
      <c r="D1001" s="10"/>
      <c r="E1001" s="10"/>
      <c r="F1001" s="10"/>
      <c r="G1001" s="12"/>
      <c r="H1001" s="73"/>
      <c r="I1001" s="245"/>
    </row>
    <row r="1002" spans="3:9" ht="24.75" hidden="1" customHeight="1">
      <c r="C1002" s="10"/>
      <c r="D1002" s="10"/>
      <c r="E1002" s="10"/>
      <c r="F1002" s="10"/>
      <c r="G1002" s="12"/>
      <c r="H1002" s="73"/>
      <c r="I1002" s="245"/>
    </row>
    <row r="1003" spans="3:9" ht="24.75" hidden="1" customHeight="1">
      <c r="C1003" s="10"/>
      <c r="D1003" s="10"/>
      <c r="E1003" s="10"/>
      <c r="F1003" s="10"/>
      <c r="G1003" s="12"/>
      <c r="H1003" s="73"/>
      <c r="I1003" s="245"/>
    </row>
    <row r="1004" spans="3:9" ht="24.75" hidden="1" customHeight="1">
      <c r="C1004" s="10"/>
      <c r="D1004" s="10"/>
      <c r="E1004" s="10"/>
      <c r="F1004" s="10"/>
      <c r="G1004" s="12"/>
      <c r="H1004" s="73"/>
      <c r="I1004" s="245"/>
    </row>
    <row r="1005" spans="3:9" ht="24.75" hidden="1" customHeight="1">
      <c r="C1005" s="10"/>
      <c r="D1005" s="10"/>
      <c r="E1005" s="10"/>
      <c r="F1005" s="10"/>
      <c r="G1005" s="12"/>
      <c r="H1005" s="73"/>
      <c r="I1005" s="245"/>
    </row>
    <row r="1006" spans="3:9" ht="24.75" hidden="1" customHeight="1">
      <c r="C1006" s="10"/>
      <c r="D1006" s="10"/>
      <c r="E1006" s="10"/>
      <c r="F1006" s="10"/>
      <c r="G1006" s="12"/>
      <c r="H1006" s="73"/>
      <c r="I1006" s="245"/>
    </row>
    <row r="1007" spans="3:9" ht="24.75" hidden="1" customHeight="1">
      <c r="C1007" s="10"/>
      <c r="D1007" s="10"/>
      <c r="E1007" s="10"/>
      <c r="F1007" s="10"/>
      <c r="G1007" s="12"/>
      <c r="H1007" s="73"/>
      <c r="I1007" s="245"/>
    </row>
    <row r="1008" spans="3:9" ht="24.75" hidden="1" customHeight="1">
      <c r="C1008" s="10"/>
      <c r="D1008" s="10"/>
      <c r="E1008" s="10"/>
      <c r="F1008" s="10"/>
      <c r="G1008" s="12"/>
      <c r="H1008" s="73"/>
      <c r="I1008" s="245"/>
    </row>
    <row r="1009" spans="3:9" ht="24.75" hidden="1" customHeight="1">
      <c r="C1009" s="10"/>
      <c r="D1009" s="10"/>
      <c r="E1009" s="10"/>
      <c r="F1009" s="10"/>
      <c r="G1009" s="12"/>
      <c r="H1009" s="73"/>
      <c r="I1009" s="245"/>
    </row>
    <row r="1010" spans="3:9" ht="24.75" hidden="1" customHeight="1">
      <c r="C1010" s="10"/>
      <c r="D1010" s="10"/>
      <c r="E1010" s="10"/>
      <c r="F1010" s="10"/>
      <c r="G1010" s="12"/>
      <c r="H1010" s="73"/>
      <c r="I1010" s="245"/>
    </row>
    <row r="1011" spans="3:9" ht="24.75" hidden="1" customHeight="1">
      <c r="C1011" s="10"/>
      <c r="D1011" s="10"/>
      <c r="E1011" s="10"/>
      <c r="F1011" s="10"/>
      <c r="G1011" s="12"/>
      <c r="H1011" s="73"/>
      <c r="I1011" s="245"/>
    </row>
    <row r="1012" spans="3:9" ht="24.75" hidden="1" customHeight="1">
      <c r="C1012" s="10"/>
      <c r="D1012" s="10"/>
      <c r="E1012" s="10"/>
      <c r="F1012" s="10"/>
      <c r="G1012" s="12"/>
      <c r="H1012" s="73"/>
      <c r="I1012" s="245"/>
    </row>
    <row r="1013" spans="3:9" ht="24.75" hidden="1" customHeight="1">
      <c r="C1013" s="10"/>
      <c r="D1013" s="10"/>
      <c r="E1013" s="10"/>
      <c r="F1013" s="10"/>
      <c r="G1013" s="12"/>
      <c r="H1013" s="73"/>
      <c r="I1013" s="245"/>
    </row>
    <row r="1014" spans="3:9" ht="24.75" hidden="1" customHeight="1">
      <c r="C1014" s="10"/>
      <c r="D1014" s="10"/>
      <c r="E1014" s="10"/>
      <c r="F1014" s="10"/>
      <c r="G1014" s="12"/>
      <c r="H1014" s="73"/>
      <c r="I1014" s="245"/>
    </row>
    <row r="1015" spans="3:9" ht="24.75" hidden="1" customHeight="1">
      <c r="C1015" s="10"/>
      <c r="D1015" s="10"/>
      <c r="E1015" s="10"/>
      <c r="F1015" s="10"/>
      <c r="G1015" s="12"/>
      <c r="H1015" s="73"/>
      <c r="I1015" s="245"/>
    </row>
    <row r="1016" spans="3:9" ht="24.75" hidden="1" customHeight="1">
      <c r="C1016" s="10"/>
      <c r="D1016" s="10"/>
      <c r="E1016" s="10"/>
      <c r="F1016" s="10"/>
      <c r="G1016" s="12"/>
      <c r="H1016" s="73"/>
      <c r="I1016" s="245"/>
    </row>
    <row r="1017" spans="3:9" ht="24.75" hidden="1" customHeight="1">
      <c r="C1017" s="10"/>
      <c r="D1017" s="10"/>
      <c r="E1017" s="10"/>
      <c r="F1017" s="10"/>
      <c r="G1017" s="12"/>
      <c r="H1017" s="73"/>
      <c r="I1017" s="245"/>
    </row>
    <row r="1018" spans="3:9" ht="24.75" hidden="1" customHeight="1">
      <c r="C1018" s="10"/>
      <c r="D1018" s="10"/>
      <c r="E1018" s="10"/>
      <c r="F1018" s="10"/>
      <c r="G1018" s="12"/>
      <c r="H1018" s="73"/>
      <c r="I1018" s="245"/>
    </row>
    <row r="1019" spans="3:9" ht="24.75" hidden="1" customHeight="1">
      <c r="C1019" s="10"/>
      <c r="D1019" s="10"/>
      <c r="E1019" s="10"/>
      <c r="F1019" s="10"/>
      <c r="G1019" s="12"/>
      <c r="H1019" s="73"/>
      <c r="I1019" s="245"/>
    </row>
    <row r="1020" spans="3:9" ht="24.75" hidden="1" customHeight="1">
      <c r="C1020" s="10"/>
      <c r="D1020" s="10"/>
      <c r="E1020" s="10"/>
      <c r="F1020" s="10"/>
      <c r="G1020" s="12"/>
      <c r="H1020" s="73"/>
      <c r="I1020" s="245"/>
    </row>
    <row r="1021" spans="3:9" ht="24.75" hidden="1" customHeight="1">
      <c r="C1021" s="10"/>
      <c r="D1021" s="10"/>
      <c r="E1021" s="10"/>
      <c r="F1021" s="10"/>
      <c r="G1021" s="12"/>
      <c r="H1021" s="73"/>
      <c r="I1021" s="245"/>
    </row>
    <row r="1022" spans="3:9" ht="24.75" hidden="1" customHeight="1">
      <c r="C1022" s="10"/>
      <c r="D1022" s="10"/>
      <c r="E1022" s="10"/>
      <c r="F1022" s="10"/>
      <c r="G1022" s="12"/>
      <c r="H1022" s="73"/>
      <c r="I1022" s="245"/>
    </row>
    <row r="1023" spans="3:9" ht="24.75" hidden="1" customHeight="1">
      <c r="C1023" s="10"/>
      <c r="D1023" s="10"/>
      <c r="E1023" s="10"/>
      <c r="F1023" s="10"/>
      <c r="G1023" s="12"/>
      <c r="H1023" s="73"/>
      <c r="I1023" s="245"/>
    </row>
    <row r="1024" spans="3:9" ht="24.75" hidden="1" customHeight="1">
      <c r="C1024" s="10"/>
      <c r="D1024" s="10"/>
      <c r="E1024" s="10"/>
      <c r="F1024" s="10"/>
      <c r="G1024" s="12"/>
      <c r="H1024" s="73"/>
      <c r="I1024" s="245"/>
    </row>
    <row r="1025" spans="3:9" ht="24.75" hidden="1" customHeight="1">
      <c r="C1025" s="10"/>
      <c r="D1025" s="10"/>
      <c r="E1025" s="10"/>
      <c r="F1025" s="10"/>
      <c r="G1025" s="12"/>
      <c r="H1025" s="73"/>
      <c r="I1025" s="245"/>
    </row>
    <row r="1026" spans="3:9" ht="24.75" hidden="1" customHeight="1">
      <c r="C1026" s="10"/>
      <c r="D1026" s="10"/>
      <c r="E1026" s="10"/>
      <c r="F1026" s="10"/>
      <c r="G1026" s="12"/>
      <c r="H1026" s="73"/>
      <c r="I1026" s="245"/>
    </row>
    <row r="1027" spans="3:9" ht="24.75" hidden="1" customHeight="1">
      <c r="C1027" s="10"/>
      <c r="D1027" s="10"/>
      <c r="E1027" s="10"/>
      <c r="F1027" s="10"/>
      <c r="G1027" s="12"/>
      <c r="H1027" s="73"/>
      <c r="I1027" s="245"/>
    </row>
    <row r="1028" spans="3:9" ht="24.75" hidden="1" customHeight="1">
      <c r="C1028" s="10"/>
      <c r="D1028" s="10"/>
      <c r="E1028" s="10"/>
      <c r="F1028" s="10"/>
      <c r="G1028" s="12"/>
      <c r="H1028" s="73"/>
      <c r="I1028" s="245"/>
    </row>
    <row r="1029" spans="3:9" ht="24.75" hidden="1" customHeight="1">
      <c r="C1029" s="10"/>
      <c r="D1029" s="10"/>
      <c r="E1029" s="10"/>
      <c r="F1029" s="10"/>
      <c r="G1029" s="12"/>
      <c r="H1029" s="73"/>
      <c r="I1029" s="245"/>
    </row>
    <row r="1030" spans="3:9" ht="24.75" hidden="1" customHeight="1">
      <c r="C1030" s="10"/>
      <c r="D1030" s="10"/>
      <c r="E1030" s="10"/>
      <c r="F1030" s="10"/>
      <c r="G1030" s="12"/>
      <c r="H1030" s="73"/>
      <c r="I1030" s="245"/>
    </row>
    <row r="1031" spans="3:9" ht="24.75" hidden="1" customHeight="1">
      <c r="C1031" s="10"/>
      <c r="D1031" s="10"/>
      <c r="E1031" s="10"/>
      <c r="F1031" s="10"/>
      <c r="G1031" s="12"/>
      <c r="H1031" s="73"/>
      <c r="I1031" s="245"/>
    </row>
    <row r="1032" spans="3:9" ht="24.75" hidden="1" customHeight="1">
      <c r="C1032" s="10"/>
      <c r="D1032" s="10"/>
      <c r="E1032" s="10"/>
      <c r="F1032" s="10"/>
      <c r="G1032" s="12"/>
      <c r="H1032" s="73"/>
      <c r="I1032" s="245"/>
    </row>
    <row r="1033" spans="3:9" ht="24.75" hidden="1" customHeight="1">
      <c r="C1033" s="10"/>
      <c r="D1033" s="10"/>
      <c r="E1033" s="10"/>
      <c r="F1033" s="10"/>
      <c r="G1033" s="12"/>
      <c r="H1033" s="73"/>
      <c r="I1033" s="245"/>
    </row>
    <row r="1034" spans="3:9" ht="24.75" hidden="1" customHeight="1">
      <c r="C1034" s="10"/>
      <c r="D1034" s="10"/>
      <c r="E1034" s="10"/>
      <c r="F1034" s="10"/>
      <c r="G1034" s="12"/>
      <c r="H1034" s="73"/>
      <c r="I1034" s="245"/>
    </row>
    <row r="1035" spans="3:9" ht="24.75" hidden="1" customHeight="1">
      <c r="C1035" s="10"/>
      <c r="D1035" s="10"/>
      <c r="E1035" s="10"/>
      <c r="F1035" s="10"/>
      <c r="G1035" s="12"/>
      <c r="H1035" s="73"/>
      <c r="I1035" s="245"/>
    </row>
    <row r="1036" spans="3:9" ht="24.75" hidden="1" customHeight="1">
      <c r="C1036" s="10"/>
      <c r="D1036" s="10"/>
      <c r="E1036" s="10"/>
      <c r="F1036" s="10"/>
      <c r="G1036" s="12"/>
      <c r="H1036" s="73"/>
      <c r="I1036" s="245"/>
    </row>
    <row r="1037" spans="3:9" ht="24.75" hidden="1" customHeight="1">
      <c r="C1037" s="10"/>
      <c r="D1037" s="10"/>
      <c r="E1037" s="10"/>
      <c r="F1037" s="10"/>
      <c r="G1037" s="12"/>
      <c r="H1037" s="73"/>
      <c r="I1037" s="245"/>
    </row>
    <row r="1038" spans="3:9" ht="24.75" hidden="1" customHeight="1">
      <c r="C1038" s="10"/>
      <c r="D1038" s="10"/>
      <c r="E1038" s="10"/>
      <c r="F1038" s="10"/>
      <c r="G1038" s="12"/>
      <c r="H1038" s="73"/>
      <c r="I1038" s="245"/>
    </row>
    <row r="1039" spans="3:9" ht="24.75" hidden="1" customHeight="1">
      <c r="C1039" s="10"/>
      <c r="D1039" s="10"/>
      <c r="E1039" s="10"/>
      <c r="F1039" s="10"/>
      <c r="G1039" s="12"/>
      <c r="H1039" s="73"/>
      <c r="I1039" s="245"/>
    </row>
    <row r="1040" spans="3:9" ht="24.75" hidden="1" customHeight="1">
      <c r="C1040" s="10"/>
      <c r="D1040" s="10"/>
      <c r="E1040" s="10"/>
      <c r="F1040" s="10"/>
      <c r="G1040" s="12"/>
      <c r="H1040" s="73"/>
      <c r="I1040" s="245"/>
    </row>
    <row r="1041" spans="3:9" ht="24.75" hidden="1" customHeight="1">
      <c r="C1041" s="10"/>
      <c r="D1041" s="10"/>
      <c r="E1041" s="10"/>
      <c r="F1041" s="10"/>
      <c r="G1041" s="12"/>
      <c r="H1041" s="73"/>
      <c r="I1041" s="245"/>
    </row>
    <row r="1042" spans="3:9" ht="24.75" hidden="1" customHeight="1">
      <c r="C1042" s="10"/>
      <c r="D1042" s="10"/>
      <c r="E1042" s="10"/>
      <c r="F1042" s="10"/>
      <c r="G1042" s="12"/>
      <c r="H1042" s="73"/>
      <c r="I1042" s="245"/>
    </row>
    <row r="1043" spans="3:9" ht="24.75" hidden="1" customHeight="1">
      <c r="C1043" s="10"/>
      <c r="D1043" s="10"/>
      <c r="E1043" s="10"/>
      <c r="F1043" s="10"/>
      <c r="G1043" s="12"/>
      <c r="H1043" s="73"/>
      <c r="I1043" s="245"/>
    </row>
    <row r="1044" spans="3:9" ht="24.75" hidden="1" customHeight="1">
      <c r="C1044" s="10"/>
      <c r="D1044" s="10"/>
      <c r="E1044" s="10"/>
      <c r="F1044" s="10"/>
      <c r="G1044" s="12"/>
      <c r="H1044" s="73"/>
      <c r="I1044" s="245"/>
    </row>
    <row r="1045" spans="3:9" ht="24.75" hidden="1" customHeight="1">
      <c r="C1045" s="10"/>
      <c r="D1045" s="10"/>
      <c r="E1045" s="10"/>
      <c r="F1045" s="10"/>
      <c r="G1045" s="12"/>
      <c r="H1045" s="73"/>
      <c r="I1045" s="245"/>
    </row>
    <row r="1046" spans="3:9" ht="24.75" hidden="1" customHeight="1">
      <c r="C1046" s="10"/>
      <c r="D1046" s="10"/>
      <c r="E1046" s="10"/>
      <c r="F1046" s="10"/>
      <c r="G1046" s="12"/>
      <c r="H1046" s="73"/>
      <c r="I1046" s="245"/>
    </row>
    <row r="1047" spans="3:9" ht="24.75" hidden="1" customHeight="1">
      <c r="C1047" s="10"/>
      <c r="D1047" s="10"/>
      <c r="E1047" s="10"/>
      <c r="F1047" s="10"/>
      <c r="G1047" s="12"/>
      <c r="H1047" s="73"/>
      <c r="I1047" s="245"/>
    </row>
    <row r="1048" spans="3:9" ht="24.75" hidden="1" customHeight="1">
      <c r="C1048" s="10"/>
      <c r="D1048" s="10"/>
      <c r="E1048" s="10"/>
      <c r="F1048" s="10"/>
      <c r="G1048" s="12"/>
      <c r="H1048" s="73"/>
      <c r="I1048" s="245"/>
    </row>
    <row r="1049" spans="3:9" ht="24.75" hidden="1" customHeight="1">
      <c r="C1049" s="10"/>
      <c r="D1049" s="10"/>
      <c r="E1049" s="10"/>
      <c r="F1049" s="10"/>
      <c r="G1049" s="12"/>
      <c r="H1049" s="73"/>
      <c r="I1049" s="245"/>
    </row>
    <row r="1050" spans="3:9" ht="24.75" hidden="1" customHeight="1">
      <c r="C1050" s="10"/>
      <c r="D1050" s="10"/>
      <c r="E1050" s="10"/>
      <c r="F1050" s="10"/>
      <c r="G1050" s="12"/>
      <c r="H1050" s="73"/>
      <c r="I1050" s="245"/>
    </row>
    <row r="1051" spans="3:9" ht="24.75" hidden="1" customHeight="1">
      <c r="C1051" s="10"/>
      <c r="D1051" s="10"/>
      <c r="E1051" s="10"/>
      <c r="F1051" s="10"/>
      <c r="G1051" s="12"/>
      <c r="H1051" s="73"/>
      <c r="I1051" s="245"/>
    </row>
    <row r="1052" spans="3:9" ht="24.75" hidden="1" customHeight="1">
      <c r="C1052" s="10"/>
      <c r="D1052" s="10"/>
      <c r="E1052" s="10"/>
      <c r="F1052" s="10"/>
      <c r="G1052" s="12"/>
      <c r="H1052" s="73"/>
      <c r="I1052" s="245"/>
    </row>
    <row r="1053" spans="3:9" ht="24.75" hidden="1" customHeight="1">
      <c r="C1053" s="10"/>
      <c r="D1053" s="10"/>
      <c r="E1053" s="10"/>
      <c r="F1053" s="10"/>
      <c r="G1053" s="12"/>
      <c r="H1053" s="73"/>
      <c r="I1053" s="245"/>
    </row>
    <row r="1054" spans="3:9" ht="24.75" hidden="1" customHeight="1">
      <c r="C1054" s="10"/>
      <c r="D1054" s="10"/>
      <c r="E1054" s="10"/>
      <c r="F1054" s="10"/>
      <c r="G1054" s="12"/>
      <c r="H1054" s="73"/>
      <c r="I1054" s="245"/>
    </row>
    <row r="1055" spans="3:9" ht="24.75" hidden="1" customHeight="1">
      <c r="C1055" s="10"/>
      <c r="D1055" s="10"/>
      <c r="E1055" s="10"/>
      <c r="F1055" s="10"/>
      <c r="G1055" s="12"/>
      <c r="H1055" s="73"/>
      <c r="I1055" s="245"/>
    </row>
    <row r="1056" spans="3:9" ht="24.75" hidden="1" customHeight="1">
      <c r="C1056" s="10"/>
      <c r="D1056" s="10"/>
      <c r="E1056" s="10"/>
      <c r="F1056" s="10"/>
      <c r="G1056" s="12"/>
      <c r="H1056" s="73"/>
      <c r="I1056" s="245"/>
    </row>
    <row r="1057" spans="3:9" ht="24.75" hidden="1" customHeight="1">
      <c r="C1057" s="10"/>
      <c r="D1057" s="10"/>
      <c r="E1057" s="10"/>
      <c r="F1057" s="10"/>
      <c r="G1057" s="12"/>
      <c r="H1057" s="73"/>
      <c r="I1057" s="245"/>
    </row>
    <row r="1058" spans="3:9" ht="24.75" hidden="1" customHeight="1">
      <c r="C1058" s="10"/>
      <c r="D1058" s="10"/>
      <c r="E1058" s="10"/>
      <c r="F1058" s="10"/>
      <c r="G1058" s="12"/>
      <c r="H1058" s="73"/>
      <c r="I1058" s="245"/>
    </row>
    <row r="1059" spans="3:9" ht="24.75" hidden="1" customHeight="1">
      <c r="C1059" s="10"/>
      <c r="D1059" s="10"/>
      <c r="E1059" s="10"/>
      <c r="F1059" s="10"/>
      <c r="G1059" s="12"/>
      <c r="H1059" s="73"/>
      <c r="I1059" s="245"/>
    </row>
    <row r="1060" spans="3:9" ht="24.75" hidden="1" customHeight="1">
      <c r="C1060" s="10"/>
      <c r="D1060" s="10"/>
      <c r="E1060" s="10"/>
      <c r="F1060" s="10"/>
      <c r="G1060" s="12"/>
      <c r="H1060" s="73"/>
      <c r="I1060" s="245"/>
    </row>
    <row r="1061" spans="3:9" ht="24.75" hidden="1" customHeight="1">
      <c r="C1061" s="10"/>
      <c r="D1061" s="10"/>
      <c r="E1061" s="10"/>
      <c r="F1061" s="10"/>
      <c r="G1061" s="12"/>
      <c r="H1061" s="73"/>
      <c r="I1061" s="245"/>
    </row>
    <row r="1062" spans="3:9" ht="24.75" hidden="1" customHeight="1">
      <c r="C1062" s="10"/>
      <c r="D1062" s="10"/>
      <c r="E1062" s="10"/>
      <c r="F1062" s="10"/>
      <c r="G1062" s="12"/>
      <c r="H1062" s="73"/>
      <c r="I1062" s="245"/>
    </row>
    <row r="1063" spans="3:9" ht="24.75" hidden="1" customHeight="1">
      <c r="C1063" s="10"/>
      <c r="D1063" s="10"/>
      <c r="E1063" s="10"/>
      <c r="F1063" s="10"/>
      <c r="G1063" s="12"/>
      <c r="H1063" s="73"/>
      <c r="I1063" s="245"/>
    </row>
    <row r="1064" spans="3:9" ht="24.75" hidden="1" customHeight="1">
      <c r="C1064" s="10"/>
      <c r="D1064" s="10"/>
      <c r="E1064" s="10"/>
      <c r="F1064" s="10"/>
      <c r="G1064" s="12"/>
      <c r="H1064" s="73"/>
      <c r="I1064" s="245"/>
    </row>
    <row r="1065" spans="3:9" ht="24.75" hidden="1" customHeight="1">
      <c r="C1065" s="10"/>
      <c r="D1065" s="10"/>
      <c r="E1065" s="10"/>
      <c r="F1065" s="10"/>
      <c r="G1065" s="12"/>
      <c r="H1065" s="73"/>
      <c r="I1065" s="245"/>
    </row>
    <row r="1066" spans="3:9" ht="24.75" hidden="1" customHeight="1">
      <c r="C1066" s="10"/>
      <c r="D1066" s="10"/>
      <c r="E1066" s="10"/>
      <c r="F1066" s="10"/>
      <c r="G1066" s="12"/>
      <c r="H1066" s="73"/>
      <c r="I1066" s="245"/>
    </row>
    <row r="1067" spans="3:9" ht="24.75" hidden="1" customHeight="1">
      <c r="C1067" s="10"/>
      <c r="D1067" s="10"/>
      <c r="E1067" s="10"/>
      <c r="F1067" s="10"/>
      <c r="G1067" s="12"/>
      <c r="H1067" s="73"/>
      <c r="I1067" s="245"/>
    </row>
    <row r="1068" spans="3:9" ht="24.75" hidden="1" customHeight="1">
      <c r="C1068" s="10"/>
      <c r="D1068" s="10"/>
      <c r="E1068" s="10"/>
      <c r="F1068" s="10"/>
      <c r="G1068" s="12"/>
      <c r="H1068" s="73"/>
      <c r="I1068" s="245"/>
    </row>
    <row r="1069" spans="3:9" ht="24.75" hidden="1" customHeight="1">
      <c r="C1069" s="10"/>
      <c r="D1069" s="10"/>
      <c r="E1069" s="10"/>
      <c r="F1069" s="10"/>
      <c r="G1069" s="12"/>
      <c r="H1069" s="73"/>
      <c r="I1069" s="245"/>
    </row>
    <row r="1070" spans="3:9" ht="24.75" hidden="1" customHeight="1">
      <c r="C1070" s="10"/>
      <c r="D1070" s="10"/>
      <c r="E1070" s="10"/>
      <c r="F1070" s="10"/>
      <c r="G1070" s="12"/>
      <c r="H1070" s="73"/>
      <c r="I1070" s="245"/>
    </row>
    <row r="1071" spans="3:9" ht="24.75" hidden="1" customHeight="1">
      <c r="C1071" s="10"/>
      <c r="D1071" s="10"/>
      <c r="E1071" s="10"/>
      <c r="F1071" s="10"/>
      <c r="G1071" s="12"/>
      <c r="H1071" s="73"/>
      <c r="I1071" s="245"/>
    </row>
    <row r="1072" spans="3:9" ht="24.75" hidden="1" customHeight="1">
      <c r="C1072" s="10"/>
      <c r="D1072" s="10"/>
      <c r="E1072" s="10"/>
      <c r="F1072" s="10"/>
      <c r="G1072" s="12"/>
      <c r="H1072" s="73"/>
      <c r="I1072" s="245"/>
    </row>
    <row r="1073" spans="3:9" ht="24.75" hidden="1" customHeight="1">
      <c r="C1073" s="10"/>
      <c r="D1073" s="10"/>
      <c r="E1073" s="10"/>
      <c r="F1073" s="10"/>
      <c r="G1073" s="12"/>
      <c r="H1073" s="73"/>
      <c r="I1073" s="245"/>
    </row>
    <row r="1074" spans="3:9" ht="24.75" hidden="1" customHeight="1">
      <c r="C1074" s="10"/>
      <c r="D1074" s="10"/>
      <c r="E1074" s="10"/>
      <c r="F1074" s="10"/>
      <c r="G1074" s="12"/>
      <c r="H1074" s="73"/>
      <c r="I1074" s="245"/>
    </row>
    <row r="1075" spans="3:9" ht="24.75" hidden="1" customHeight="1">
      <c r="C1075" s="10"/>
      <c r="D1075" s="10"/>
      <c r="E1075" s="10"/>
      <c r="F1075" s="10"/>
      <c r="G1075" s="12"/>
      <c r="H1075" s="73"/>
      <c r="I1075" s="245"/>
    </row>
    <row r="1076" spans="3:9" ht="24.75" hidden="1" customHeight="1">
      <c r="C1076" s="10"/>
      <c r="D1076" s="10"/>
      <c r="E1076" s="10"/>
      <c r="F1076" s="10"/>
      <c r="G1076" s="12"/>
      <c r="H1076" s="73"/>
      <c r="I1076" s="245"/>
    </row>
    <row r="1077" spans="3:9" ht="24.75" hidden="1" customHeight="1">
      <c r="C1077" s="10"/>
      <c r="D1077" s="10"/>
      <c r="E1077" s="10"/>
      <c r="F1077" s="10"/>
      <c r="G1077" s="12"/>
      <c r="H1077" s="73"/>
      <c r="I1077" s="245"/>
    </row>
    <row r="1078" spans="3:9" ht="24.75" hidden="1" customHeight="1">
      <c r="C1078" s="10"/>
      <c r="D1078" s="10"/>
      <c r="E1078" s="10"/>
      <c r="F1078" s="10"/>
      <c r="G1078" s="12"/>
      <c r="H1078" s="73"/>
      <c r="I1078" s="245"/>
    </row>
    <row r="1079" spans="3:9" ht="24.75" hidden="1" customHeight="1">
      <c r="C1079" s="10"/>
      <c r="D1079" s="10"/>
      <c r="E1079" s="10"/>
      <c r="F1079" s="10"/>
      <c r="G1079" s="12"/>
      <c r="H1079" s="73"/>
      <c r="I1079" s="245"/>
    </row>
    <row r="1080" spans="3:9" ht="24.75" hidden="1" customHeight="1">
      <c r="C1080" s="10"/>
      <c r="D1080" s="10"/>
      <c r="E1080" s="10"/>
      <c r="F1080" s="10"/>
      <c r="G1080" s="12"/>
      <c r="H1080" s="73"/>
      <c r="I1080" s="245"/>
    </row>
    <row r="1081" spans="3:9" ht="24.75" hidden="1" customHeight="1">
      <c r="C1081" s="10"/>
      <c r="D1081" s="10"/>
      <c r="E1081" s="10"/>
      <c r="F1081" s="10"/>
      <c r="G1081" s="12"/>
      <c r="H1081" s="73"/>
      <c r="I1081" s="245"/>
    </row>
    <row r="1082" spans="3:9" ht="24.75" hidden="1" customHeight="1">
      <c r="C1082" s="10"/>
      <c r="D1082" s="10"/>
      <c r="E1082" s="10"/>
      <c r="F1082" s="10"/>
      <c r="G1082" s="12"/>
      <c r="H1082" s="73"/>
      <c r="I1082" s="245"/>
    </row>
    <row r="1083" spans="3:9" ht="24.75" hidden="1" customHeight="1">
      <c r="C1083" s="10"/>
      <c r="D1083" s="10"/>
      <c r="E1083" s="10"/>
      <c r="F1083" s="10"/>
      <c r="G1083" s="12"/>
      <c r="H1083" s="73"/>
      <c r="I1083" s="245"/>
    </row>
    <row r="1084" spans="3:9" ht="24.75" hidden="1" customHeight="1">
      <c r="C1084" s="10"/>
      <c r="D1084" s="10"/>
      <c r="E1084" s="10"/>
      <c r="F1084" s="10"/>
      <c r="G1084" s="12"/>
      <c r="H1084" s="73"/>
      <c r="I1084" s="245"/>
    </row>
    <row r="1085" spans="3:9" ht="24.75" hidden="1" customHeight="1">
      <c r="C1085" s="10"/>
      <c r="D1085" s="10"/>
      <c r="E1085" s="10"/>
      <c r="F1085" s="10"/>
      <c r="G1085" s="12"/>
      <c r="H1085" s="73"/>
      <c r="I1085" s="245"/>
    </row>
    <row r="1086" spans="3:9" ht="24.75" hidden="1" customHeight="1">
      <c r="C1086" s="10"/>
      <c r="D1086" s="10"/>
      <c r="E1086" s="10"/>
      <c r="F1086" s="10"/>
      <c r="G1086" s="12"/>
      <c r="H1086" s="73"/>
      <c r="I1086" s="245"/>
    </row>
    <row r="1087" spans="3:9" ht="24.75" hidden="1" customHeight="1">
      <c r="C1087" s="10"/>
      <c r="D1087" s="10"/>
      <c r="E1087" s="10"/>
      <c r="F1087" s="10"/>
      <c r="G1087" s="12"/>
      <c r="H1087" s="73"/>
      <c r="I1087" s="245"/>
    </row>
    <row r="1088" spans="3:9" ht="24.75" hidden="1" customHeight="1">
      <c r="C1088" s="10"/>
      <c r="D1088" s="10"/>
      <c r="E1088" s="10"/>
      <c r="F1088" s="10"/>
      <c r="G1088" s="12"/>
      <c r="H1088" s="73"/>
      <c r="I1088" s="245"/>
    </row>
    <row r="1089" spans="3:9" ht="24.75" hidden="1" customHeight="1">
      <c r="C1089" s="10"/>
      <c r="D1089" s="10"/>
      <c r="E1089" s="10"/>
      <c r="F1089" s="10"/>
      <c r="G1089" s="12"/>
      <c r="H1089" s="73"/>
      <c r="I1089" s="245"/>
    </row>
    <row r="1090" spans="3:9" ht="24.75" hidden="1" customHeight="1">
      <c r="C1090" s="10"/>
      <c r="D1090" s="10"/>
      <c r="E1090" s="10"/>
      <c r="F1090" s="10"/>
      <c r="G1090" s="12"/>
      <c r="H1090" s="73"/>
      <c r="I1090" s="245"/>
    </row>
    <row r="1091" spans="3:9" ht="24.75" hidden="1" customHeight="1">
      <c r="C1091" s="10"/>
      <c r="D1091" s="10"/>
      <c r="E1091" s="10"/>
      <c r="F1091" s="10"/>
      <c r="G1091" s="12"/>
      <c r="H1091" s="73"/>
      <c r="I1091" s="245"/>
    </row>
    <row r="1092" spans="3:9" ht="24.75" hidden="1" customHeight="1">
      <c r="C1092" s="10"/>
      <c r="D1092" s="10"/>
      <c r="E1092" s="10"/>
      <c r="F1092" s="10"/>
      <c r="G1092" s="12"/>
      <c r="H1092" s="73"/>
      <c r="I1092" s="245"/>
    </row>
    <row r="1093" spans="3:9" ht="24.75" hidden="1" customHeight="1">
      <c r="C1093" s="10"/>
      <c r="D1093" s="10"/>
      <c r="E1093" s="10"/>
      <c r="F1093" s="10"/>
      <c r="G1093" s="12"/>
      <c r="H1093" s="73"/>
      <c r="I1093" s="245"/>
    </row>
    <row r="1094" spans="3:9" ht="24.75" hidden="1" customHeight="1">
      <c r="C1094" s="10"/>
      <c r="D1094" s="10"/>
      <c r="E1094" s="10"/>
      <c r="F1094" s="10"/>
      <c r="G1094" s="12"/>
      <c r="H1094" s="73"/>
      <c r="I1094" s="245"/>
    </row>
    <row r="1095" spans="3:9" ht="24.75" hidden="1" customHeight="1">
      <c r="C1095" s="10"/>
      <c r="D1095" s="10"/>
      <c r="E1095" s="10"/>
      <c r="F1095" s="10"/>
      <c r="G1095" s="12"/>
      <c r="H1095" s="73"/>
      <c r="I1095" s="245"/>
    </row>
    <row r="1096" spans="3:9" ht="24.75" hidden="1" customHeight="1">
      <c r="C1096" s="10"/>
      <c r="D1096" s="10"/>
      <c r="E1096" s="10"/>
      <c r="F1096" s="10"/>
      <c r="G1096" s="12"/>
      <c r="H1096" s="73"/>
      <c r="I1096" s="245"/>
    </row>
    <row r="1097" spans="3:9" ht="24.75" hidden="1" customHeight="1">
      <c r="C1097" s="10"/>
      <c r="D1097" s="10"/>
      <c r="E1097" s="10"/>
      <c r="F1097" s="10"/>
      <c r="G1097" s="12"/>
      <c r="H1097" s="73"/>
      <c r="I1097" s="245"/>
    </row>
    <row r="1098" spans="3:9" ht="24.75" hidden="1" customHeight="1">
      <c r="C1098" s="10"/>
      <c r="D1098" s="10"/>
      <c r="E1098" s="10"/>
      <c r="F1098" s="10"/>
      <c r="G1098" s="12"/>
      <c r="H1098" s="73"/>
      <c r="I1098" s="245"/>
    </row>
    <row r="1099" spans="3:9" ht="24.75" hidden="1" customHeight="1">
      <c r="C1099" s="10"/>
      <c r="D1099" s="10"/>
      <c r="E1099" s="10"/>
      <c r="F1099" s="10"/>
      <c r="G1099" s="12"/>
      <c r="H1099" s="73"/>
      <c r="I1099" s="245"/>
    </row>
    <row r="1100" spans="3:9" ht="24.75" hidden="1" customHeight="1">
      <c r="C1100" s="10"/>
      <c r="D1100" s="10"/>
      <c r="E1100" s="10"/>
      <c r="F1100" s="10"/>
      <c r="G1100" s="12"/>
      <c r="H1100" s="73"/>
      <c r="I1100" s="245"/>
    </row>
    <row r="1101" spans="3:9" ht="24.75" hidden="1" customHeight="1">
      <c r="C1101" s="10"/>
      <c r="D1101" s="10"/>
      <c r="E1101" s="10"/>
      <c r="F1101" s="10"/>
      <c r="G1101" s="12"/>
      <c r="H1101" s="73"/>
      <c r="I1101" s="245"/>
    </row>
    <row r="1102" spans="3:9" ht="24.75" hidden="1" customHeight="1">
      <c r="C1102" s="10"/>
      <c r="D1102" s="10"/>
      <c r="E1102" s="10"/>
      <c r="F1102" s="10"/>
      <c r="G1102" s="12"/>
      <c r="H1102" s="73"/>
      <c r="I1102" s="245"/>
    </row>
    <row r="1103" spans="3:9" ht="24.75" hidden="1" customHeight="1">
      <c r="C1103" s="10"/>
      <c r="D1103" s="10"/>
      <c r="E1103" s="10"/>
      <c r="F1103" s="10"/>
      <c r="G1103" s="12"/>
      <c r="H1103" s="73"/>
      <c r="I1103" s="245"/>
    </row>
    <row r="1104" spans="3:9" ht="24.75" hidden="1" customHeight="1">
      <c r="C1104" s="10"/>
      <c r="D1104" s="10"/>
      <c r="E1104" s="10"/>
      <c r="F1104" s="10"/>
      <c r="G1104" s="12"/>
      <c r="H1104" s="73"/>
      <c r="I1104" s="245"/>
    </row>
    <row r="1105" spans="3:9" ht="24.75" hidden="1" customHeight="1">
      <c r="C1105" s="10"/>
      <c r="D1105" s="10"/>
      <c r="E1105" s="10"/>
      <c r="F1105" s="10"/>
      <c r="G1105" s="12"/>
      <c r="H1105" s="73"/>
      <c r="I1105" s="245"/>
    </row>
    <row r="1106" spans="3:9" ht="24.75" hidden="1" customHeight="1">
      <c r="C1106" s="10"/>
      <c r="D1106" s="10"/>
      <c r="E1106" s="10"/>
      <c r="F1106" s="10"/>
      <c r="G1106" s="12"/>
      <c r="H1106" s="73"/>
      <c r="I1106" s="245"/>
    </row>
    <row r="1107" spans="3:9" ht="24.75" hidden="1" customHeight="1">
      <c r="C1107" s="10"/>
      <c r="D1107" s="10"/>
      <c r="E1107" s="10"/>
      <c r="F1107" s="10"/>
      <c r="G1107" s="12"/>
      <c r="H1107" s="73"/>
      <c r="I1107" s="245"/>
    </row>
    <row r="1108" spans="3:9" ht="24.75" hidden="1" customHeight="1">
      <c r="C1108" s="10"/>
      <c r="D1108" s="10"/>
      <c r="E1108" s="10"/>
      <c r="F1108" s="10"/>
      <c r="G1108" s="12"/>
      <c r="H1108" s="73"/>
      <c r="I1108" s="245"/>
    </row>
    <row r="1109" spans="3:9" ht="24.75" hidden="1" customHeight="1">
      <c r="C1109" s="10"/>
      <c r="D1109" s="10"/>
      <c r="E1109" s="10"/>
      <c r="F1109" s="10"/>
      <c r="G1109" s="12"/>
      <c r="H1109" s="73"/>
      <c r="I1109" s="245"/>
    </row>
    <row r="1110" spans="3:9" ht="24.75" hidden="1" customHeight="1">
      <c r="C1110" s="10"/>
      <c r="D1110" s="10"/>
      <c r="E1110" s="10"/>
      <c r="F1110" s="10"/>
      <c r="G1110" s="12"/>
      <c r="H1110" s="73"/>
      <c r="I1110" s="245"/>
    </row>
    <row r="1111" spans="3:9" ht="24.75" hidden="1" customHeight="1">
      <c r="C1111" s="10"/>
      <c r="D1111" s="10"/>
      <c r="E1111" s="10"/>
      <c r="F1111" s="10"/>
      <c r="G1111" s="12"/>
      <c r="H1111" s="73"/>
      <c r="I1111" s="245"/>
    </row>
    <row r="1112" spans="3:9" ht="24.75" hidden="1" customHeight="1">
      <c r="C1112" s="10"/>
      <c r="D1112" s="10"/>
      <c r="E1112" s="10"/>
      <c r="F1112" s="10"/>
      <c r="G1112" s="12"/>
      <c r="H1112" s="73"/>
      <c r="I1112" s="245"/>
    </row>
    <row r="1113" spans="3:9" ht="24.75" hidden="1" customHeight="1">
      <c r="C1113" s="10"/>
      <c r="D1113" s="10"/>
      <c r="E1113" s="10"/>
      <c r="F1113" s="10"/>
      <c r="G1113" s="12"/>
      <c r="H1113" s="73"/>
      <c r="I1113" s="245"/>
    </row>
    <row r="1114" spans="3:9" ht="24.75" hidden="1" customHeight="1">
      <c r="C1114" s="10"/>
      <c r="D1114" s="10"/>
      <c r="E1114" s="10"/>
      <c r="F1114" s="10"/>
      <c r="G1114" s="12"/>
      <c r="H1114" s="73"/>
      <c r="I1114" s="245"/>
    </row>
    <row r="1115" spans="3:9" ht="24.75" hidden="1" customHeight="1">
      <c r="C1115" s="10"/>
      <c r="D1115" s="10"/>
      <c r="E1115" s="10"/>
      <c r="F1115" s="10"/>
      <c r="G1115" s="12"/>
      <c r="H1115" s="73"/>
      <c r="I1115" s="245"/>
    </row>
    <row r="1116" spans="3:9" ht="24.75" hidden="1" customHeight="1">
      <c r="C1116" s="10"/>
      <c r="D1116" s="10"/>
      <c r="E1116" s="10"/>
      <c r="F1116" s="10"/>
      <c r="G1116" s="12"/>
      <c r="H1116" s="73"/>
      <c r="I1116" s="245"/>
    </row>
    <row r="1117" spans="3:9" ht="24.75" hidden="1" customHeight="1">
      <c r="C1117" s="10"/>
      <c r="D1117" s="10"/>
      <c r="E1117" s="10"/>
      <c r="F1117" s="10"/>
      <c r="G1117" s="12"/>
      <c r="H1117" s="73"/>
      <c r="I1117" s="245"/>
    </row>
    <row r="1118" spans="3:9" ht="24.75" hidden="1" customHeight="1">
      <c r="C1118" s="10"/>
      <c r="D1118" s="10"/>
      <c r="E1118" s="10"/>
      <c r="F1118" s="10"/>
      <c r="G1118" s="12"/>
      <c r="H1118" s="73"/>
      <c r="I1118" s="245"/>
    </row>
    <row r="1119" spans="3:9" ht="24.75" hidden="1" customHeight="1">
      <c r="C1119" s="10"/>
      <c r="D1119" s="10"/>
      <c r="E1119" s="10"/>
      <c r="F1119" s="10"/>
      <c r="G1119" s="12"/>
      <c r="H1119" s="73"/>
      <c r="I1119" s="245"/>
    </row>
    <row r="1120" spans="3:9" ht="24.75" hidden="1" customHeight="1">
      <c r="C1120" s="10"/>
      <c r="D1120" s="10"/>
      <c r="E1120" s="10"/>
      <c r="F1120" s="10"/>
      <c r="G1120" s="12"/>
      <c r="H1120" s="73"/>
      <c r="I1120" s="245"/>
    </row>
    <row r="1121" spans="3:9" ht="24.75" hidden="1" customHeight="1">
      <c r="C1121" s="10"/>
      <c r="D1121" s="10"/>
      <c r="E1121" s="10"/>
      <c r="F1121" s="10"/>
      <c r="G1121" s="12"/>
      <c r="H1121" s="73"/>
      <c r="I1121" s="245"/>
    </row>
    <row r="1122" spans="3:9" ht="24.75" hidden="1" customHeight="1">
      <c r="C1122" s="10"/>
      <c r="D1122" s="10"/>
      <c r="E1122" s="10"/>
      <c r="F1122" s="10"/>
      <c r="G1122" s="12"/>
      <c r="H1122" s="73"/>
      <c r="I1122" s="245"/>
    </row>
    <row r="1123" spans="3:9" ht="24.75" hidden="1" customHeight="1">
      <c r="C1123" s="10"/>
      <c r="D1123" s="10"/>
      <c r="E1123" s="10"/>
      <c r="F1123" s="10"/>
      <c r="G1123" s="12"/>
      <c r="H1123" s="73"/>
      <c r="I1123" s="245"/>
    </row>
    <row r="1124" spans="3:9" ht="24.75" hidden="1" customHeight="1">
      <c r="C1124" s="10"/>
      <c r="D1124" s="10"/>
      <c r="E1124" s="10"/>
      <c r="F1124" s="10"/>
      <c r="G1124" s="12"/>
      <c r="H1124" s="73"/>
      <c r="I1124" s="245"/>
    </row>
    <row r="1125" spans="3:9" ht="24.75" hidden="1" customHeight="1">
      <c r="C1125" s="10"/>
      <c r="D1125" s="10"/>
      <c r="E1125" s="10"/>
      <c r="F1125" s="10"/>
      <c r="G1125" s="12"/>
      <c r="H1125" s="73"/>
      <c r="I1125" s="245"/>
    </row>
    <row r="1126" spans="3:9" ht="24.75" hidden="1" customHeight="1">
      <c r="C1126" s="10"/>
      <c r="D1126" s="10"/>
      <c r="E1126" s="10"/>
      <c r="F1126" s="10"/>
      <c r="G1126" s="12"/>
      <c r="H1126" s="73"/>
      <c r="I1126" s="245"/>
    </row>
    <row r="1127" spans="3:9" ht="24.75" hidden="1" customHeight="1">
      <c r="C1127" s="10"/>
      <c r="D1127" s="10"/>
      <c r="E1127" s="10"/>
      <c r="F1127" s="10"/>
      <c r="G1127" s="12"/>
      <c r="H1127" s="73"/>
      <c r="I1127" s="245"/>
    </row>
    <row r="1128" spans="3:9" ht="24.75" hidden="1" customHeight="1">
      <c r="C1128" s="10"/>
      <c r="D1128" s="10"/>
      <c r="E1128" s="10"/>
      <c r="F1128" s="10"/>
      <c r="G1128" s="12"/>
      <c r="H1128" s="73"/>
      <c r="I1128" s="245"/>
    </row>
    <row r="1129" spans="3:9" ht="24.75" hidden="1" customHeight="1">
      <c r="C1129" s="10"/>
      <c r="D1129" s="10"/>
      <c r="E1129" s="10"/>
      <c r="F1129" s="10"/>
      <c r="G1129" s="12"/>
      <c r="H1129" s="73"/>
      <c r="I1129" s="245"/>
    </row>
    <row r="1130" spans="3:9" ht="24.75" hidden="1" customHeight="1">
      <c r="C1130" s="10"/>
      <c r="D1130" s="10"/>
      <c r="E1130" s="10"/>
      <c r="F1130" s="10"/>
      <c r="G1130" s="12"/>
      <c r="H1130" s="73"/>
      <c r="I1130" s="245"/>
    </row>
    <row r="1131" spans="3:9" ht="24.75" hidden="1" customHeight="1">
      <c r="C1131" s="10"/>
      <c r="D1131" s="10"/>
      <c r="E1131" s="10"/>
      <c r="F1131" s="10"/>
      <c r="G1131" s="12"/>
      <c r="H1131" s="73"/>
      <c r="I1131" s="245"/>
    </row>
    <row r="1132" spans="3:9" ht="24.75" hidden="1" customHeight="1">
      <c r="C1132" s="10"/>
      <c r="D1132" s="10"/>
      <c r="E1132" s="10"/>
      <c r="F1132" s="10"/>
      <c r="G1132" s="12"/>
      <c r="H1132" s="73"/>
      <c r="I1132" s="245"/>
    </row>
    <row r="1133" spans="3:9" ht="24.75" hidden="1" customHeight="1">
      <c r="C1133" s="10"/>
      <c r="D1133" s="10"/>
      <c r="E1133" s="10"/>
      <c r="F1133" s="10"/>
      <c r="G1133" s="12"/>
      <c r="H1133" s="73"/>
      <c r="I1133" s="245"/>
    </row>
    <row r="1134" spans="3:9" ht="24.75" hidden="1" customHeight="1">
      <c r="C1134" s="10"/>
      <c r="D1134" s="10"/>
      <c r="E1134" s="10"/>
      <c r="F1134" s="10"/>
      <c r="G1134" s="12"/>
      <c r="H1134" s="73"/>
      <c r="I1134" s="245"/>
    </row>
    <row r="1135" spans="3:9" ht="24.75" hidden="1" customHeight="1">
      <c r="C1135" s="10"/>
      <c r="D1135" s="10"/>
      <c r="E1135" s="10"/>
      <c r="F1135" s="10"/>
      <c r="G1135" s="12"/>
      <c r="H1135" s="73"/>
      <c r="I1135" s="245"/>
    </row>
    <row r="1136" spans="3:9" ht="24.75" hidden="1" customHeight="1">
      <c r="C1136" s="10"/>
      <c r="D1136" s="10"/>
      <c r="E1136" s="10"/>
      <c r="F1136" s="10"/>
      <c r="G1136" s="12"/>
      <c r="H1136" s="73"/>
      <c r="I1136" s="245"/>
    </row>
    <row r="1137" spans="3:9" ht="24.75" hidden="1" customHeight="1">
      <c r="C1137" s="10"/>
      <c r="D1137" s="10"/>
      <c r="E1137" s="10"/>
      <c r="F1137" s="10"/>
      <c r="G1137" s="12"/>
      <c r="H1137" s="73"/>
      <c r="I1137" s="245"/>
    </row>
  </sheetData>
  <sheetProtection sheet="1" objects="1" scenarios="1" selectLockedCells="1"/>
  <protectedRanges>
    <protectedRange sqref="D4:G123" name="Day 1 Scores"/>
    <protectedRange sqref="C2" name="search box"/>
  </protectedRanges>
  <mergeCells count="1">
    <mergeCell ref="B1:H1"/>
  </mergeCells>
  <conditionalFormatting sqref="C3:C1048576">
    <cfRule type="containsText" dxfId="93" priority="8" operator="containsText" text="Red">
      <formula>NOT(ISERROR(SEARCH("Red",C3)))</formula>
    </cfRule>
  </conditionalFormatting>
  <conditionalFormatting sqref="C3:C1048576">
    <cfRule type="containsText" dxfId="92" priority="7" operator="containsText" text="yellow">
      <formula>NOT(ISERROR(SEARCH("yellow",C3)))</formula>
    </cfRule>
  </conditionalFormatting>
  <conditionalFormatting sqref="C3:C1048576">
    <cfRule type="containsText" dxfId="91" priority="6" operator="containsText" text="green">
      <formula>NOT(ISERROR(SEARCH("green",C3)))</formula>
    </cfRule>
  </conditionalFormatting>
  <conditionalFormatting sqref="C3:C1048576">
    <cfRule type="containsText" dxfId="90" priority="5" operator="containsText" text="blue">
      <formula>NOT(ISERROR(SEARCH("blue",C3)))</formula>
    </cfRule>
  </conditionalFormatting>
  <conditionalFormatting sqref="C3">
    <cfRule type="expression" dxfId="89" priority="14">
      <formula>COUNTIFS($T:$T, $T3, $C:$C, $C3) &gt; 1</formula>
    </cfRule>
  </conditionalFormatting>
  <conditionalFormatting sqref="C5:C156 H139:H157 B4:G153">
    <cfRule type="expression" dxfId="88" priority="15">
      <formula>AND(#REF!&lt;&gt;"", ISNUMBER(SEARCH(#REF!, $B4)))</formula>
    </cfRule>
  </conditionalFormatting>
  <conditionalFormatting sqref="B4:B150">
    <cfRule type="expression" dxfId="87" priority="2">
      <formula>AND($K$3&lt;&gt;"", ISNUMBER(SEARCH($K$3, $B4)))</formula>
    </cfRule>
  </conditionalFormatting>
  <conditionalFormatting sqref="B4:B150">
    <cfRule type="expression" dxfId="86" priority="1">
      <formula>AND($C$2&lt;&gt;"", ISNUMBER(SEARCH($C$2, $B4)))</formula>
    </cfRule>
  </conditionalFormatting>
  <dataValidations count="3">
    <dataValidation type="custom" allowBlank="1" showDropDown="1" sqref="I124:I1137 H3 H139:H1137" xr:uid="{00000000-0002-0000-0100-000000000000}">
      <formula1>""</formula1>
    </dataValidation>
    <dataValidation type="list" allowBlank="1" showErrorMessage="1" sqref="C3:C1048576" xr:uid="{17FB88B6-714C-4C03-9C37-C6EDFF68DD98}">
      <formula1>"RED,YELLOW,GREEN,BLUE"</formula1>
    </dataValidation>
    <dataValidation type="whole" allowBlank="1" showInputMessage="1" showErrorMessage="1" error="Please enter a valid fish length between 0 and 200. No letters allowed!" sqref="D4:G178" xr:uid="{E704FED7-1B12-44F3-A83F-8FE182B611D6}">
      <formula1>0</formula1>
      <formula2>200</formula2>
    </dataValidation>
  </dataValidations>
  <pageMargins left="0.7" right="0.7" top="0.75" bottom="0.75" header="0.3" footer="0.3"/>
  <pageSetup paperSize="9" fitToWidth="0" fitToHeight="0" orientation="landscape"/>
  <drawing r:id="rId1"/>
  <tableParts count="1">
    <tablePart r:id="rId2"/>
  </tableParts>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tabColor rgb="FFFFFF00"/>
    <outlinePr summaryBelow="0" summaryRight="0"/>
  </sheetPr>
  <dimension ref="A1:AA2120"/>
  <sheetViews>
    <sheetView showGridLines="0" workbookViewId="0">
      <pane ySplit="3" topLeftCell="A96" activePane="bottomLeft" state="frozen"/>
      <selection pane="bottomLeft" activeCell="D4" sqref="D4:G108"/>
    </sheetView>
  </sheetViews>
  <sheetFormatPr defaultColWidth="0" defaultRowHeight="12.75" customHeight="1" zeroHeight="1"/>
  <cols>
    <col min="1" max="1" width="9.140625" style="4" customWidth="1"/>
    <col min="2" max="2" width="52.5703125" style="4" customWidth="1"/>
    <col min="3" max="3" width="23.42578125" style="4" customWidth="1"/>
    <col min="4" max="4" width="30.5703125" style="4" customWidth="1"/>
    <col min="5" max="5" width="26.7109375" style="4" customWidth="1"/>
    <col min="6" max="6" width="35.42578125" style="4" customWidth="1"/>
    <col min="7" max="7" width="26.85546875" style="4" customWidth="1"/>
    <col min="8" max="8" width="18.42578125" style="80" customWidth="1"/>
    <col min="9" max="9" width="40.42578125" style="4" hidden="1" customWidth="1"/>
    <col min="10" max="25" width="18.42578125" style="4" hidden="1" customWidth="1"/>
    <col min="26" max="26" width="9.140625" style="4" hidden="1" customWidth="1"/>
    <col min="27" max="27" width="19.140625" style="4" hidden="1" customWidth="1"/>
    <col min="28" max="16384" width="0" style="4" hidden="1"/>
  </cols>
  <sheetData>
    <row r="1" spans="1:27" ht="27.75" customHeight="1">
      <c r="A1" s="180"/>
      <c r="B1" s="314" t="s">
        <v>53</v>
      </c>
      <c r="C1" s="315"/>
      <c r="D1" s="315"/>
      <c r="E1" s="315"/>
      <c r="F1" s="315"/>
      <c r="G1" s="315"/>
      <c r="H1" s="316"/>
    </row>
    <row r="2" spans="1:27" ht="27.75" customHeight="1">
      <c r="A2" s="180"/>
      <c r="B2" s="308" t="s">
        <v>44</v>
      </c>
      <c r="C2" s="194"/>
      <c r="D2" s="308"/>
      <c r="E2" s="308"/>
      <c r="F2" s="308"/>
      <c r="G2" s="308"/>
      <c r="H2" s="309"/>
    </row>
    <row r="3" spans="1:27" s="8" customFormat="1" ht="24.75" customHeight="1">
      <c r="A3" s="189" t="s">
        <v>27</v>
      </c>
      <c r="B3" s="190" t="s">
        <v>45</v>
      </c>
      <c r="C3" s="191" t="s">
        <v>46</v>
      </c>
      <c r="D3" s="191" t="s">
        <v>47</v>
      </c>
      <c r="E3" s="191" t="s">
        <v>48</v>
      </c>
      <c r="F3" s="191" t="s">
        <v>49</v>
      </c>
      <c r="G3" s="192" t="s">
        <v>50</v>
      </c>
      <c r="H3" s="193" t="s">
        <v>51</v>
      </c>
      <c r="I3" s="77" t="s">
        <v>52</v>
      </c>
      <c r="J3" s="247" t="str">
        <f t="shared" ref="J3:J66" si="0">TRIM(C3) &amp; (COUNTIFS($C$4:$C$123, C3, $I$4:$I$123, "&gt;"&amp;I3) + 1)</f>
        <v>ZONE1</v>
      </c>
    </row>
    <row r="4" spans="1:27" ht="24.75" customHeight="1">
      <c r="A4" s="3">
        <v>1</v>
      </c>
      <c r="B4" s="181" t="str">
        <f>IF(DATA_IMPORT!A2="", "", DATA_IMPORT!A2)</f>
        <v/>
      </c>
      <c r="C4" s="114" t="str">
        <f>IF(DATA_IMPORT!D2="", "", DATA_IMPORT!D2)</f>
        <v/>
      </c>
      <c r="D4" s="298"/>
      <c r="E4" s="298"/>
      <c r="F4" s="298"/>
      <c r="G4" s="298"/>
      <c r="H4" s="111">
        <f>IF(D4=0, COUNTIF($C$4:$C$123, C4), COUNTIFS($C$4:$C$123, C4, $I$4:$I$123, "&gt;"&amp;I4) + 1)</f>
        <v>120</v>
      </c>
      <c r="I4" s="78">
        <f>D4 + (F4/1000) + (G4/1000000) + (E4/1000000000) + (A4/100000000000)</f>
        <v>9.9999999999999994E-12</v>
      </c>
      <c r="J4" s="3" t="str">
        <f t="shared" si="0"/>
        <v>120</v>
      </c>
      <c r="K4" s="4" t="str">
        <f>D4 &amp; "/" &amp; F4 &amp; "/" &amp; G4 &amp; "/" &amp; E4</f>
        <v>///</v>
      </c>
      <c r="AA4" s="4" t="str">
        <f>_xlfn.XLOOKUP(B4, REGISTRATION!B:B, REGISTRATION!C:C, "No Team")</f>
        <v/>
      </c>
    </row>
    <row r="5" spans="1:27" ht="24.75" customHeight="1">
      <c r="A5" s="3">
        <v>2</v>
      </c>
      <c r="B5" s="181" t="str">
        <f>IF(DATA_IMPORT!A3="", "", DATA_IMPORT!A3)</f>
        <v/>
      </c>
      <c r="C5" s="114" t="str">
        <f>IF(DATA_IMPORT!D3="", "", DATA_IMPORT!D3)</f>
        <v/>
      </c>
      <c r="D5" s="298"/>
      <c r="E5" s="298"/>
      <c r="F5" s="298"/>
      <c r="G5" s="298"/>
      <c r="H5" s="111">
        <f t="shared" ref="H5:H68" si="1">IF(D5=0, COUNTIF($C$4:$C$123, C5), COUNTIFS($C$4:$C$123, C5, $I$4:$I$123, "&gt;"&amp;I5) + 1)</f>
        <v>120</v>
      </c>
      <c r="I5" s="78">
        <f t="shared" ref="I5:I68" si="2">D5 + (F5/1000) + (G5/1000000) + (E5/1000000000) + (A5/100000000000)</f>
        <v>1.9999999999999999E-11</v>
      </c>
      <c r="J5" s="3" t="str">
        <f t="shared" si="0"/>
        <v>119</v>
      </c>
      <c r="K5" s="4" t="str">
        <f t="shared" ref="K5:K68" si="3">D5 &amp; "/" &amp; F5 &amp; "/" &amp; G5 &amp; "/" &amp; E5</f>
        <v>///</v>
      </c>
      <c r="AA5" s="4" t="str">
        <f>_xlfn.XLOOKUP(B5, REGISTRATION!B:B, REGISTRATION!C:C, "No Team")</f>
        <v/>
      </c>
    </row>
    <row r="6" spans="1:27" ht="24.75" customHeight="1">
      <c r="A6" s="3">
        <v>3</v>
      </c>
      <c r="B6" s="181" t="str">
        <f>IF(DATA_IMPORT!A4="", "", DATA_IMPORT!A4)</f>
        <v/>
      </c>
      <c r="C6" s="114" t="str">
        <f>IF(DATA_IMPORT!D4="", "", DATA_IMPORT!D4)</f>
        <v/>
      </c>
      <c r="D6" s="298"/>
      <c r="E6" s="298"/>
      <c r="F6" s="298"/>
      <c r="G6" s="298"/>
      <c r="H6" s="111">
        <f t="shared" si="1"/>
        <v>120</v>
      </c>
      <c r="I6" s="78">
        <f t="shared" si="2"/>
        <v>3E-11</v>
      </c>
      <c r="J6" s="3" t="str">
        <f t="shared" si="0"/>
        <v>118</v>
      </c>
      <c r="K6" s="4" t="str">
        <f t="shared" si="3"/>
        <v>///</v>
      </c>
      <c r="AA6" s="4" t="str">
        <f>_xlfn.XLOOKUP(B6, REGISTRATION!B:B, REGISTRATION!C:C, "No Team")</f>
        <v/>
      </c>
    </row>
    <row r="7" spans="1:27" ht="24.75" customHeight="1">
      <c r="A7" s="3">
        <v>4</v>
      </c>
      <c r="B7" s="181" t="str">
        <f>IF(DATA_IMPORT!A5="", "", DATA_IMPORT!A5)</f>
        <v/>
      </c>
      <c r="C7" s="114" t="str">
        <f>IF(DATA_IMPORT!D5="", "", DATA_IMPORT!D5)</f>
        <v/>
      </c>
      <c r="D7" s="298"/>
      <c r="E7" s="298"/>
      <c r="F7" s="298"/>
      <c r="G7" s="298"/>
      <c r="H7" s="111">
        <f t="shared" si="1"/>
        <v>120</v>
      </c>
      <c r="I7" s="78">
        <f t="shared" si="2"/>
        <v>3.9999999999999998E-11</v>
      </c>
      <c r="J7" s="3" t="str">
        <f t="shared" si="0"/>
        <v>117</v>
      </c>
      <c r="K7" s="4" t="str">
        <f t="shared" si="3"/>
        <v>///</v>
      </c>
      <c r="AA7" s="4" t="str">
        <f>_xlfn.XLOOKUP(B7, REGISTRATION!B:B, REGISTRATION!C:C, "No Team")</f>
        <v/>
      </c>
    </row>
    <row r="8" spans="1:27" ht="24.75" customHeight="1">
      <c r="A8" s="3">
        <v>5</v>
      </c>
      <c r="B8" s="181" t="str">
        <f>IF(DATA_IMPORT!A6="", "", DATA_IMPORT!A6)</f>
        <v/>
      </c>
      <c r="C8" s="114" t="str">
        <f>IF(DATA_IMPORT!D6="", "", DATA_IMPORT!D6)</f>
        <v/>
      </c>
      <c r="D8" s="298"/>
      <c r="E8" s="298"/>
      <c r="F8" s="298"/>
      <c r="G8" s="298"/>
      <c r="H8" s="111">
        <f t="shared" si="1"/>
        <v>120</v>
      </c>
      <c r="I8" s="78">
        <f t="shared" si="2"/>
        <v>5.0000000000000002E-11</v>
      </c>
      <c r="J8" s="3" t="str">
        <f t="shared" si="0"/>
        <v>116</v>
      </c>
      <c r="K8" s="4" t="str">
        <f t="shared" si="3"/>
        <v>///</v>
      </c>
      <c r="AA8" s="4" t="str">
        <f>_xlfn.XLOOKUP(B8, REGISTRATION!B:B, REGISTRATION!C:C, "No Team")</f>
        <v/>
      </c>
    </row>
    <row r="9" spans="1:27" ht="24.75" customHeight="1">
      <c r="A9" s="3">
        <v>6</v>
      </c>
      <c r="B9" s="181" t="str">
        <f>IF(DATA_IMPORT!A7="", "", DATA_IMPORT!A7)</f>
        <v/>
      </c>
      <c r="C9" s="114" t="str">
        <f>IF(DATA_IMPORT!D7="", "", DATA_IMPORT!D7)</f>
        <v/>
      </c>
      <c r="D9" s="298"/>
      <c r="E9" s="298"/>
      <c r="F9" s="298"/>
      <c r="G9" s="298"/>
      <c r="H9" s="111">
        <f t="shared" si="1"/>
        <v>120</v>
      </c>
      <c r="I9" s="78">
        <f t="shared" si="2"/>
        <v>6E-11</v>
      </c>
      <c r="J9" s="3" t="str">
        <f t="shared" si="0"/>
        <v>115</v>
      </c>
      <c r="K9" s="4" t="str">
        <f t="shared" si="3"/>
        <v>///</v>
      </c>
      <c r="AA9" s="4" t="str">
        <f>_xlfn.XLOOKUP(B9, REGISTRATION!B:B, REGISTRATION!C:C, "No Team")</f>
        <v/>
      </c>
    </row>
    <row r="10" spans="1:27" ht="24.75" customHeight="1">
      <c r="A10" s="3">
        <v>7</v>
      </c>
      <c r="B10" s="181" t="str">
        <f>IF(DATA_IMPORT!A8="", "", DATA_IMPORT!A8)</f>
        <v/>
      </c>
      <c r="C10" s="114" t="str">
        <f>IF(DATA_IMPORT!D8="", "", DATA_IMPORT!D8)</f>
        <v/>
      </c>
      <c r="D10" s="298"/>
      <c r="E10" s="298"/>
      <c r="F10" s="298"/>
      <c r="G10" s="298"/>
      <c r="H10" s="111">
        <f t="shared" si="1"/>
        <v>120</v>
      </c>
      <c r="I10" s="78">
        <f t="shared" si="2"/>
        <v>7.0000000000000004E-11</v>
      </c>
      <c r="J10" s="3" t="str">
        <f t="shared" si="0"/>
        <v>114</v>
      </c>
      <c r="K10" s="4" t="str">
        <f t="shared" si="3"/>
        <v>///</v>
      </c>
      <c r="AA10" s="4" t="str">
        <f>_xlfn.XLOOKUP(B10, REGISTRATION!B:B, REGISTRATION!C:C, "No Team")</f>
        <v/>
      </c>
    </row>
    <row r="11" spans="1:27" ht="24.75" customHeight="1">
      <c r="A11" s="3">
        <v>8</v>
      </c>
      <c r="B11" s="181" t="str">
        <f>IF(DATA_IMPORT!A9="", "", DATA_IMPORT!A9)</f>
        <v/>
      </c>
      <c r="C11" s="114" t="str">
        <f>IF(DATA_IMPORT!D9="", "", DATA_IMPORT!D9)</f>
        <v/>
      </c>
      <c r="D11" s="298"/>
      <c r="E11" s="298"/>
      <c r="F11" s="298"/>
      <c r="G11" s="298"/>
      <c r="H11" s="111">
        <f t="shared" si="1"/>
        <v>120</v>
      </c>
      <c r="I11" s="78">
        <f t="shared" si="2"/>
        <v>7.9999999999999995E-11</v>
      </c>
      <c r="J11" s="3" t="str">
        <f t="shared" si="0"/>
        <v>113</v>
      </c>
      <c r="K11" s="4" t="str">
        <f t="shared" si="3"/>
        <v>///</v>
      </c>
      <c r="AA11" s="4" t="str">
        <f>_xlfn.XLOOKUP(B11, REGISTRATION!B:B, REGISTRATION!C:C, "No Team")</f>
        <v/>
      </c>
    </row>
    <row r="12" spans="1:27" ht="24.75" customHeight="1">
      <c r="A12" s="3">
        <v>9</v>
      </c>
      <c r="B12" s="181" t="str">
        <f>IF(DATA_IMPORT!A10="", "", DATA_IMPORT!A10)</f>
        <v/>
      </c>
      <c r="C12" s="114" t="str">
        <f>IF(DATA_IMPORT!D10="", "", DATA_IMPORT!D10)</f>
        <v/>
      </c>
      <c r="D12" s="298"/>
      <c r="E12" s="298"/>
      <c r="F12" s="298"/>
      <c r="G12" s="298"/>
      <c r="H12" s="111">
        <f t="shared" si="1"/>
        <v>120</v>
      </c>
      <c r="I12" s="78">
        <f t="shared" si="2"/>
        <v>8.9999999999999999E-11</v>
      </c>
      <c r="J12" s="3" t="str">
        <f t="shared" si="0"/>
        <v>112</v>
      </c>
      <c r="K12" s="4" t="str">
        <f t="shared" si="3"/>
        <v>///</v>
      </c>
      <c r="AA12" s="4" t="str">
        <f>_xlfn.XLOOKUP(B12, REGISTRATION!B:B, REGISTRATION!C:C, "No Team")</f>
        <v/>
      </c>
    </row>
    <row r="13" spans="1:27" ht="24.75" customHeight="1">
      <c r="A13" s="3">
        <v>10</v>
      </c>
      <c r="B13" s="181" t="str">
        <f>IF(DATA_IMPORT!A11="", "", DATA_IMPORT!A11)</f>
        <v/>
      </c>
      <c r="C13" s="114" t="str">
        <f>IF(DATA_IMPORT!D11="", "", DATA_IMPORT!D11)</f>
        <v/>
      </c>
      <c r="D13" s="298"/>
      <c r="E13" s="298"/>
      <c r="F13" s="298"/>
      <c r="G13" s="298"/>
      <c r="H13" s="111">
        <f t="shared" si="1"/>
        <v>120</v>
      </c>
      <c r="I13" s="78">
        <f t="shared" si="2"/>
        <v>1E-10</v>
      </c>
      <c r="J13" s="3" t="str">
        <f t="shared" si="0"/>
        <v>111</v>
      </c>
      <c r="K13" s="4" t="str">
        <f t="shared" si="3"/>
        <v>///</v>
      </c>
      <c r="AA13" s="4" t="str">
        <f>_xlfn.XLOOKUP(B13, REGISTRATION!B:B, REGISTRATION!C:C, "No Team")</f>
        <v/>
      </c>
    </row>
    <row r="14" spans="1:27" ht="24.75" customHeight="1">
      <c r="A14" s="3">
        <v>11</v>
      </c>
      <c r="B14" s="181" t="str">
        <f>IF(DATA_IMPORT!A12="", "", DATA_IMPORT!A12)</f>
        <v/>
      </c>
      <c r="C14" s="114" t="str">
        <f>IF(DATA_IMPORT!D12="", "", DATA_IMPORT!D12)</f>
        <v/>
      </c>
      <c r="D14" s="298"/>
      <c r="E14" s="298"/>
      <c r="F14" s="298"/>
      <c r="G14" s="298"/>
      <c r="H14" s="111">
        <f t="shared" si="1"/>
        <v>120</v>
      </c>
      <c r="I14" s="78">
        <f t="shared" si="2"/>
        <v>1.0999999999999999E-10</v>
      </c>
      <c r="J14" s="3" t="str">
        <f t="shared" si="0"/>
        <v>110</v>
      </c>
      <c r="K14" s="4" t="str">
        <f t="shared" si="3"/>
        <v>///</v>
      </c>
      <c r="AA14" s="4" t="str">
        <f>_xlfn.XLOOKUP(B14, REGISTRATION!B:B, REGISTRATION!C:C, "No Team")</f>
        <v/>
      </c>
    </row>
    <row r="15" spans="1:27" ht="24.75" customHeight="1">
      <c r="A15" s="3">
        <v>12</v>
      </c>
      <c r="B15" s="181" t="str">
        <f>IF(DATA_IMPORT!A13="", "", DATA_IMPORT!A13)</f>
        <v/>
      </c>
      <c r="C15" s="114" t="str">
        <f>IF(DATA_IMPORT!D13="", "", DATA_IMPORT!D13)</f>
        <v/>
      </c>
      <c r="D15" s="298"/>
      <c r="E15" s="298"/>
      <c r="F15" s="298"/>
      <c r="G15" s="298"/>
      <c r="H15" s="111">
        <f t="shared" si="1"/>
        <v>120</v>
      </c>
      <c r="I15" s="78">
        <f t="shared" si="2"/>
        <v>1.2E-10</v>
      </c>
      <c r="J15" s="3" t="str">
        <f t="shared" si="0"/>
        <v>109</v>
      </c>
      <c r="K15" s="4" t="str">
        <f t="shared" si="3"/>
        <v>///</v>
      </c>
      <c r="AA15" s="4" t="str">
        <f>_xlfn.XLOOKUP(B15, REGISTRATION!B:B, REGISTRATION!C:C, "No Team")</f>
        <v/>
      </c>
    </row>
    <row r="16" spans="1:27" ht="24.75" customHeight="1">
      <c r="A16" s="3">
        <v>13</v>
      </c>
      <c r="B16" s="181" t="str">
        <f>IF(DATA_IMPORT!A14="", "", DATA_IMPORT!A14)</f>
        <v/>
      </c>
      <c r="C16" s="114" t="str">
        <f>IF(DATA_IMPORT!D14="", "", DATA_IMPORT!D14)</f>
        <v/>
      </c>
      <c r="D16" s="298"/>
      <c r="E16" s="298"/>
      <c r="F16" s="298"/>
      <c r="G16" s="298"/>
      <c r="H16" s="111">
        <f t="shared" si="1"/>
        <v>120</v>
      </c>
      <c r="I16" s="78">
        <f t="shared" si="2"/>
        <v>1.2999999999999999E-10</v>
      </c>
      <c r="J16" s="3" t="str">
        <f t="shared" si="0"/>
        <v>108</v>
      </c>
      <c r="K16" s="4" t="str">
        <f t="shared" si="3"/>
        <v>///</v>
      </c>
      <c r="AA16" s="4" t="str">
        <f>_xlfn.XLOOKUP(B16, REGISTRATION!B:B, REGISTRATION!C:C, "No Team")</f>
        <v/>
      </c>
    </row>
    <row r="17" spans="1:27" ht="24.75" customHeight="1">
      <c r="A17" s="3">
        <v>14</v>
      </c>
      <c r="B17" s="181" t="str">
        <f>IF(DATA_IMPORT!A15="", "", DATA_IMPORT!A15)</f>
        <v/>
      </c>
      <c r="C17" s="114" t="str">
        <f>IF(DATA_IMPORT!D15="", "", DATA_IMPORT!D15)</f>
        <v/>
      </c>
      <c r="D17" s="298"/>
      <c r="E17" s="298"/>
      <c r="F17" s="298"/>
      <c r="G17" s="298"/>
      <c r="H17" s="111">
        <f t="shared" si="1"/>
        <v>120</v>
      </c>
      <c r="I17" s="78">
        <f t="shared" si="2"/>
        <v>1.4000000000000001E-10</v>
      </c>
      <c r="J17" s="3" t="str">
        <f t="shared" si="0"/>
        <v>107</v>
      </c>
      <c r="K17" s="4" t="str">
        <f t="shared" si="3"/>
        <v>///</v>
      </c>
      <c r="AA17" s="4" t="str">
        <f>_xlfn.XLOOKUP(B17, REGISTRATION!B:B, REGISTRATION!C:C, "No Team")</f>
        <v/>
      </c>
    </row>
    <row r="18" spans="1:27" ht="24.75" customHeight="1">
      <c r="A18" s="3">
        <v>15</v>
      </c>
      <c r="B18" s="181" t="str">
        <f>IF(DATA_IMPORT!A16="", "", DATA_IMPORT!A16)</f>
        <v/>
      </c>
      <c r="C18" s="114" t="str">
        <f>IF(DATA_IMPORT!D16="", "", DATA_IMPORT!D16)</f>
        <v/>
      </c>
      <c r="D18" s="298"/>
      <c r="E18" s="298"/>
      <c r="F18" s="298"/>
      <c r="G18" s="298"/>
      <c r="H18" s="111">
        <f t="shared" si="1"/>
        <v>120</v>
      </c>
      <c r="I18" s="78">
        <f t="shared" si="2"/>
        <v>1.5E-10</v>
      </c>
      <c r="J18" s="3" t="str">
        <f t="shared" si="0"/>
        <v>106</v>
      </c>
      <c r="K18" s="4" t="str">
        <f t="shared" si="3"/>
        <v>///</v>
      </c>
      <c r="AA18" s="4" t="str">
        <f>_xlfn.XLOOKUP(B18, REGISTRATION!B:B, REGISTRATION!C:C, "No Team")</f>
        <v/>
      </c>
    </row>
    <row r="19" spans="1:27" ht="24.75" customHeight="1">
      <c r="A19" s="3">
        <v>16</v>
      </c>
      <c r="B19" s="181" t="str">
        <f>IF(DATA_IMPORT!A17="", "", DATA_IMPORT!A17)</f>
        <v/>
      </c>
      <c r="C19" s="114" t="str">
        <f>IF(DATA_IMPORT!D17="", "", DATA_IMPORT!D17)</f>
        <v/>
      </c>
      <c r="D19" s="298"/>
      <c r="E19" s="298"/>
      <c r="F19" s="298"/>
      <c r="G19" s="298"/>
      <c r="H19" s="111">
        <f t="shared" si="1"/>
        <v>120</v>
      </c>
      <c r="I19" s="78">
        <f t="shared" si="2"/>
        <v>1.5999999999999999E-10</v>
      </c>
      <c r="J19" s="3" t="str">
        <f t="shared" si="0"/>
        <v>105</v>
      </c>
      <c r="K19" s="4" t="str">
        <f t="shared" si="3"/>
        <v>///</v>
      </c>
      <c r="AA19" s="4" t="str">
        <f>_xlfn.XLOOKUP(B19, REGISTRATION!B:B, REGISTRATION!C:C, "No Team")</f>
        <v/>
      </c>
    </row>
    <row r="20" spans="1:27" ht="24.75" customHeight="1">
      <c r="A20" s="3">
        <v>17</v>
      </c>
      <c r="B20" s="181" t="str">
        <f>IF(DATA_IMPORT!A18="", "", DATA_IMPORT!A18)</f>
        <v/>
      </c>
      <c r="C20" s="114" t="str">
        <f>IF(DATA_IMPORT!D18="", "", DATA_IMPORT!D18)</f>
        <v/>
      </c>
      <c r="D20" s="298"/>
      <c r="E20" s="298"/>
      <c r="F20" s="298"/>
      <c r="G20" s="298"/>
      <c r="H20" s="111">
        <f t="shared" si="1"/>
        <v>120</v>
      </c>
      <c r="I20" s="78">
        <f t="shared" si="2"/>
        <v>1.7000000000000001E-10</v>
      </c>
      <c r="J20" s="3" t="str">
        <f t="shared" si="0"/>
        <v>104</v>
      </c>
      <c r="K20" s="4" t="str">
        <f t="shared" si="3"/>
        <v>///</v>
      </c>
      <c r="AA20" s="4" t="str">
        <f>_xlfn.XLOOKUP(B20, REGISTRATION!B:B, REGISTRATION!C:C, "No Team")</f>
        <v/>
      </c>
    </row>
    <row r="21" spans="1:27" ht="24.75" customHeight="1">
      <c r="A21" s="3">
        <v>18</v>
      </c>
      <c r="B21" s="181" t="str">
        <f>IF(DATA_IMPORT!A19="", "", DATA_IMPORT!A19)</f>
        <v/>
      </c>
      <c r="C21" s="114" t="str">
        <f>IF(DATA_IMPORT!D19="", "", DATA_IMPORT!D19)</f>
        <v/>
      </c>
      <c r="D21" s="298"/>
      <c r="E21" s="298"/>
      <c r="F21" s="298"/>
      <c r="G21" s="298"/>
      <c r="H21" s="111">
        <f t="shared" si="1"/>
        <v>120</v>
      </c>
      <c r="I21" s="78">
        <f t="shared" si="2"/>
        <v>1.8E-10</v>
      </c>
      <c r="J21" s="3" t="str">
        <f t="shared" si="0"/>
        <v>103</v>
      </c>
      <c r="K21" s="4" t="str">
        <f t="shared" si="3"/>
        <v>///</v>
      </c>
      <c r="AA21" s="4" t="str">
        <f>_xlfn.XLOOKUP(B21, REGISTRATION!B:B, REGISTRATION!C:C, "No Team")</f>
        <v/>
      </c>
    </row>
    <row r="22" spans="1:27" ht="24.75" customHeight="1">
      <c r="A22" s="3">
        <v>19</v>
      </c>
      <c r="B22" s="181" t="str">
        <f>IF(DATA_IMPORT!A20="", "", DATA_IMPORT!A20)</f>
        <v/>
      </c>
      <c r="C22" s="114" t="str">
        <f>IF(DATA_IMPORT!D20="", "", DATA_IMPORT!D20)</f>
        <v/>
      </c>
      <c r="D22" s="298"/>
      <c r="E22" s="298"/>
      <c r="F22" s="298"/>
      <c r="G22" s="298"/>
      <c r="H22" s="111">
        <f t="shared" si="1"/>
        <v>120</v>
      </c>
      <c r="I22" s="78">
        <f t="shared" si="2"/>
        <v>1.8999999999999999E-10</v>
      </c>
      <c r="J22" s="3" t="str">
        <f t="shared" si="0"/>
        <v>102</v>
      </c>
      <c r="K22" s="4" t="str">
        <f t="shared" si="3"/>
        <v>///</v>
      </c>
      <c r="AA22" s="4" t="str">
        <f>_xlfn.XLOOKUP(B22, REGISTRATION!B:B, REGISTRATION!C:C, "No Team")</f>
        <v/>
      </c>
    </row>
    <row r="23" spans="1:27" ht="24.75" customHeight="1">
      <c r="A23" s="3">
        <v>20</v>
      </c>
      <c r="B23" s="181" t="str">
        <f>IF(DATA_IMPORT!A21="", "", DATA_IMPORT!A21)</f>
        <v/>
      </c>
      <c r="C23" s="114" t="str">
        <f>IF(DATA_IMPORT!D21="", "", DATA_IMPORT!D21)</f>
        <v/>
      </c>
      <c r="D23" s="298"/>
      <c r="E23" s="298"/>
      <c r="F23" s="298"/>
      <c r="G23" s="298"/>
      <c r="H23" s="111">
        <f t="shared" si="1"/>
        <v>120</v>
      </c>
      <c r="I23" s="78">
        <f t="shared" si="2"/>
        <v>2.0000000000000001E-10</v>
      </c>
      <c r="J23" s="3" t="str">
        <f t="shared" si="0"/>
        <v>101</v>
      </c>
      <c r="K23" s="4" t="str">
        <f t="shared" si="3"/>
        <v>///</v>
      </c>
      <c r="AA23" s="4" t="str">
        <f>_xlfn.XLOOKUP(B23, REGISTRATION!B:B, REGISTRATION!C:C, "No Team")</f>
        <v/>
      </c>
    </row>
    <row r="24" spans="1:27" ht="24.75" customHeight="1">
      <c r="A24" s="3">
        <v>21</v>
      </c>
      <c r="B24" s="181" t="str">
        <f>IF(DATA_IMPORT!A22="", "", DATA_IMPORT!A22)</f>
        <v/>
      </c>
      <c r="C24" s="114" t="str">
        <f>IF(DATA_IMPORT!D22="", "", DATA_IMPORT!D22)</f>
        <v/>
      </c>
      <c r="D24" s="298"/>
      <c r="E24" s="298"/>
      <c r="F24" s="298"/>
      <c r="G24" s="298"/>
      <c r="H24" s="111">
        <f t="shared" si="1"/>
        <v>120</v>
      </c>
      <c r="I24" s="78">
        <f t="shared" si="2"/>
        <v>2.1E-10</v>
      </c>
      <c r="J24" s="3" t="str">
        <f t="shared" si="0"/>
        <v>100</v>
      </c>
      <c r="K24" s="4" t="str">
        <f t="shared" si="3"/>
        <v>///</v>
      </c>
      <c r="AA24" s="4" t="str">
        <f>_xlfn.XLOOKUP(B24, REGISTRATION!B:B, REGISTRATION!C:C, "No Team")</f>
        <v/>
      </c>
    </row>
    <row r="25" spans="1:27" ht="24.75" customHeight="1">
      <c r="A25" s="3">
        <v>22</v>
      </c>
      <c r="B25" s="181" t="str">
        <f>IF(DATA_IMPORT!A23="", "", DATA_IMPORT!A23)</f>
        <v/>
      </c>
      <c r="C25" s="114" t="str">
        <f>IF(DATA_IMPORT!D23="", "", DATA_IMPORT!D23)</f>
        <v/>
      </c>
      <c r="D25" s="298"/>
      <c r="E25" s="298"/>
      <c r="F25" s="298"/>
      <c r="G25" s="298"/>
      <c r="H25" s="111">
        <f t="shared" si="1"/>
        <v>120</v>
      </c>
      <c r="I25" s="78">
        <f t="shared" si="2"/>
        <v>2.1999999999999999E-10</v>
      </c>
      <c r="J25" s="3" t="str">
        <f t="shared" si="0"/>
        <v>99</v>
      </c>
      <c r="K25" s="4" t="str">
        <f t="shared" si="3"/>
        <v>///</v>
      </c>
      <c r="AA25" s="4" t="str">
        <f>_xlfn.XLOOKUP(B25, REGISTRATION!B:B, REGISTRATION!C:C, "No Team")</f>
        <v/>
      </c>
    </row>
    <row r="26" spans="1:27" ht="24.75" customHeight="1">
      <c r="A26" s="3">
        <v>23</v>
      </c>
      <c r="B26" s="181" t="str">
        <f>IF(DATA_IMPORT!A24="", "", DATA_IMPORT!A24)</f>
        <v/>
      </c>
      <c r="C26" s="114" t="str">
        <f>IF(DATA_IMPORT!D24="", "", DATA_IMPORT!D24)</f>
        <v/>
      </c>
      <c r="D26" s="298"/>
      <c r="E26" s="298"/>
      <c r="F26" s="298"/>
      <c r="G26" s="298"/>
      <c r="H26" s="111">
        <f t="shared" si="1"/>
        <v>120</v>
      </c>
      <c r="I26" s="78">
        <f t="shared" si="2"/>
        <v>2.3000000000000001E-10</v>
      </c>
      <c r="J26" s="3" t="str">
        <f t="shared" si="0"/>
        <v>98</v>
      </c>
      <c r="K26" s="4" t="str">
        <f t="shared" si="3"/>
        <v>///</v>
      </c>
      <c r="AA26" s="4" t="str">
        <f>_xlfn.XLOOKUP(B26, REGISTRATION!B:B, REGISTRATION!C:C, "No Team")</f>
        <v/>
      </c>
    </row>
    <row r="27" spans="1:27" ht="24.75" customHeight="1">
      <c r="A27" s="3">
        <v>24</v>
      </c>
      <c r="B27" s="181" t="str">
        <f>IF(DATA_IMPORT!A25="", "", DATA_IMPORT!A25)</f>
        <v/>
      </c>
      <c r="C27" s="114" t="str">
        <f>IF(DATA_IMPORT!D25="", "", DATA_IMPORT!D25)</f>
        <v/>
      </c>
      <c r="D27" s="298"/>
      <c r="E27" s="298"/>
      <c r="F27" s="298"/>
      <c r="G27" s="298"/>
      <c r="H27" s="111">
        <f t="shared" si="1"/>
        <v>120</v>
      </c>
      <c r="I27" s="78">
        <f t="shared" si="2"/>
        <v>2.4E-10</v>
      </c>
      <c r="J27" s="3" t="str">
        <f t="shared" si="0"/>
        <v>97</v>
      </c>
      <c r="K27" s="4" t="str">
        <f t="shared" si="3"/>
        <v>///</v>
      </c>
      <c r="AA27" s="4" t="str">
        <f>_xlfn.XLOOKUP(B27, REGISTRATION!B:B, REGISTRATION!C:C, "No Team")</f>
        <v/>
      </c>
    </row>
    <row r="28" spans="1:27" ht="24.75" customHeight="1">
      <c r="A28" s="3">
        <v>25</v>
      </c>
      <c r="B28" s="181" t="str">
        <f>IF(DATA_IMPORT!A26="", "", DATA_IMPORT!A26)</f>
        <v/>
      </c>
      <c r="C28" s="114" t="str">
        <f>IF(DATA_IMPORT!D26="", "", DATA_IMPORT!D26)</f>
        <v/>
      </c>
      <c r="D28" s="298"/>
      <c r="E28" s="298"/>
      <c r="F28" s="298"/>
      <c r="G28" s="298"/>
      <c r="H28" s="111">
        <f t="shared" si="1"/>
        <v>120</v>
      </c>
      <c r="I28" s="78">
        <f t="shared" si="2"/>
        <v>2.5000000000000002E-10</v>
      </c>
      <c r="J28" s="3" t="str">
        <f t="shared" si="0"/>
        <v>96</v>
      </c>
      <c r="K28" s="4" t="str">
        <f t="shared" si="3"/>
        <v>///</v>
      </c>
      <c r="AA28" s="4" t="str">
        <f>_xlfn.XLOOKUP(B28, REGISTRATION!B:B, REGISTRATION!C:C, "No Team")</f>
        <v/>
      </c>
    </row>
    <row r="29" spans="1:27" ht="24.75" customHeight="1">
      <c r="A29" s="3">
        <v>26</v>
      </c>
      <c r="B29" s="181" t="str">
        <f>IF(DATA_IMPORT!A27="", "", DATA_IMPORT!A27)</f>
        <v/>
      </c>
      <c r="C29" s="114" t="str">
        <f>IF(DATA_IMPORT!D27="", "", DATA_IMPORT!D27)</f>
        <v/>
      </c>
      <c r="D29" s="298"/>
      <c r="E29" s="298"/>
      <c r="F29" s="298"/>
      <c r="G29" s="298"/>
      <c r="H29" s="111">
        <f t="shared" si="1"/>
        <v>120</v>
      </c>
      <c r="I29" s="78">
        <f t="shared" si="2"/>
        <v>2.5999999999999998E-10</v>
      </c>
      <c r="J29" s="3" t="str">
        <f t="shared" si="0"/>
        <v>95</v>
      </c>
      <c r="K29" s="4" t="str">
        <f t="shared" si="3"/>
        <v>///</v>
      </c>
      <c r="AA29" s="4" t="str">
        <f>_xlfn.XLOOKUP(B29, REGISTRATION!B:B, REGISTRATION!C:C, "No Team")</f>
        <v/>
      </c>
    </row>
    <row r="30" spans="1:27" ht="24.75" customHeight="1">
      <c r="A30" s="3">
        <v>27</v>
      </c>
      <c r="B30" s="181" t="str">
        <f>IF(DATA_IMPORT!A28="", "", DATA_IMPORT!A28)</f>
        <v/>
      </c>
      <c r="C30" s="114" t="str">
        <f>IF(DATA_IMPORT!D28="", "", DATA_IMPORT!D28)</f>
        <v/>
      </c>
      <c r="D30" s="298"/>
      <c r="E30" s="298"/>
      <c r="F30" s="298"/>
      <c r="G30" s="298"/>
      <c r="H30" s="111">
        <f t="shared" si="1"/>
        <v>120</v>
      </c>
      <c r="I30" s="78">
        <f t="shared" si="2"/>
        <v>2.7E-10</v>
      </c>
      <c r="J30" s="3" t="str">
        <f t="shared" si="0"/>
        <v>94</v>
      </c>
      <c r="K30" s="4" t="str">
        <f t="shared" si="3"/>
        <v>///</v>
      </c>
      <c r="AA30" s="4" t="str">
        <f>_xlfn.XLOOKUP(B30, REGISTRATION!B:B, REGISTRATION!C:C, "No Team")</f>
        <v/>
      </c>
    </row>
    <row r="31" spans="1:27" ht="24.75" customHeight="1">
      <c r="A31" s="3">
        <v>28</v>
      </c>
      <c r="B31" s="181" t="str">
        <f>IF(DATA_IMPORT!A29="", "", DATA_IMPORT!A29)</f>
        <v/>
      </c>
      <c r="C31" s="114" t="str">
        <f>IF(DATA_IMPORT!D29="", "", DATA_IMPORT!D29)</f>
        <v/>
      </c>
      <c r="D31" s="298"/>
      <c r="E31" s="298"/>
      <c r="F31" s="298"/>
      <c r="G31" s="298"/>
      <c r="H31" s="111">
        <f t="shared" si="1"/>
        <v>120</v>
      </c>
      <c r="I31" s="78">
        <f t="shared" si="2"/>
        <v>2.8000000000000002E-10</v>
      </c>
      <c r="J31" s="3" t="str">
        <f t="shared" si="0"/>
        <v>93</v>
      </c>
      <c r="K31" s="4" t="str">
        <f t="shared" si="3"/>
        <v>///</v>
      </c>
      <c r="AA31" s="4" t="str">
        <f>_xlfn.XLOOKUP(B31, REGISTRATION!B:B, REGISTRATION!C:C, "No Team")</f>
        <v/>
      </c>
    </row>
    <row r="32" spans="1:27" ht="24.75" customHeight="1">
      <c r="A32" s="3">
        <v>29</v>
      </c>
      <c r="B32" s="181" t="str">
        <f>IF(DATA_IMPORT!A30="", "", DATA_IMPORT!A30)</f>
        <v/>
      </c>
      <c r="C32" s="114" t="str">
        <f>IF(DATA_IMPORT!D30="", "", DATA_IMPORT!D30)</f>
        <v/>
      </c>
      <c r="D32" s="298"/>
      <c r="E32" s="298"/>
      <c r="F32" s="298"/>
      <c r="G32" s="298"/>
      <c r="H32" s="111">
        <f t="shared" si="1"/>
        <v>120</v>
      </c>
      <c r="I32" s="78">
        <f t="shared" si="2"/>
        <v>2.8999999999999998E-10</v>
      </c>
      <c r="J32" s="3" t="str">
        <f t="shared" si="0"/>
        <v>92</v>
      </c>
      <c r="K32" s="4" t="str">
        <f t="shared" si="3"/>
        <v>///</v>
      </c>
      <c r="AA32" s="4" t="str">
        <f>_xlfn.XLOOKUP(B32, REGISTRATION!B:B, REGISTRATION!C:C, "No Team")</f>
        <v/>
      </c>
    </row>
    <row r="33" spans="1:27" ht="24.75" customHeight="1">
      <c r="A33" s="3">
        <v>30</v>
      </c>
      <c r="B33" s="181" t="str">
        <f>IF(DATA_IMPORT!A31="", "", DATA_IMPORT!A31)</f>
        <v/>
      </c>
      <c r="C33" s="114" t="str">
        <f>IF(DATA_IMPORT!D31="", "", DATA_IMPORT!D31)</f>
        <v/>
      </c>
      <c r="D33" s="298"/>
      <c r="E33" s="298"/>
      <c r="F33" s="298"/>
      <c r="G33" s="298"/>
      <c r="H33" s="111">
        <f t="shared" si="1"/>
        <v>120</v>
      </c>
      <c r="I33" s="78">
        <f t="shared" si="2"/>
        <v>3E-10</v>
      </c>
      <c r="J33" s="3" t="str">
        <f t="shared" si="0"/>
        <v>91</v>
      </c>
      <c r="K33" s="4" t="str">
        <f t="shared" si="3"/>
        <v>///</v>
      </c>
      <c r="AA33" s="4" t="str">
        <f>_xlfn.XLOOKUP(B33, REGISTRATION!B:B, REGISTRATION!C:C, "No Team")</f>
        <v/>
      </c>
    </row>
    <row r="34" spans="1:27" ht="24.75" customHeight="1">
      <c r="A34" s="3">
        <v>31</v>
      </c>
      <c r="B34" s="181" t="str">
        <f>IF(DATA_IMPORT!A32="", "", DATA_IMPORT!A32)</f>
        <v/>
      </c>
      <c r="C34" s="114" t="str">
        <f>IF(DATA_IMPORT!D32="", "", DATA_IMPORT!D32)</f>
        <v/>
      </c>
      <c r="D34" s="298"/>
      <c r="E34" s="298"/>
      <c r="F34" s="298"/>
      <c r="G34" s="298"/>
      <c r="H34" s="111">
        <f t="shared" si="1"/>
        <v>120</v>
      </c>
      <c r="I34" s="78">
        <f t="shared" si="2"/>
        <v>3.1000000000000002E-10</v>
      </c>
      <c r="J34" s="3" t="str">
        <f t="shared" si="0"/>
        <v>90</v>
      </c>
      <c r="K34" s="4" t="str">
        <f t="shared" si="3"/>
        <v>///</v>
      </c>
      <c r="AA34" s="4" t="str">
        <f>_xlfn.XLOOKUP(B34, REGISTRATION!B:B, REGISTRATION!C:C, "No Team")</f>
        <v/>
      </c>
    </row>
    <row r="35" spans="1:27" ht="24.75" customHeight="1">
      <c r="A35" s="3">
        <v>32</v>
      </c>
      <c r="B35" s="181" t="str">
        <f>IF(DATA_IMPORT!A33="", "", DATA_IMPORT!A33)</f>
        <v/>
      </c>
      <c r="C35" s="114" t="str">
        <f>IF(DATA_IMPORT!D33="", "", DATA_IMPORT!D33)</f>
        <v/>
      </c>
      <c r="D35" s="298"/>
      <c r="E35" s="298"/>
      <c r="F35" s="298"/>
      <c r="G35" s="298"/>
      <c r="H35" s="111">
        <f t="shared" si="1"/>
        <v>120</v>
      </c>
      <c r="I35" s="78">
        <f t="shared" si="2"/>
        <v>3.1999999999999998E-10</v>
      </c>
      <c r="J35" s="3" t="str">
        <f t="shared" si="0"/>
        <v>89</v>
      </c>
      <c r="K35" s="4" t="str">
        <f t="shared" si="3"/>
        <v>///</v>
      </c>
      <c r="AA35" s="4" t="str">
        <f>_xlfn.XLOOKUP(B35, REGISTRATION!B:B, REGISTRATION!C:C, "No Team")</f>
        <v/>
      </c>
    </row>
    <row r="36" spans="1:27" ht="24.75" customHeight="1">
      <c r="A36" s="3">
        <v>33</v>
      </c>
      <c r="B36" s="181" t="str">
        <f>IF(DATA_IMPORT!A34="", "", DATA_IMPORT!A34)</f>
        <v/>
      </c>
      <c r="C36" s="114" t="str">
        <f>IF(DATA_IMPORT!D34="", "", DATA_IMPORT!D34)</f>
        <v/>
      </c>
      <c r="D36" s="298"/>
      <c r="E36" s="298"/>
      <c r="F36" s="298"/>
      <c r="G36" s="298"/>
      <c r="H36" s="111">
        <f t="shared" si="1"/>
        <v>120</v>
      </c>
      <c r="I36" s="78">
        <f t="shared" si="2"/>
        <v>3.3E-10</v>
      </c>
      <c r="J36" s="3" t="str">
        <f t="shared" si="0"/>
        <v>88</v>
      </c>
      <c r="K36" s="4" t="str">
        <f t="shared" si="3"/>
        <v>///</v>
      </c>
      <c r="AA36" s="4" t="str">
        <f>_xlfn.XLOOKUP(B36, REGISTRATION!B:B, REGISTRATION!C:C, "No Team")</f>
        <v/>
      </c>
    </row>
    <row r="37" spans="1:27" ht="24.75" customHeight="1">
      <c r="A37" s="3">
        <v>34</v>
      </c>
      <c r="B37" s="181" t="str">
        <f>IF(DATA_IMPORT!A35="", "", DATA_IMPORT!A35)</f>
        <v/>
      </c>
      <c r="C37" s="114" t="str">
        <f>IF(DATA_IMPORT!D35="", "", DATA_IMPORT!D35)</f>
        <v/>
      </c>
      <c r="D37" s="298"/>
      <c r="E37" s="298"/>
      <c r="F37" s="298"/>
      <c r="G37" s="298"/>
      <c r="H37" s="111">
        <f t="shared" si="1"/>
        <v>120</v>
      </c>
      <c r="I37" s="78">
        <f t="shared" si="2"/>
        <v>3.4000000000000001E-10</v>
      </c>
      <c r="J37" s="3" t="str">
        <f t="shared" si="0"/>
        <v>87</v>
      </c>
      <c r="K37" s="4" t="str">
        <f t="shared" si="3"/>
        <v>///</v>
      </c>
      <c r="AA37" s="4" t="str">
        <f>_xlfn.XLOOKUP(B37, REGISTRATION!B:B, REGISTRATION!C:C, "No Team")</f>
        <v/>
      </c>
    </row>
    <row r="38" spans="1:27" ht="24.75" customHeight="1">
      <c r="A38" s="3">
        <v>35</v>
      </c>
      <c r="B38" s="181" t="str">
        <f>IF(DATA_IMPORT!A36="", "", DATA_IMPORT!A36)</f>
        <v/>
      </c>
      <c r="C38" s="114" t="str">
        <f>IF(DATA_IMPORT!D36="", "", DATA_IMPORT!D36)</f>
        <v/>
      </c>
      <c r="D38" s="298"/>
      <c r="E38" s="298"/>
      <c r="F38" s="298"/>
      <c r="G38" s="298"/>
      <c r="H38" s="111">
        <f t="shared" si="1"/>
        <v>120</v>
      </c>
      <c r="I38" s="78">
        <f t="shared" si="2"/>
        <v>3.4999999999999998E-10</v>
      </c>
      <c r="J38" s="3" t="str">
        <f t="shared" si="0"/>
        <v>86</v>
      </c>
      <c r="K38" s="4" t="str">
        <f t="shared" si="3"/>
        <v>///</v>
      </c>
      <c r="AA38" s="4" t="str">
        <f>_xlfn.XLOOKUP(B38, REGISTRATION!B:B, REGISTRATION!C:C, "No Team")</f>
        <v/>
      </c>
    </row>
    <row r="39" spans="1:27" ht="24.75" customHeight="1">
      <c r="A39" s="3">
        <v>36</v>
      </c>
      <c r="B39" s="181" t="str">
        <f>IF(DATA_IMPORT!A37="", "", DATA_IMPORT!A37)</f>
        <v/>
      </c>
      <c r="C39" s="114" t="str">
        <f>IF(DATA_IMPORT!D37="", "", DATA_IMPORT!D37)</f>
        <v/>
      </c>
      <c r="D39" s="298"/>
      <c r="E39" s="298"/>
      <c r="F39" s="298"/>
      <c r="G39" s="298"/>
      <c r="H39" s="111">
        <f t="shared" si="1"/>
        <v>120</v>
      </c>
      <c r="I39" s="78">
        <f t="shared" si="2"/>
        <v>3.6E-10</v>
      </c>
      <c r="J39" s="3" t="str">
        <f t="shared" si="0"/>
        <v>85</v>
      </c>
      <c r="K39" s="4" t="str">
        <f t="shared" si="3"/>
        <v>///</v>
      </c>
      <c r="AA39" s="4" t="str">
        <f>_xlfn.XLOOKUP(B39, REGISTRATION!B:B, REGISTRATION!C:C, "No Team")</f>
        <v/>
      </c>
    </row>
    <row r="40" spans="1:27" ht="24.75" customHeight="1">
      <c r="A40" s="3">
        <v>37</v>
      </c>
      <c r="B40" s="181" t="str">
        <f>IF(DATA_IMPORT!A38="", "", DATA_IMPORT!A38)</f>
        <v/>
      </c>
      <c r="C40" s="114" t="str">
        <f>IF(DATA_IMPORT!D38="", "", DATA_IMPORT!D38)</f>
        <v/>
      </c>
      <c r="D40" s="298"/>
      <c r="E40" s="298"/>
      <c r="F40" s="298"/>
      <c r="G40" s="298"/>
      <c r="H40" s="111">
        <f t="shared" si="1"/>
        <v>120</v>
      </c>
      <c r="I40" s="78">
        <f t="shared" si="2"/>
        <v>3.7000000000000001E-10</v>
      </c>
      <c r="J40" s="3" t="str">
        <f t="shared" si="0"/>
        <v>84</v>
      </c>
      <c r="K40" s="4" t="str">
        <f t="shared" si="3"/>
        <v>///</v>
      </c>
      <c r="AA40" s="4" t="str">
        <f>_xlfn.XLOOKUP(B40, REGISTRATION!B:B, REGISTRATION!C:C, "No Team")</f>
        <v/>
      </c>
    </row>
    <row r="41" spans="1:27" ht="24.75" customHeight="1">
      <c r="A41" s="3">
        <v>38</v>
      </c>
      <c r="B41" s="181" t="str">
        <f>IF(DATA_IMPORT!A39="", "", DATA_IMPORT!A39)</f>
        <v/>
      </c>
      <c r="C41" s="114" t="str">
        <f>IF(DATA_IMPORT!D39="", "", DATA_IMPORT!D39)</f>
        <v/>
      </c>
      <c r="D41" s="298"/>
      <c r="E41" s="298"/>
      <c r="F41" s="298"/>
      <c r="G41" s="298"/>
      <c r="H41" s="111">
        <f t="shared" si="1"/>
        <v>120</v>
      </c>
      <c r="I41" s="78">
        <f t="shared" si="2"/>
        <v>3.7999999999999998E-10</v>
      </c>
      <c r="J41" s="3" t="str">
        <f t="shared" si="0"/>
        <v>83</v>
      </c>
      <c r="K41" s="4" t="str">
        <f t="shared" si="3"/>
        <v>///</v>
      </c>
      <c r="AA41" s="4" t="str">
        <f>_xlfn.XLOOKUP(B41, REGISTRATION!B:B, REGISTRATION!C:C, "No Team")</f>
        <v/>
      </c>
    </row>
    <row r="42" spans="1:27" ht="24.75" customHeight="1">
      <c r="A42" s="3">
        <v>39</v>
      </c>
      <c r="B42" s="181" t="str">
        <f>IF(DATA_IMPORT!A40="", "", DATA_IMPORT!A40)</f>
        <v/>
      </c>
      <c r="C42" s="114" t="str">
        <f>IF(DATA_IMPORT!D40="", "", DATA_IMPORT!D40)</f>
        <v/>
      </c>
      <c r="D42" s="298"/>
      <c r="E42" s="298"/>
      <c r="F42" s="298"/>
      <c r="G42" s="298"/>
      <c r="H42" s="111">
        <f t="shared" si="1"/>
        <v>120</v>
      </c>
      <c r="I42" s="78">
        <f t="shared" si="2"/>
        <v>3.9E-10</v>
      </c>
      <c r="J42" s="3" t="str">
        <f t="shared" si="0"/>
        <v>82</v>
      </c>
      <c r="K42" s="4" t="str">
        <f t="shared" si="3"/>
        <v>///</v>
      </c>
      <c r="AA42" s="4" t="str">
        <f>_xlfn.XLOOKUP(B42, REGISTRATION!B:B, REGISTRATION!C:C, "No Team")</f>
        <v/>
      </c>
    </row>
    <row r="43" spans="1:27" ht="24.75" customHeight="1">
      <c r="A43" s="3">
        <v>40</v>
      </c>
      <c r="B43" s="181" t="str">
        <f>IF(DATA_IMPORT!A41="", "", DATA_IMPORT!A41)</f>
        <v/>
      </c>
      <c r="C43" s="114" t="str">
        <f>IF(DATA_IMPORT!D41="", "", DATA_IMPORT!D41)</f>
        <v/>
      </c>
      <c r="D43" s="298"/>
      <c r="E43" s="298"/>
      <c r="F43" s="298"/>
      <c r="G43" s="298"/>
      <c r="H43" s="111">
        <f t="shared" si="1"/>
        <v>120</v>
      </c>
      <c r="I43" s="78">
        <f t="shared" si="2"/>
        <v>4.0000000000000001E-10</v>
      </c>
      <c r="J43" s="3" t="str">
        <f t="shared" si="0"/>
        <v>81</v>
      </c>
      <c r="K43" s="4" t="str">
        <f t="shared" si="3"/>
        <v>///</v>
      </c>
      <c r="AA43" s="4" t="str">
        <f>_xlfn.XLOOKUP(B43, REGISTRATION!B:B, REGISTRATION!C:C, "No Team")</f>
        <v/>
      </c>
    </row>
    <row r="44" spans="1:27" ht="24.75" customHeight="1">
      <c r="A44" s="3">
        <v>41</v>
      </c>
      <c r="B44" s="181" t="str">
        <f>IF(DATA_IMPORT!A42="", "", DATA_IMPORT!A42)</f>
        <v/>
      </c>
      <c r="C44" s="114" t="str">
        <f>IF(DATA_IMPORT!D42="", "", DATA_IMPORT!D42)</f>
        <v/>
      </c>
      <c r="D44" s="298"/>
      <c r="E44" s="298"/>
      <c r="F44" s="298"/>
      <c r="G44" s="298"/>
      <c r="H44" s="111">
        <f t="shared" si="1"/>
        <v>120</v>
      </c>
      <c r="I44" s="78">
        <f t="shared" si="2"/>
        <v>4.0999999999999998E-10</v>
      </c>
      <c r="J44" s="3" t="str">
        <f t="shared" si="0"/>
        <v>80</v>
      </c>
      <c r="K44" s="4" t="str">
        <f t="shared" si="3"/>
        <v>///</v>
      </c>
      <c r="AA44" s="4" t="str">
        <f>_xlfn.XLOOKUP(B44, REGISTRATION!B:B, REGISTRATION!C:C, "No Team")</f>
        <v/>
      </c>
    </row>
    <row r="45" spans="1:27" ht="24.75" customHeight="1">
      <c r="A45" s="3">
        <v>42</v>
      </c>
      <c r="B45" s="181" t="str">
        <f>IF(DATA_IMPORT!A43="", "", DATA_IMPORT!A43)</f>
        <v/>
      </c>
      <c r="C45" s="114" t="str">
        <f>IF(DATA_IMPORT!D43="", "", DATA_IMPORT!D43)</f>
        <v/>
      </c>
      <c r="D45" s="298"/>
      <c r="E45" s="298"/>
      <c r="F45" s="298"/>
      <c r="G45" s="298"/>
      <c r="H45" s="111">
        <f t="shared" si="1"/>
        <v>120</v>
      </c>
      <c r="I45" s="78">
        <f t="shared" si="2"/>
        <v>4.2E-10</v>
      </c>
      <c r="J45" s="3" t="str">
        <f t="shared" si="0"/>
        <v>79</v>
      </c>
      <c r="K45" s="4" t="str">
        <f t="shared" si="3"/>
        <v>///</v>
      </c>
      <c r="AA45" s="4" t="str">
        <f>_xlfn.XLOOKUP(B45, REGISTRATION!B:B, REGISTRATION!C:C, "No Team")</f>
        <v/>
      </c>
    </row>
    <row r="46" spans="1:27" ht="24.75" customHeight="1">
      <c r="A46" s="3">
        <v>43</v>
      </c>
      <c r="B46" s="181" t="str">
        <f>IF(DATA_IMPORT!A44="", "", DATA_IMPORT!A44)</f>
        <v/>
      </c>
      <c r="C46" s="114" t="str">
        <f>IF(DATA_IMPORT!D44="", "", DATA_IMPORT!D44)</f>
        <v/>
      </c>
      <c r="D46" s="298"/>
      <c r="E46" s="298"/>
      <c r="F46" s="298"/>
      <c r="G46" s="298"/>
      <c r="H46" s="111">
        <f t="shared" si="1"/>
        <v>120</v>
      </c>
      <c r="I46" s="78">
        <f t="shared" si="2"/>
        <v>4.3000000000000001E-10</v>
      </c>
      <c r="J46" s="3" t="str">
        <f t="shared" si="0"/>
        <v>78</v>
      </c>
      <c r="K46" s="4" t="str">
        <f t="shared" si="3"/>
        <v>///</v>
      </c>
      <c r="AA46" s="4" t="str">
        <f>_xlfn.XLOOKUP(B46, REGISTRATION!B:B, REGISTRATION!C:C, "No Team")</f>
        <v/>
      </c>
    </row>
    <row r="47" spans="1:27" ht="24.75" customHeight="1">
      <c r="A47" s="3">
        <v>44</v>
      </c>
      <c r="B47" s="181" t="str">
        <f>IF(DATA_IMPORT!A45="", "", DATA_IMPORT!A45)</f>
        <v/>
      </c>
      <c r="C47" s="114" t="str">
        <f>IF(DATA_IMPORT!D45="", "", DATA_IMPORT!D45)</f>
        <v/>
      </c>
      <c r="D47" s="298"/>
      <c r="E47" s="298"/>
      <c r="F47" s="298"/>
      <c r="G47" s="298"/>
      <c r="H47" s="111">
        <f t="shared" si="1"/>
        <v>120</v>
      </c>
      <c r="I47" s="78">
        <f t="shared" si="2"/>
        <v>4.3999999999999998E-10</v>
      </c>
      <c r="J47" s="3" t="str">
        <f t="shared" si="0"/>
        <v>77</v>
      </c>
      <c r="K47" s="4" t="str">
        <f t="shared" si="3"/>
        <v>///</v>
      </c>
      <c r="AA47" s="4" t="str">
        <f>_xlfn.XLOOKUP(B47, REGISTRATION!B:B, REGISTRATION!C:C, "No Team")</f>
        <v/>
      </c>
    </row>
    <row r="48" spans="1:27" ht="24.75" customHeight="1">
      <c r="A48" s="3">
        <v>45</v>
      </c>
      <c r="B48" s="181" t="str">
        <f>IF(DATA_IMPORT!A46="", "", DATA_IMPORT!A46)</f>
        <v/>
      </c>
      <c r="C48" s="114" t="str">
        <f>IF(DATA_IMPORT!D46="", "", DATA_IMPORT!D46)</f>
        <v/>
      </c>
      <c r="D48" s="298"/>
      <c r="E48" s="298"/>
      <c r="F48" s="298"/>
      <c r="G48" s="298"/>
      <c r="H48" s="111">
        <f t="shared" si="1"/>
        <v>120</v>
      </c>
      <c r="I48" s="78">
        <f t="shared" si="2"/>
        <v>4.5E-10</v>
      </c>
      <c r="J48" s="3" t="str">
        <f t="shared" si="0"/>
        <v>76</v>
      </c>
      <c r="K48" s="4" t="str">
        <f t="shared" si="3"/>
        <v>///</v>
      </c>
      <c r="AA48" s="4" t="str">
        <f>_xlfn.XLOOKUP(B48, REGISTRATION!B:B, REGISTRATION!C:C, "No Team")</f>
        <v/>
      </c>
    </row>
    <row r="49" spans="1:27" ht="24.75" customHeight="1">
      <c r="A49" s="3">
        <v>46</v>
      </c>
      <c r="B49" s="181" t="str">
        <f>IF(DATA_IMPORT!A47="", "", DATA_IMPORT!A47)</f>
        <v/>
      </c>
      <c r="C49" s="114" t="str">
        <f>IF(DATA_IMPORT!D47="", "", DATA_IMPORT!D47)</f>
        <v/>
      </c>
      <c r="D49" s="298"/>
      <c r="E49" s="298"/>
      <c r="F49" s="298"/>
      <c r="G49" s="298"/>
      <c r="H49" s="111">
        <f t="shared" si="1"/>
        <v>120</v>
      </c>
      <c r="I49" s="78">
        <f t="shared" si="2"/>
        <v>4.6000000000000001E-10</v>
      </c>
      <c r="J49" s="3" t="str">
        <f t="shared" si="0"/>
        <v>75</v>
      </c>
      <c r="K49" s="4" t="str">
        <f t="shared" si="3"/>
        <v>///</v>
      </c>
      <c r="AA49" s="4" t="str">
        <f>_xlfn.XLOOKUP(B49, REGISTRATION!B:B, REGISTRATION!C:C, "No Team")</f>
        <v/>
      </c>
    </row>
    <row r="50" spans="1:27" ht="24.75" customHeight="1">
      <c r="A50" s="3">
        <v>47</v>
      </c>
      <c r="B50" s="181" t="str">
        <f>IF(DATA_IMPORT!A48="", "", DATA_IMPORT!A48)</f>
        <v/>
      </c>
      <c r="C50" s="114" t="str">
        <f>IF(DATA_IMPORT!D48="", "", DATA_IMPORT!D48)</f>
        <v/>
      </c>
      <c r="D50" s="298"/>
      <c r="E50" s="298"/>
      <c r="F50" s="298"/>
      <c r="G50" s="298"/>
      <c r="H50" s="111">
        <f t="shared" si="1"/>
        <v>120</v>
      </c>
      <c r="I50" s="78">
        <f t="shared" si="2"/>
        <v>4.7000000000000003E-10</v>
      </c>
      <c r="J50" s="3" t="str">
        <f t="shared" si="0"/>
        <v>74</v>
      </c>
      <c r="K50" s="4" t="str">
        <f t="shared" si="3"/>
        <v>///</v>
      </c>
      <c r="AA50" s="4" t="str">
        <f>_xlfn.XLOOKUP(B50, REGISTRATION!B:B, REGISTRATION!C:C, "No Team")</f>
        <v/>
      </c>
    </row>
    <row r="51" spans="1:27" ht="24.75" customHeight="1">
      <c r="A51" s="3">
        <v>48</v>
      </c>
      <c r="B51" s="181" t="str">
        <f>IF(DATA_IMPORT!A49="", "", DATA_IMPORT!A49)</f>
        <v/>
      </c>
      <c r="C51" s="114" t="str">
        <f>IF(DATA_IMPORT!D49="", "", DATA_IMPORT!D49)</f>
        <v/>
      </c>
      <c r="D51" s="298"/>
      <c r="E51" s="298"/>
      <c r="F51" s="298"/>
      <c r="G51" s="298"/>
      <c r="H51" s="111">
        <f t="shared" si="1"/>
        <v>120</v>
      </c>
      <c r="I51" s="78">
        <f t="shared" si="2"/>
        <v>4.8E-10</v>
      </c>
      <c r="J51" s="3" t="str">
        <f t="shared" si="0"/>
        <v>73</v>
      </c>
      <c r="K51" s="4" t="str">
        <f t="shared" si="3"/>
        <v>///</v>
      </c>
    </row>
    <row r="52" spans="1:27" ht="24.75" customHeight="1">
      <c r="A52" s="3">
        <v>49</v>
      </c>
      <c r="B52" s="181" t="str">
        <f>IF(DATA_IMPORT!A50="", "", DATA_IMPORT!A50)</f>
        <v/>
      </c>
      <c r="C52" s="114" t="str">
        <f>IF(DATA_IMPORT!D50="", "", DATA_IMPORT!D50)</f>
        <v/>
      </c>
      <c r="D52" s="298"/>
      <c r="E52" s="298"/>
      <c r="F52" s="298"/>
      <c r="G52" s="298"/>
      <c r="H52" s="111">
        <f t="shared" si="1"/>
        <v>120</v>
      </c>
      <c r="I52" s="78">
        <f t="shared" si="2"/>
        <v>4.8999999999999996E-10</v>
      </c>
      <c r="J52" s="3" t="str">
        <f t="shared" si="0"/>
        <v>72</v>
      </c>
      <c r="K52" s="4" t="str">
        <f t="shared" si="3"/>
        <v>///</v>
      </c>
    </row>
    <row r="53" spans="1:27" ht="24.75" customHeight="1">
      <c r="A53" s="3">
        <v>50</v>
      </c>
      <c r="B53" s="181" t="str">
        <f>IF(DATA_IMPORT!A51="", "", DATA_IMPORT!A51)</f>
        <v/>
      </c>
      <c r="C53" s="114" t="str">
        <f>IF(DATA_IMPORT!D51="", "", DATA_IMPORT!D51)</f>
        <v/>
      </c>
      <c r="D53" s="298"/>
      <c r="E53" s="298"/>
      <c r="F53" s="298"/>
      <c r="G53" s="298"/>
      <c r="H53" s="111">
        <f t="shared" si="1"/>
        <v>120</v>
      </c>
      <c r="I53" s="78">
        <f t="shared" si="2"/>
        <v>5.0000000000000003E-10</v>
      </c>
      <c r="J53" s="3" t="str">
        <f t="shared" si="0"/>
        <v>71</v>
      </c>
      <c r="K53" s="4" t="str">
        <f t="shared" si="3"/>
        <v>///</v>
      </c>
    </row>
    <row r="54" spans="1:27" ht="24.75" customHeight="1">
      <c r="A54" s="3">
        <v>51</v>
      </c>
      <c r="B54" s="181" t="str">
        <f>IF(DATA_IMPORT!A52="", "", DATA_IMPORT!A52)</f>
        <v/>
      </c>
      <c r="C54" s="114" t="str">
        <f>IF(DATA_IMPORT!D52="", "", DATA_IMPORT!D52)</f>
        <v/>
      </c>
      <c r="D54" s="298"/>
      <c r="E54" s="298"/>
      <c r="F54" s="298"/>
      <c r="G54" s="298"/>
      <c r="H54" s="111">
        <f t="shared" si="1"/>
        <v>120</v>
      </c>
      <c r="I54" s="78">
        <f t="shared" si="2"/>
        <v>5.1E-10</v>
      </c>
      <c r="J54" s="3" t="str">
        <f t="shared" si="0"/>
        <v>70</v>
      </c>
      <c r="K54" s="4" t="str">
        <f t="shared" si="3"/>
        <v>///</v>
      </c>
    </row>
    <row r="55" spans="1:27" ht="24.75" customHeight="1">
      <c r="A55" s="3">
        <v>52</v>
      </c>
      <c r="B55" s="181" t="str">
        <f>IF(DATA_IMPORT!A53="", "", DATA_IMPORT!A53)</f>
        <v/>
      </c>
      <c r="C55" s="114" t="str">
        <f>IF(DATA_IMPORT!D53="", "", DATA_IMPORT!D53)</f>
        <v/>
      </c>
      <c r="D55" s="298"/>
      <c r="E55" s="298"/>
      <c r="F55" s="298"/>
      <c r="G55" s="298"/>
      <c r="H55" s="111">
        <f t="shared" si="1"/>
        <v>120</v>
      </c>
      <c r="I55" s="78">
        <f t="shared" si="2"/>
        <v>5.1999999999999996E-10</v>
      </c>
      <c r="J55" s="3" t="str">
        <f t="shared" si="0"/>
        <v>69</v>
      </c>
      <c r="K55" s="4" t="str">
        <f t="shared" si="3"/>
        <v>///</v>
      </c>
    </row>
    <row r="56" spans="1:27" ht="24.75" customHeight="1">
      <c r="A56" s="3">
        <v>53</v>
      </c>
      <c r="B56" s="181" t="str">
        <f>IF(DATA_IMPORT!A54="", "", DATA_IMPORT!A54)</f>
        <v/>
      </c>
      <c r="C56" s="114" t="str">
        <f>IF(DATA_IMPORT!D54="", "", DATA_IMPORT!D54)</f>
        <v/>
      </c>
      <c r="D56" s="298"/>
      <c r="E56" s="298"/>
      <c r="F56" s="298"/>
      <c r="G56" s="298"/>
      <c r="H56" s="111">
        <f t="shared" si="1"/>
        <v>120</v>
      </c>
      <c r="I56" s="78">
        <f t="shared" si="2"/>
        <v>5.3000000000000003E-10</v>
      </c>
      <c r="J56" s="3" t="str">
        <f t="shared" si="0"/>
        <v>68</v>
      </c>
      <c r="K56" s="4" t="str">
        <f t="shared" si="3"/>
        <v>///</v>
      </c>
    </row>
    <row r="57" spans="1:27" ht="24.75" customHeight="1">
      <c r="A57" s="3">
        <v>54</v>
      </c>
      <c r="B57" s="181" t="str">
        <f>IF(DATA_IMPORT!A55="", "", DATA_IMPORT!A55)</f>
        <v/>
      </c>
      <c r="C57" s="114" t="str">
        <f>IF(DATA_IMPORT!D55="", "", DATA_IMPORT!D55)</f>
        <v/>
      </c>
      <c r="D57" s="298"/>
      <c r="E57" s="298"/>
      <c r="F57" s="298"/>
      <c r="G57" s="298"/>
      <c r="H57" s="111">
        <f t="shared" si="1"/>
        <v>120</v>
      </c>
      <c r="I57" s="78">
        <f t="shared" si="2"/>
        <v>5.4E-10</v>
      </c>
      <c r="J57" s="3" t="str">
        <f t="shared" si="0"/>
        <v>67</v>
      </c>
      <c r="K57" s="4" t="str">
        <f t="shared" si="3"/>
        <v>///</v>
      </c>
    </row>
    <row r="58" spans="1:27" ht="24.75" customHeight="1">
      <c r="A58" s="3">
        <v>55</v>
      </c>
      <c r="B58" s="181" t="str">
        <f>IF(DATA_IMPORT!A56="", "", DATA_IMPORT!A56)</f>
        <v/>
      </c>
      <c r="C58" s="114" t="str">
        <f>IF(DATA_IMPORT!D56="", "", DATA_IMPORT!D56)</f>
        <v/>
      </c>
      <c r="D58" s="298"/>
      <c r="E58" s="298"/>
      <c r="F58" s="298"/>
      <c r="G58" s="298"/>
      <c r="H58" s="111">
        <f t="shared" si="1"/>
        <v>120</v>
      </c>
      <c r="I58" s="78">
        <f t="shared" si="2"/>
        <v>5.4999999999999996E-10</v>
      </c>
      <c r="J58" s="3" t="str">
        <f t="shared" si="0"/>
        <v>66</v>
      </c>
      <c r="K58" s="4" t="str">
        <f t="shared" si="3"/>
        <v>///</v>
      </c>
    </row>
    <row r="59" spans="1:27" ht="24.75" customHeight="1">
      <c r="A59" s="3">
        <v>56</v>
      </c>
      <c r="B59" s="181" t="str">
        <f>IF(DATA_IMPORT!A57="", "", DATA_IMPORT!A57)</f>
        <v/>
      </c>
      <c r="C59" s="114" t="str">
        <f>IF(DATA_IMPORT!D57="", "", DATA_IMPORT!D57)</f>
        <v/>
      </c>
      <c r="D59" s="298"/>
      <c r="E59" s="298"/>
      <c r="F59" s="298"/>
      <c r="G59" s="298"/>
      <c r="H59" s="111">
        <f t="shared" si="1"/>
        <v>120</v>
      </c>
      <c r="I59" s="78">
        <f t="shared" si="2"/>
        <v>5.6000000000000003E-10</v>
      </c>
      <c r="J59" s="3" t="str">
        <f t="shared" si="0"/>
        <v>65</v>
      </c>
      <c r="K59" s="4" t="str">
        <f t="shared" si="3"/>
        <v>///</v>
      </c>
    </row>
    <row r="60" spans="1:27" ht="24.75" customHeight="1">
      <c r="A60" s="3">
        <v>57</v>
      </c>
      <c r="B60" s="181" t="str">
        <f>IF(DATA_IMPORT!A58="", "", DATA_IMPORT!A58)</f>
        <v/>
      </c>
      <c r="C60" s="114" t="str">
        <f>IF(DATA_IMPORT!D58="", "", DATA_IMPORT!D58)</f>
        <v/>
      </c>
      <c r="D60" s="298"/>
      <c r="E60" s="298"/>
      <c r="F60" s="298"/>
      <c r="G60" s="298"/>
      <c r="H60" s="111">
        <f t="shared" si="1"/>
        <v>120</v>
      </c>
      <c r="I60" s="78">
        <f t="shared" si="2"/>
        <v>5.7E-10</v>
      </c>
      <c r="J60" s="3" t="str">
        <f t="shared" si="0"/>
        <v>64</v>
      </c>
      <c r="K60" s="4" t="str">
        <f t="shared" si="3"/>
        <v>///</v>
      </c>
    </row>
    <row r="61" spans="1:27" ht="24.75" customHeight="1">
      <c r="A61" s="3">
        <v>58</v>
      </c>
      <c r="B61" s="181" t="str">
        <f>IF(DATA_IMPORT!A59="", "", DATA_IMPORT!A59)</f>
        <v/>
      </c>
      <c r="C61" s="114" t="str">
        <f>IF(DATA_IMPORT!D59="", "", DATA_IMPORT!D59)</f>
        <v/>
      </c>
      <c r="D61" s="298"/>
      <c r="E61" s="298"/>
      <c r="F61" s="298"/>
      <c r="G61" s="298"/>
      <c r="H61" s="111">
        <f t="shared" si="1"/>
        <v>120</v>
      </c>
      <c r="I61" s="78">
        <f t="shared" si="2"/>
        <v>5.7999999999999996E-10</v>
      </c>
      <c r="J61" s="3" t="str">
        <f t="shared" si="0"/>
        <v>63</v>
      </c>
      <c r="K61" s="4" t="str">
        <f t="shared" si="3"/>
        <v>///</v>
      </c>
    </row>
    <row r="62" spans="1:27" ht="24.75" customHeight="1">
      <c r="A62" s="3">
        <v>59</v>
      </c>
      <c r="B62" s="181" t="str">
        <f>IF(DATA_IMPORT!A60="", "", DATA_IMPORT!A60)</f>
        <v/>
      </c>
      <c r="C62" s="114" t="str">
        <f>IF(DATA_IMPORT!D60="", "", DATA_IMPORT!D60)</f>
        <v/>
      </c>
      <c r="D62" s="298"/>
      <c r="E62" s="298"/>
      <c r="F62" s="298"/>
      <c r="G62" s="298"/>
      <c r="H62" s="111">
        <f t="shared" si="1"/>
        <v>120</v>
      </c>
      <c r="I62" s="78">
        <f t="shared" si="2"/>
        <v>5.9000000000000003E-10</v>
      </c>
      <c r="J62" s="3" t="str">
        <f t="shared" si="0"/>
        <v>62</v>
      </c>
      <c r="K62" s="4" t="str">
        <f t="shared" si="3"/>
        <v>///</v>
      </c>
    </row>
    <row r="63" spans="1:27" ht="24.75" customHeight="1">
      <c r="A63" s="3">
        <v>60</v>
      </c>
      <c r="B63" s="181" t="str">
        <f>IF(DATA_IMPORT!A61="", "", DATA_IMPORT!A61)</f>
        <v/>
      </c>
      <c r="C63" s="114" t="str">
        <f>IF(DATA_IMPORT!D61="", "", DATA_IMPORT!D61)</f>
        <v/>
      </c>
      <c r="D63" s="298"/>
      <c r="E63" s="298"/>
      <c r="F63" s="298"/>
      <c r="G63" s="298"/>
      <c r="H63" s="111">
        <f t="shared" si="1"/>
        <v>120</v>
      </c>
      <c r="I63" s="78">
        <f t="shared" si="2"/>
        <v>6E-10</v>
      </c>
      <c r="J63" s="3" t="str">
        <f t="shared" si="0"/>
        <v>61</v>
      </c>
      <c r="K63" s="4" t="str">
        <f t="shared" si="3"/>
        <v>///</v>
      </c>
    </row>
    <row r="64" spans="1:27" ht="24.75" customHeight="1">
      <c r="A64" s="3">
        <v>61</v>
      </c>
      <c r="B64" s="181" t="str">
        <f>IF(DATA_IMPORT!A62="", "", DATA_IMPORT!A62)</f>
        <v/>
      </c>
      <c r="C64" s="114" t="str">
        <f>IF(DATA_IMPORT!D62="", "", DATA_IMPORT!D62)</f>
        <v/>
      </c>
      <c r="D64" s="298"/>
      <c r="E64" s="298"/>
      <c r="F64" s="298"/>
      <c r="G64" s="298"/>
      <c r="H64" s="111">
        <f t="shared" si="1"/>
        <v>120</v>
      </c>
      <c r="I64" s="78">
        <f t="shared" si="2"/>
        <v>6.0999999999999996E-10</v>
      </c>
      <c r="J64" s="3" t="str">
        <f t="shared" si="0"/>
        <v>60</v>
      </c>
      <c r="K64" s="4" t="str">
        <f t="shared" si="3"/>
        <v>///</v>
      </c>
    </row>
    <row r="65" spans="1:11" ht="24.75" customHeight="1">
      <c r="A65" s="3">
        <v>62</v>
      </c>
      <c r="B65" s="181" t="str">
        <f>IF(DATA_IMPORT!A63="", "", DATA_IMPORT!A63)</f>
        <v/>
      </c>
      <c r="C65" s="114" t="str">
        <f>IF(DATA_IMPORT!D63="", "", DATA_IMPORT!D63)</f>
        <v/>
      </c>
      <c r="D65" s="298"/>
      <c r="E65" s="298"/>
      <c r="F65" s="298"/>
      <c r="G65" s="298"/>
      <c r="H65" s="111">
        <f t="shared" si="1"/>
        <v>120</v>
      </c>
      <c r="I65" s="78">
        <f t="shared" si="2"/>
        <v>6.2000000000000003E-10</v>
      </c>
      <c r="J65" s="3" t="str">
        <f t="shared" si="0"/>
        <v>59</v>
      </c>
      <c r="K65" s="4" t="str">
        <f t="shared" si="3"/>
        <v>///</v>
      </c>
    </row>
    <row r="66" spans="1:11" ht="24.75" customHeight="1">
      <c r="A66" s="3">
        <v>63</v>
      </c>
      <c r="B66" s="181" t="str">
        <f>IF(DATA_IMPORT!A64="", "", DATA_IMPORT!A64)</f>
        <v/>
      </c>
      <c r="C66" s="114" t="str">
        <f>IF(DATA_IMPORT!D64="", "", DATA_IMPORT!D64)</f>
        <v/>
      </c>
      <c r="D66" s="298"/>
      <c r="E66" s="298"/>
      <c r="F66" s="298"/>
      <c r="G66" s="298"/>
      <c r="H66" s="111">
        <f t="shared" si="1"/>
        <v>120</v>
      </c>
      <c r="I66" s="78">
        <f t="shared" si="2"/>
        <v>6.3E-10</v>
      </c>
      <c r="J66" s="3" t="str">
        <f t="shared" si="0"/>
        <v>58</v>
      </c>
      <c r="K66" s="4" t="str">
        <f t="shared" si="3"/>
        <v>///</v>
      </c>
    </row>
    <row r="67" spans="1:11" ht="24.75" customHeight="1">
      <c r="A67" s="3">
        <v>64</v>
      </c>
      <c r="B67" s="181" t="str">
        <f>IF(DATA_IMPORT!A65="", "", DATA_IMPORT!A65)</f>
        <v/>
      </c>
      <c r="C67" s="114" t="str">
        <f>IF(DATA_IMPORT!D65="", "", DATA_IMPORT!D65)</f>
        <v/>
      </c>
      <c r="D67" s="298"/>
      <c r="E67" s="298"/>
      <c r="F67" s="298"/>
      <c r="G67" s="298"/>
      <c r="H67" s="111">
        <f t="shared" si="1"/>
        <v>120</v>
      </c>
      <c r="I67" s="78">
        <f t="shared" si="2"/>
        <v>6.3999999999999996E-10</v>
      </c>
      <c r="J67" s="3" t="str">
        <f t="shared" ref="J67:J130" si="4">TRIM(C67) &amp; (COUNTIFS($C$4:$C$123, C67, $I$4:$I$123, "&gt;"&amp;I67) + 1)</f>
        <v>57</v>
      </c>
      <c r="K67" s="4" t="str">
        <f t="shared" si="3"/>
        <v>///</v>
      </c>
    </row>
    <row r="68" spans="1:11" ht="24.75" customHeight="1">
      <c r="A68" s="3">
        <v>65</v>
      </c>
      <c r="B68" s="181" t="str">
        <f>IF(DATA_IMPORT!A66="", "", DATA_IMPORT!A66)</f>
        <v/>
      </c>
      <c r="C68" s="114" t="str">
        <f>IF(DATA_IMPORT!D66="", "", DATA_IMPORT!D66)</f>
        <v/>
      </c>
      <c r="D68" s="298"/>
      <c r="E68" s="298"/>
      <c r="F68" s="298"/>
      <c r="G68" s="298"/>
      <c r="H68" s="111">
        <f t="shared" si="1"/>
        <v>120</v>
      </c>
      <c r="I68" s="78">
        <f t="shared" si="2"/>
        <v>6.5000000000000003E-10</v>
      </c>
      <c r="J68" s="3" t="str">
        <f t="shared" si="4"/>
        <v>56</v>
      </c>
      <c r="K68" s="4" t="str">
        <f t="shared" si="3"/>
        <v>///</v>
      </c>
    </row>
    <row r="69" spans="1:11" ht="24.75" customHeight="1">
      <c r="A69" s="3">
        <v>66</v>
      </c>
      <c r="B69" s="181" t="str">
        <f>IF(DATA_IMPORT!A67="", "", DATA_IMPORT!A67)</f>
        <v/>
      </c>
      <c r="C69" s="114" t="str">
        <f>IF(DATA_IMPORT!D67="", "", DATA_IMPORT!D67)</f>
        <v/>
      </c>
      <c r="D69" s="298"/>
      <c r="E69" s="298"/>
      <c r="F69" s="298"/>
      <c r="G69" s="298"/>
      <c r="H69" s="111">
        <f t="shared" ref="H69:H123" si="5">IF(D69=0, COUNTIF($C$4:$C$123, C69), COUNTIFS($C$4:$C$123, C69, $I$4:$I$123, "&gt;"&amp;I69) + 1)</f>
        <v>120</v>
      </c>
      <c r="I69" s="78">
        <f t="shared" ref="I69:I123" si="6">D69 + (F69/1000) + (G69/1000000) + (E69/1000000000) + (A69/100000000000)</f>
        <v>6.6E-10</v>
      </c>
      <c r="J69" s="3" t="str">
        <f t="shared" si="4"/>
        <v>55</v>
      </c>
      <c r="K69" s="4" t="str">
        <f t="shared" ref="K69:K123" si="7">D69 &amp; "/" &amp; F69 &amp; "/" &amp; G69 &amp; "/" &amp; E69</f>
        <v>///</v>
      </c>
    </row>
    <row r="70" spans="1:11" ht="24.75" customHeight="1">
      <c r="A70" s="3">
        <v>67</v>
      </c>
      <c r="B70" s="181" t="str">
        <f>IF(DATA_IMPORT!A68="", "", DATA_IMPORT!A68)</f>
        <v/>
      </c>
      <c r="C70" s="114" t="str">
        <f>IF(DATA_IMPORT!D68="", "", DATA_IMPORT!D68)</f>
        <v/>
      </c>
      <c r="D70" s="298"/>
      <c r="E70" s="298"/>
      <c r="F70" s="298"/>
      <c r="G70" s="298"/>
      <c r="H70" s="111">
        <f t="shared" si="5"/>
        <v>120</v>
      </c>
      <c r="I70" s="78">
        <f t="shared" si="6"/>
        <v>6.6999999999999996E-10</v>
      </c>
      <c r="J70" s="3" t="str">
        <f t="shared" si="4"/>
        <v>54</v>
      </c>
      <c r="K70" s="4" t="str">
        <f t="shared" si="7"/>
        <v>///</v>
      </c>
    </row>
    <row r="71" spans="1:11" ht="24.75" customHeight="1">
      <c r="A71" s="3">
        <v>68</v>
      </c>
      <c r="B71" s="181" t="str">
        <f>IF(DATA_IMPORT!A69="", "", DATA_IMPORT!A69)</f>
        <v/>
      </c>
      <c r="C71" s="114" t="str">
        <f>IF(DATA_IMPORT!D69="", "", DATA_IMPORT!D69)</f>
        <v/>
      </c>
      <c r="D71" s="298"/>
      <c r="E71" s="298"/>
      <c r="F71" s="298"/>
      <c r="G71" s="298"/>
      <c r="H71" s="111">
        <f t="shared" si="5"/>
        <v>120</v>
      </c>
      <c r="I71" s="78">
        <f t="shared" si="6"/>
        <v>6.8000000000000003E-10</v>
      </c>
      <c r="J71" s="3" t="str">
        <f t="shared" si="4"/>
        <v>53</v>
      </c>
      <c r="K71" s="4" t="str">
        <f t="shared" si="7"/>
        <v>///</v>
      </c>
    </row>
    <row r="72" spans="1:11" ht="24.75" customHeight="1">
      <c r="A72" s="3">
        <v>69</v>
      </c>
      <c r="B72" s="181" t="str">
        <f>IF(DATA_IMPORT!A70="", "", DATA_IMPORT!A70)</f>
        <v/>
      </c>
      <c r="C72" s="114" t="str">
        <f>IF(DATA_IMPORT!D70="", "", DATA_IMPORT!D70)</f>
        <v/>
      </c>
      <c r="D72" s="298"/>
      <c r="E72" s="298"/>
      <c r="F72" s="298"/>
      <c r="G72" s="298"/>
      <c r="H72" s="111">
        <f t="shared" si="5"/>
        <v>120</v>
      </c>
      <c r="I72" s="78">
        <f t="shared" si="6"/>
        <v>6.9E-10</v>
      </c>
      <c r="J72" s="3" t="str">
        <f t="shared" si="4"/>
        <v>52</v>
      </c>
      <c r="K72" s="4" t="str">
        <f t="shared" si="7"/>
        <v>///</v>
      </c>
    </row>
    <row r="73" spans="1:11" ht="24.75" customHeight="1">
      <c r="A73" s="3">
        <v>70</v>
      </c>
      <c r="B73" s="181" t="str">
        <f>IF(DATA_IMPORT!A71="", "", DATA_IMPORT!A71)</f>
        <v/>
      </c>
      <c r="C73" s="114" t="str">
        <f>IF(DATA_IMPORT!D71="", "", DATA_IMPORT!D71)</f>
        <v/>
      </c>
      <c r="D73" s="298"/>
      <c r="E73" s="298"/>
      <c r="F73" s="298"/>
      <c r="G73" s="298"/>
      <c r="H73" s="111">
        <f t="shared" si="5"/>
        <v>120</v>
      </c>
      <c r="I73" s="78">
        <f t="shared" si="6"/>
        <v>6.9999999999999996E-10</v>
      </c>
      <c r="J73" s="3" t="str">
        <f t="shared" si="4"/>
        <v>51</v>
      </c>
      <c r="K73" s="4" t="str">
        <f t="shared" si="7"/>
        <v>///</v>
      </c>
    </row>
    <row r="74" spans="1:11" ht="24.75" customHeight="1">
      <c r="A74" s="3">
        <v>71</v>
      </c>
      <c r="B74" s="181" t="str">
        <f>IF(DATA_IMPORT!A72="", "", DATA_IMPORT!A72)</f>
        <v/>
      </c>
      <c r="C74" s="114" t="str">
        <f>IF(DATA_IMPORT!D72="", "", DATA_IMPORT!D72)</f>
        <v/>
      </c>
      <c r="D74" s="298"/>
      <c r="E74" s="298"/>
      <c r="F74" s="298"/>
      <c r="G74" s="298"/>
      <c r="H74" s="111">
        <f t="shared" si="5"/>
        <v>120</v>
      </c>
      <c r="I74" s="78">
        <f t="shared" si="6"/>
        <v>7.1000000000000003E-10</v>
      </c>
      <c r="J74" s="3" t="str">
        <f t="shared" si="4"/>
        <v>50</v>
      </c>
      <c r="K74" s="4" t="str">
        <f t="shared" si="7"/>
        <v>///</v>
      </c>
    </row>
    <row r="75" spans="1:11" ht="24.75" customHeight="1">
      <c r="A75" s="3">
        <v>72</v>
      </c>
      <c r="B75" s="181" t="str">
        <f>IF(DATA_IMPORT!A73="", "", DATA_IMPORT!A73)</f>
        <v/>
      </c>
      <c r="C75" s="114" t="str">
        <f>IF(DATA_IMPORT!D73="", "", DATA_IMPORT!D73)</f>
        <v/>
      </c>
      <c r="D75" s="298"/>
      <c r="E75" s="298"/>
      <c r="F75" s="298"/>
      <c r="G75" s="298"/>
      <c r="H75" s="111">
        <f t="shared" si="5"/>
        <v>120</v>
      </c>
      <c r="I75" s="78">
        <f t="shared" si="6"/>
        <v>7.2E-10</v>
      </c>
      <c r="J75" s="3" t="str">
        <f t="shared" si="4"/>
        <v>49</v>
      </c>
      <c r="K75" s="4" t="str">
        <f t="shared" si="7"/>
        <v>///</v>
      </c>
    </row>
    <row r="76" spans="1:11" ht="24.75" customHeight="1">
      <c r="A76" s="3">
        <v>73</v>
      </c>
      <c r="B76" s="181" t="str">
        <f>IF(DATA_IMPORT!A74="", "", DATA_IMPORT!A74)</f>
        <v/>
      </c>
      <c r="C76" s="114" t="str">
        <f>IF(DATA_IMPORT!D74="", "", DATA_IMPORT!D74)</f>
        <v/>
      </c>
      <c r="D76" s="298"/>
      <c r="E76" s="298"/>
      <c r="F76" s="298"/>
      <c r="G76" s="298"/>
      <c r="H76" s="111">
        <f t="shared" si="5"/>
        <v>120</v>
      </c>
      <c r="I76" s="78">
        <f t="shared" si="6"/>
        <v>7.2999999999999996E-10</v>
      </c>
      <c r="J76" s="3" t="str">
        <f t="shared" si="4"/>
        <v>48</v>
      </c>
      <c r="K76" s="4" t="str">
        <f t="shared" si="7"/>
        <v>///</v>
      </c>
    </row>
    <row r="77" spans="1:11" ht="24.75" customHeight="1">
      <c r="A77" s="3">
        <v>74</v>
      </c>
      <c r="B77" s="181" t="str">
        <f>IF(DATA_IMPORT!A75="", "", DATA_IMPORT!A75)</f>
        <v/>
      </c>
      <c r="C77" s="114" t="str">
        <f>IF(DATA_IMPORT!D75="", "", DATA_IMPORT!D75)</f>
        <v/>
      </c>
      <c r="D77" s="298"/>
      <c r="E77" s="298"/>
      <c r="F77" s="298"/>
      <c r="G77" s="298"/>
      <c r="H77" s="111">
        <f t="shared" si="5"/>
        <v>120</v>
      </c>
      <c r="I77" s="78">
        <f t="shared" si="6"/>
        <v>7.4000000000000003E-10</v>
      </c>
      <c r="J77" s="3" t="str">
        <f t="shared" si="4"/>
        <v>47</v>
      </c>
      <c r="K77" s="4" t="str">
        <f t="shared" si="7"/>
        <v>///</v>
      </c>
    </row>
    <row r="78" spans="1:11" ht="24.75" customHeight="1">
      <c r="A78" s="3">
        <v>75</v>
      </c>
      <c r="B78" s="181" t="str">
        <f>IF(DATA_IMPORT!A76="", "", DATA_IMPORT!A76)</f>
        <v/>
      </c>
      <c r="C78" s="114" t="str">
        <f>IF(DATA_IMPORT!D76="", "", DATA_IMPORT!D76)</f>
        <v/>
      </c>
      <c r="D78" s="298"/>
      <c r="E78" s="298"/>
      <c r="F78" s="298"/>
      <c r="G78" s="298"/>
      <c r="H78" s="111">
        <f t="shared" si="5"/>
        <v>120</v>
      </c>
      <c r="I78" s="78">
        <f t="shared" si="6"/>
        <v>7.5E-10</v>
      </c>
      <c r="J78" s="3" t="str">
        <f t="shared" si="4"/>
        <v>46</v>
      </c>
      <c r="K78" s="4" t="str">
        <f t="shared" si="7"/>
        <v>///</v>
      </c>
    </row>
    <row r="79" spans="1:11" ht="24.75" customHeight="1">
      <c r="A79" s="3">
        <v>76</v>
      </c>
      <c r="B79" s="181" t="str">
        <f>IF(DATA_IMPORT!A77="", "", DATA_IMPORT!A77)</f>
        <v/>
      </c>
      <c r="C79" s="114" t="str">
        <f>IF(DATA_IMPORT!D77="", "", DATA_IMPORT!D77)</f>
        <v/>
      </c>
      <c r="D79" s="298"/>
      <c r="E79" s="298"/>
      <c r="F79" s="298"/>
      <c r="G79" s="298"/>
      <c r="H79" s="111">
        <f t="shared" si="5"/>
        <v>120</v>
      </c>
      <c r="I79" s="78">
        <f t="shared" si="6"/>
        <v>7.5999999999999996E-10</v>
      </c>
      <c r="J79" s="3" t="str">
        <f t="shared" si="4"/>
        <v>45</v>
      </c>
      <c r="K79" s="4" t="str">
        <f t="shared" si="7"/>
        <v>///</v>
      </c>
    </row>
    <row r="80" spans="1:11" ht="24.75" customHeight="1">
      <c r="A80" s="3">
        <v>77</v>
      </c>
      <c r="B80" s="181" t="str">
        <f>IF(DATA_IMPORT!A78="", "", DATA_IMPORT!A78)</f>
        <v/>
      </c>
      <c r="C80" s="114" t="str">
        <f>IF(DATA_IMPORT!D78="", "", DATA_IMPORT!D78)</f>
        <v/>
      </c>
      <c r="D80" s="298"/>
      <c r="E80" s="298"/>
      <c r="F80" s="298"/>
      <c r="G80" s="298"/>
      <c r="H80" s="111">
        <f t="shared" si="5"/>
        <v>120</v>
      </c>
      <c r="I80" s="78">
        <f t="shared" si="6"/>
        <v>7.7000000000000003E-10</v>
      </c>
      <c r="J80" s="3" t="str">
        <f t="shared" si="4"/>
        <v>44</v>
      </c>
      <c r="K80" s="4" t="str">
        <f t="shared" si="7"/>
        <v>///</v>
      </c>
    </row>
    <row r="81" spans="1:11" ht="24.75" customHeight="1">
      <c r="A81" s="3">
        <v>78</v>
      </c>
      <c r="B81" s="181" t="str">
        <f>IF(DATA_IMPORT!A79="", "", DATA_IMPORT!A79)</f>
        <v/>
      </c>
      <c r="C81" s="114" t="str">
        <f>IF(DATA_IMPORT!D79="", "", DATA_IMPORT!D79)</f>
        <v/>
      </c>
      <c r="D81" s="298"/>
      <c r="E81" s="298"/>
      <c r="F81" s="298"/>
      <c r="G81" s="298"/>
      <c r="H81" s="111">
        <f t="shared" si="5"/>
        <v>120</v>
      </c>
      <c r="I81" s="78">
        <f t="shared" si="6"/>
        <v>7.7999999999999999E-10</v>
      </c>
      <c r="J81" s="3" t="str">
        <f t="shared" si="4"/>
        <v>43</v>
      </c>
      <c r="K81" s="4" t="str">
        <f t="shared" si="7"/>
        <v>///</v>
      </c>
    </row>
    <row r="82" spans="1:11" ht="24.75" customHeight="1">
      <c r="A82" s="3">
        <v>79</v>
      </c>
      <c r="B82" s="181" t="str">
        <f>IF(DATA_IMPORT!A80="", "", DATA_IMPORT!A80)</f>
        <v/>
      </c>
      <c r="C82" s="114" t="str">
        <f>IF(DATA_IMPORT!D80="", "", DATA_IMPORT!D80)</f>
        <v/>
      </c>
      <c r="D82" s="298"/>
      <c r="E82" s="298"/>
      <c r="F82" s="298"/>
      <c r="G82" s="298"/>
      <c r="H82" s="111">
        <f t="shared" si="5"/>
        <v>120</v>
      </c>
      <c r="I82" s="78">
        <f t="shared" si="6"/>
        <v>7.8999999999999996E-10</v>
      </c>
      <c r="J82" s="3" t="str">
        <f t="shared" si="4"/>
        <v>42</v>
      </c>
      <c r="K82" s="4" t="str">
        <f t="shared" si="7"/>
        <v>///</v>
      </c>
    </row>
    <row r="83" spans="1:11" ht="24.75" customHeight="1">
      <c r="A83" s="3">
        <v>80</v>
      </c>
      <c r="B83" s="181" t="str">
        <f>IF(DATA_IMPORT!A81="", "", DATA_IMPORT!A81)</f>
        <v/>
      </c>
      <c r="C83" s="114" t="str">
        <f>IF(DATA_IMPORT!D81="", "", DATA_IMPORT!D81)</f>
        <v/>
      </c>
      <c r="D83" s="298"/>
      <c r="E83" s="298"/>
      <c r="F83" s="298"/>
      <c r="G83" s="298"/>
      <c r="H83" s="111">
        <f t="shared" si="5"/>
        <v>120</v>
      </c>
      <c r="I83" s="78">
        <f t="shared" si="6"/>
        <v>8.0000000000000003E-10</v>
      </c>
      <c r="J83" s="3" t="str">
        <f t="shared" si="4"/>
        <v>41</v>
      </c>
      <c r="K83" s="4" t="str">
        <f t="shared" si="7"/>
        <v>///</v>
      </c>
    </row>
    <row r="84" spans="1:11" ht="24.75" customHeight="1">
      <c r="A84" s="3">
        <v>81</v>
      </c>
      <c r="B84" s="181" t="str">
        <f>IF(DATA_IMPORT!A82="", "", DATA_IMPORT!A82)</f>
        <v/>
      </c>
      <c r="C84" s="114" t="str">
        <f>IF(DATA_IMPORT!D82="", "", DATA_IMPORT!D82)</f>
        <v/>
      </c>
      <c r="D84" s="298"/>
      <c r="E84" s="298"/>
      <c r="F84" s="298"/>
      <c r="G84" s="298"/>
      <c r="H84" s="111">
        <f t="shared" si="5"/>
        <v>120</v>
      </c>
      <c r="I84" s="78">
        <f t="shared" si="6"/>
        <v>8.0999999999999999E-10</v>
      </c>
      <c r="J84" s="3" t="str">
        <f t="shared" si="4"/>
        <v>40</v>
      </c>
      <c r="K84" s="4" t="str">
        <f t="shared" si="7"/>
        <v>///</v>
      </c>
    </row>
    <row r="85" spans="1:11" ht="24.75" customHeight="1">
      <c r="A85" s="3">
        <v>82</v>
      </c>
      <c r="B85" s="181" t="str">
        <f>IF(DATA_IMPORT!A83="", "", DATA_IMPORT!A83)</f>
        <v/>
      </c>
      <c r="C85" s="114" t="str">
        <f>IF(DATA_IMPORT!D83="", "", DATA_IMPORT!D83)</f>
        <v/>
      </c>
      <c r="D85" s="298"/>
      <c r="E85" s="298"/>
      <c r="F85" s="298"/>
      <c r="G85" s="298"/>
      <c r="H85" s="111">
        <f t="shared" si="5"/>
        <v>120</v>
      </c>
      <c r="I85" s="78">
        <f t="shared" si="6"/>
        <v>8.1999999999999996E-10</v>
      </c>
      <c r="J85" s="3" t="str">
        <f t="shared" si="4"/>
        <v>39</v>
      </c>
      <c r="K85" s="4" t="str">
        <f t="shared" si="7"/>
        <v>///</v>
      </c>
    </row>
    <row r="86" spans="1:11" ht="24.75" customHeight="1">
      <c r="A86" s="3">
        <v>83</v>
      </c>
      <c r="B86" s="181" t="str">
        <f>IF(DATA_IMPORT!A84="", "", DATA_IMPORT!A84)</f>
        <v/>
      </c>
      <c r="C86" s="114" t="str">
        <f>IF(DATA_IMPORT!D84="", "", DATA_IMPORT!D84)</f>
        <v/>
      </c>
      <c r="D86" s="298"/>
      <c r="E86" s="298"/>
      <c r="F86" s="298"/>
      <c r="G86" s="298"/>
      <c r="H86" s="111">
        <f t="shared" si="5"/>
        <v>120</v>
      </c>
      <c r="I86" s="78">
        <f t="shared" si="6"/>
        <v>8.3000000000000003E-10</v>
      </c>
      <c r="J86" s="3" t="str">
        <f t="shared" si="4"/>
        <v>38</v>
      </c>
      <c r="K86" s="4" t="str">
        <f t="shared" si="7"/>
        <v>///</v>
      </c>
    </row>
    <row r="87" spans="1:11" ht="24.75" customHeight="1">
      <c r="A87" s="3">
        <v>84</v>
      </c>
      <c r="B87" s="181" t="str">
        <f>IF(DATA_IMPORT!A85="", "", DATA_IMPORT!A85)</f>
        <v/>
      </c>
      <c r="C87" s="114" t="str">
        <f>IF(DATA_IMPORT!D85="", "", DATA_IMPORT!D85)</f>
        <v/>
      </c>
      <c r="D87" s="298"/>
      <c r="E87" s="298"/>
      <c r="F87" s="298"/>
      <c r="G87" s="298"/>
      <c r="H87" s="111">
        <f t="shared" si="5"/>
        <v>120</v>
      </c>
      <c r="I87" s="78">
        <f t="shared" si="6"/>
        <v>8.3999999999999999E-10</v>
      </c>
      <c r="J87" s="3" t="str">
        <f t="shared" si="4"/>
        <v>37</v>
      </c>
      <c r="K87" s="4" t="str">
        <f t="shared" si="7"/>
        <v>///</v>
      </c>
    </row>
    <row r="88" spans="1:11" ht="24.75" customHeight="1">
      <c r="A88" s="3">
        <v>85</v>
      </c>
      <c r="B88" s="181" t="str">
        <f>IF(DATA_IMPORT!A86="", "", DATA_IMPORT!A86)</f>
        <v/>
      </c>
      <c r="C88" s="114" t="str">
        <f>IF(DATA_IMPORT!D86="", "", DATA_IMPORT!D86)</f>
        <v/>
      </c>
      <c r="D88" s="298"/>
      <c r="E88" s="298"/>
      <c r="F88" s="298"/>
      <c r="G88" s="298"/>
      <c r="H88" s="111">
        <f t="shared" si="5"/>
        <v>120</v>
      </c>
      <c r="I88" s="78">
        <f t="shared" si="6"/>
        <v>8.4999999999999996E-10</v>
      </c>
      <c r="J88" s="3" t="str">
        <f t="shared" si="4"/>
        <v>36</v>
      </c>
      <c r="K88" s="4" t="str">
        <f t="shared" si="7"/>
        <v>///</v>
      </c>
    </row>
    <row r="89" spans="1:11" ht="24.75" customHeight="1">
      <c r="A89" s="3">
        <v>86</v>
      </c>
      <c r="B89" s="181" t="str">
        <f>IF(DATA_IMPORT!A87="", "", DATA_IMPORT!A87)</f>
        <v/>
      </c>
      <c r="C89" s="114" t="str">
        <f>IF(DATA_IMPORT!D87="", "", DATA_IMPORT!D87)</f>
        <v/>
      </c>
      <c r="D89" s="298"/>
      <c r="E89" s="298"/>
      <c r="F89" s="298"/>
      <c r="G89" s="298"/>
      <c r="H89" s="111">
        <f t="shared" si="5"/>
        <v>120</v>
      </c>
      <c r="I89" s="78">
        <f t="shared" si="6"/>
        <v>8.6000000000000003E-10</v>
      </c>
      <c r="J89" s="3" t="str">
        <f t="shared" si="4"/>
        <v>35</v>
      </c>
      <c r="K89" s="4" t="str">
        <f t="shared" si="7"/>
        <v>///</v>
      </c>
    </row>
    <row r="90" spans="1:11" ht="24.75" customHeight="1">
      <c r="A90" s="3">
        <v>87</v>
      </c>
      <c r="B90" s="181" t="str">
        <f>IF(DATA_IMPORT!A88="", "", DATA_IMPORT!A88)</f>
        <v/>
      </c>
      <c r="C90" s="114" t="str">
        <f>IF(DATA_IMPORT!D88="", "", DATA_IMPORT!D88)</f>
        <v/>
      </c>
      <c r="D90" s="298"/>
      <c r="E90" s="298"/>
      <c r="F90" s="298"/>
      <c r="G90" s="298"/>
      <c r="H90" s="111">
        <f t="shared" si="5"/>
        <v>120</v>
      </c>
      <c r="I90" s="78">
        <f t="shared" si="6"/>
        <v>8.6999999999999999E-10</v>
      </c>
      <c r="J90" s="3" t="str">
        <f t="shared" si="4"/>
        <v>34</v>
      </c>
      <c r="K90" s="4" t="str">
        <f t="shared" si="7"/>
        <v>///</v>
      </c>
    </row>
    <row r="91" spans="1:11" ht="24.75" customHeight="1">
      <c r="A91" s="3">
        <v>88</v>
      </c>
      <c r="B91" s="181" t="str">
        <f>IF(DATA_IMPORT!A89="", "", DATA_IMPORT!A89)</f>
        <v/>
      </c>
      <c r="C91" s="114" t="str">
        <f>IF(DATA_IMPORT!D89="", "", DATA_IMPORT!D89)</f>
        <v/>
      </c>
      <c r="D91" s="298"/>
      <c r="E91" s="298"/>
      <c r="F91" s="298"/>
      <c r="G91" s="298"/>
      <c r="H91" s="111">
        <f t="shared" si="5"/>
        <v>120</v>
      </c>
      <c r="I91" s="78">
        <f t="shared" si="6"/>
        <v>8.7999999999999996E-10</v>
      </c>
      <c r="J91" s="3" t="str">
        <f t="shared" si="4"/>
        <v>33</v>
      </c>
      <c r="K91" s="4" t="str">
        <f t="shared" si="7"/>
        <v>///</v>
      </c>
    </row>
    <row r="92" spans="1:11" ht="24.75" customHeight="1">
      <c r="A92" s="3">
        <v>89</v>
      </c>
      <c r="B92" s="181" t="str">
        <f>IF(DATA_IMPORT!A90="", "", DATA_IMPORT!A90)</f>
        <v/>
      </c>
      <c r="C92" s="114" t="str">
        <f>IF(DATA_IMPORT!D90="", "", DATA_IMPORT!D90)</f>
        <v/>
      </c>
      <c r="D92" s="298"/>
      <c r="E92" s="298"/>
      <c r="F92" s="298"/>
      <c r="G92" s="298"/>
      <c r="H92" s="111">
        <f t="shared" si="5"/>
        <v>120</v>
      </c>
      <c r="I92" s="78">
        <f t="shared" si="6"/>
        <v>8.9000000000000003E-10</v>
      </c>
      <c r="J92" s="3" t="str">
        <f t="shared" si="4"/>
        <v>32</v>
      </c>
      <c r="K92" s="4" t="str">
        <f t="shared" si="7"/>
        <v>///</v>
      </c>
    </row>
    <row r="93" spans="1:11" ht="24.75" customHeight="1">
      <c r="A93" s="3">
        <v>90</v>
      </c>
      <c r="B93" s="181" t="str">
        <f>IF(DATA_IMPORT!A91="", "", DATA_IMPORT!A91)</f>
        <v/>
      </c>
      <c r="C93" s="114" t="str">
        <f>IF(DATA_IMPORT!D91="", "", DATA_IMPORT!D91)</f>
        <v/>
      </c>
      <c r="D93" s="298"/>
      <c r="E93" s="298"/>
      <c r="F93" s="298"/>
      <c r="G93" s="298"/>
      <c r="H93" s="111">
        <f t="shared" si="5"/>
        <v>120</v>
      </c>
      <c r="I93" s="78">
        <f t="shared" si="6"/>
        <v>8.9999999999999999E-10</v>
      </c>
      <c r="J93" s="3" t="str">
        <f t="shared" si="4"/>
        <v>31</v>
      </c>
      <c r="K93" s="4" t="str">
        <f t="shared" si="7"/>
        <v>///</v>
      </c>
    </row>
    <row r="94" spans="1:11" ht="24.75" customHeight="1">
      <c r="A94" s="3">
        <v>91</v>
      </c>
      <c r="B94" s="181" t="str">
        <f>IF(DATA_IMPORT!A92="", "", DATA_IMPORT!A92)</f>
        <v/>
      </c>
      <c r="C94" s="114" t="str">
        <f>IF(DATA_IMPORT!D92="", "", DATA_IMPORT!D92)</f>
        <v/>
      </c>
      <c r="D94" s="298"/>
      <c r="E94" s="298"/>
      <c r="F94" s="298"/>
      <c r="G94" s="298"/>
      <c r="H94" s="111">
        <f t="shared" si="5"/>
        <v>120</v>
      </c>
      <c r="I94" s="78">
        <f t="shared" si="6"/>
        <v>9.0999999999999996E-10</v>
      </c>
      <c r="J94" s="3" t="str">
        <f t="shared" si="4"/>
        <v>30</v>
      </c>
      <c r="K94" s="4" t="str">
        <f t="shared" si="7"/>
        <v>///</v>
      </c>
    </row>
    <row r="95" spans="1:11" ht="24.75" customHeight="1">
      <c r="A95" s="3">
        <v>92</v>
      </c>
      <c r="B95" s="181" t="str">
        <f>IF(DATA_IMPORT!A93="", "", DATA_IMPORT!A93)</f>
        <v/>
      </c>
      <c r="C95" s="114" t="str">
        <f>IF(DATA_IMPORT!D93="", "", DATA_IMPORT!D93)</f>
        <v/>
      </c>
      <c r="D95" s="298"/>
      <c r="E95" s="298"/>
      <c r="F95" s="298"/>
      <c r="G95" s="298"/>
      <c r="H95" s="111">
        <f t="shared" si="5"/>
        <v>120</v>
      </c>
      <c r="I95" s="78">
        <f t="shared" si="6"/>
        <v>9.2000000000000003E-10</v>
      </c>
      <c r="J95" s="3" t="str">
        <f t="shared" si="4"/>
        <v>29</v>
      </c>
      <c r="K95" s="4" t="str">
        <f t="shared" si="7"/>
        <v>///</v>
      </c>
    </row>
    <row r="96" spans="1:11" ht="24.75" customHeight="1">
      <c r="A96" s="3">
        <v>93</v>
      </c>
      <c r="B96" s="181" t="str">
        <f>IF(DATA_IMPORT!A94="", "", DATA_IMPORT!A94)</f>
        <v/>
      </c>
      <c r="C96" s="114" t="str">
        <f>IF(DATA_IMPORT!D94="", "", DATA_IMPORT!D94)</f>
        <v/>
      </c>
      <c r="D96" s="298"/>
      <c r="E96" s="298"/>
      <c r="F96" s="298"/>
      <c r="G96" s="298"/>
      <c r="H96" s="111">
        <f t="shared" si="5"/>
        <v>120</v>
      </c>
      <c r="I96" s="78">
        <f t="shared" si="6"/>
        <v>9.2999999999999999E-10</v>
      </c>
      <c r="J96" s="3" t="str">
        <f t="shared" si="4"/>
        <v>28</v>
      </c>
      <c r="K96" s="4" t="str">
        <f t="shared" si="7"/>
        <v>///</v>
      </c>
    </row>
    <row r="97" spans="1:11" ht="24.75" customHeight="1">
      <c r="A97" s="3">
        <v>94</v>
      </c>
      <c r="B97" s="181" t="str">
        <f>IF(DATA_IMPORT!A95="", "", DATA_IMPORT!A95)</f>
        <v/>
      </c>
      <c r="C97" s="114" t="str">
        <f>IF(DATA_IMPORT!D95="", "", DATA_IMPORT!D95)</f>
        <v/>
      </c>
      <c r="D97" s="298"/>
      <c r="E97" s="298"/>
      <c r="F97" s="298"/>
      <c r="G97" s="298"/>
      <c r="H97" s="111">
        <f t="shared" si="5"/>
        <v>120</v>
      </c>
      <c r="I97" s="78">
        <f t="shared" si="6"/>
        <v>9.4000000000000006E-10</v>
      </c>
      <c r="J97" s="3" t="str">
        <f t="shared" si="4"/>
        <v>27</v>
      </c>
      <c r="K97" s="4" t="str">
        <f t="shared" si="7"/>
        <v>///</v>
      </c>
    </row>
    <row r="98" spans="1:11" ht="24.75" customHeight="1">
      <c r="A98" s="3">
        <v>95</v>
      </c>
      <c r="B98" s="181" t="str">
        <f>IF(DATA_IMPORT!A96="", "", DATA_IMPORT!A96)</f>
        <v/>
      </c>
      <c r="C98" s="114" t="str">
        <f>IF(DATA_IMPORT!D96="", "", DATA_IMPORT!D96)</f>
        <v/>
      </c>
      <c r="D98" s="298"/>
      <c r="E98" s="298"/>
      <c r="F98" s="298"/>
      <c r="G98" s="298"/>
      <c r="H98" s="111">
        <f t="shared" si="5"/>
        <v>120</v>
      </c>
      <c r="I98" s="78">
        <f t="shared" si="6"/>
        <v>9.5000000000000003E-10</v>
      </c>
      <c r="J98" s="3" t="str">
        <f t="shared" si="4"/>
        <v>26</v>
      </c>
      <c r="K98" s="4" t="str">
        <f t="shared" si="7"/>
        <v>///</v>
      </c>
    </row>
    <row r="99" spans="1:11" ht="24.75" customHeight="1">
      <c r="A99" s="3">
        <v>96</v>
      </c>
      <c r="B99" s="181" t="str">
        <f>IF(DATA_IMPORT!A97="", "", DATA_IMPORT!A97)</f>
        <v/>
      </c>
      <c r="C99" s="114" t="str">
        <f>IF(DATA_IMPORT!D97="", "", DATA_IMPORT!D97)</f>
        <v/>
      </c>
      <c r="D99" s="298"/>
      <c r="E99" s="298"/>
      <c r="F99" s="298"/>
      <c r="G99" s="298"/>
      <c r="H99" s="111">
        <f t="shared" si="5"/>
        <v>120</v>
      </c>
      <c r="I99" s="78">
        <f t="shared" si="6"/>
        <v>9.5999999999999999E-10</v>
      </c>
      <c r="J99" s="3" t="str">
        <f t="shared" si="4"/>
        <v>25</v>
      </c>
      <c r="K99" s="4" t="str">
        <f t="shared" si="7"/>
        <v>///</v>
      </c>
    </row>
    <row r="100" spans="1:11" ht="24.75" customHeight="1">
      <c r="A100" s="3">
        <v>97</v>
      </c>
      <c r="B100" s="181" t="str">
        <f>IF(DATA_IMPORT!A98="", "", DATA_IMPORT!A98)</f>
        <v/>
      </c>
      <c r="C100" s="114" t="str">
        <f>IF(DATA_IMPORT!D98="", "", DATA_IMPORT!D98)</f>
        <v/>
      </c>
      <c r="D100" s="298"/>
      <c r="E100" s="298"/>
      <c r="F100" s="298"/>
      <c r="G100" s="298"/>
      <c r="H100" s="111">
        <f t="shared" si="5"/>
        <v>120</v>
      </c>
      <c r="I100" s="78">
        <f t="shared" si="6"/>
        <v>9.6999999999999996E-10</v>
      </c>
      <c r="J100" s="3" t="str">
        <f t="shared" si="4"/>
        <v>24</v>
      </c>
      <c r="K100" s="4" t="str">
        <f t="shared" si="7"/>
        <v>///</v>
      </c>
    </row>
    <row r="101" spans="1:11" ht="24.75" customHeight="1">
      <c r="A101" s="3">
        <v>98</v>
      </c>
      <c r="B101" s="181" t="str">
        <f>IF(DATA_IMPORT!A99="", "", DATA_IMPORT!A99)</f>
        <v/>
      </c>
      <c r="C101" s="114" t="str">
        <f>IF(DATA_IMPORT!D99="", "", DATA_IMPORT!D99)</f>
        <v/>
      </c>
      <c r="D101" s="298"/>
      <c r="E101" s="298"/>
      <c r="F101" s="298"/>
      <c r="G101" s="298"/>
      <c r="H101" s="111">
        <f t="shared" si="5"/>
        <v>120</v>
      </c>
      <c r="I101" s="78">
        <f t="shared" si="6"/>
        <v>9.7999999999999992E-10</v>
      </c>
      <c r="J101" s="3" t="str">
        <f t="shared" si="4"/>
        <v>23</v>
      </c>
      <c r="K101" s="4" t="str">
        <f t="shared" si="7"/>
        <v>///</v>
      </c>
    </row>
    <row r="102" spans="1:11" ht="24.75" customHeight="1">
      <c r="A102" s="3">
        <v>99</v>
      </c>
      <c r="B102" s="181" t="str">
        <f>IF(DATA_IMPORT!A100="", "", DATA_IMPORT!A100)</f>
        <v/>
      </c>
      <c r="C102" s="114" t="str">
        <f>IF(DATA_IMPORT!D100="", "", DATA_IMPORT!D100)</f>
        <v/>
      </c>
      <c r="D102" s="298"/>
      <c r="E102" s="298"/>
      <c r="F102" s="298"/>
      <c r="G102" s="298"/>
      <c r="H102" s="111">
        <f t="shared" si="5"/>
        <v>120</v>
      </c>
      <c r="I102" s="78">
        <f t="shared" si="6"/>
        <v>9.900000000000001E-10</v>
      </c>
      <c r="J102" s="3" t="str">
        <f t="shared" si="4"/>
        <v>22</v>
      </c>
      <c r="K102" s="4" t="str">
        <f t="shared" si="7"/>
        <v>///</v>
      </c>
    </row>
    <row r="103" spans="1:11" ht="24.75" customHeight="1">
      <c r="A103" s="3">
        <v>100</v>
      </c>
      <c r="B103" s="181" t="str">
        <f>IF(DATA_IMPORT!A101="", "", DATA_IMPORT!A101)</f>
        <v/>
      </c>
      <c r="C103" s="114" t="str">
        <f>IF(DATA_IMPORT!D101="", "", DATA_IMPORT!D101)</f>
        <v/>
      </c>
      <c r="D103" s="298"/>
      <c r="E103" s="298"/>
      <c r="F103" s="298"/>
      <c r="G103" s="298"/>
      <c r="H103" s="111">
        <f t="shared" si="5"/>
        <v>120</v>
      </c>
      <c r="I103" s="78">
        <f t="shared" si="6"/>
        <v>1.0000000000000001E-9</v>
      </c>
      <c r="J103" s="3" t="str">
        <f t="shared" si="4"/>
        <v>21</v>
      </c>
      <c r="K103" s="4" t="str">
        <f t="shared" si="7"/>
        <v>///</v>
      </c>
    </row>
    <row r="104" spans="1:11" ht="24.75" customHeight="1">
      <c r="A104" s="3">
        <v>101</v>
      </c>
      <c r="B104" s="181" t="str">
        <f>IF(DATA_IMPORT!A102="", "", DATA_IMPORT!A102)</f>
        <v/>
      </c>
      <c r="C104" s="114" t="str">
        <f>IF(DATA_IMPORT!D102="", "", DATA_IMPORT!D102)</f>
        <v/>
      </c>
      <c r="D104" s="298"/>
      <c r="E104" s="298"/>
      <c r="F104" s="298"/>
      <c r="G104" s="298"/>
      <c r="H104" s="111">
        <f t="shared" si="5"/>
        <v>120</v>
      </c>
      <c r="I104" s="78">
        <f t="shared" si="6"/>
        <v>1.01E-9</v>
      </c>
      <c r="J104" s="3" t="str">
        <f t="shared" si="4"/>
        <v>20</v>
      </c>
      <c r="K104" s="4" t="str">
        <f t="shared" si="7"/>
        <v>///</v>
      </c>
    </row>
    <row r="105" spans="1:11" ht="24.75" customHeight="1">
      <c r="A105" s="3">
        <v>102</v>
      </c>
      <c r="B105" s="181" t="str">
        <f>IF(DATA_IMPORT!A103="", "", DATA_IMPORT!A103)</f>
        <v/>
      </c>
      <c r="C105" s="114" t="str">
        <f>IF(DATA_IMPORT!D103="", "", DATA_IMPORT!D103)</f>
        <v/>
      </c>
      <c r="D105" s="298"/>
      <c r="E105" s="298"/>
      <c r="F105" s="298"/>
      <c r="G105" s="298"/>
      <c r="H105" s="111">
        <f t="shared" si="5"/>
        <v>120</v>
      </c>
      <c r="I105" s="78">
        <f t="shared" si="6"/>
        <v>1.02E-9</v>
      </c>
      <c r="J105" s="3" t="str">
        <f t="shared" si="4"/>
        <v>19</v>
      </c>
      <c r="K105" s="4" t="str">
        <f t="shared" si="7"/>
        <v>///</v>
      </c>
    </row>
    <row r="106" spans="1:11" ht="24.75" customHeight="1">
      <c r="A106" s="3">
        <v>103</v>
      </c>
      <c r="B106" s="181" t="str">
        <f>IF(DATA_IMPORT!A104="", "", DATA_IMPORT!A104)</f>
        <v/>
      </c>
      <c r="C106" s="114" t="str">
        <f>IF(DATA_IMPORT!D104="", "", DATA_IMPORT!D104)</f>
        <v/>
      </c>
      <c r="D106" s="298"/>
      <c r="E106" s="298"/>
      <c r="F106" s="298"/>
      <c r="G106" s="298"/>
      <c r="H106" s="111">
        <f t="shared" si="5"/>
        <v>120</v>
      </c>
      <c r="I106" s="78">
        <f t="shared" si="6"/>
        <v>1.03E-9</v>
      </c>
      <c r="J106" s="3" t="str">
        <f t="shared" si="4"/>
        <v>18</v>
      </c>
      <c r="K106" s="4" t="str">
        <f t="shared" si="7"/>
        <v>///</v>
      </c>
    </row>
    <row r="107" spans="1:11" ht="24.75" customHeight="1">
      <c r="A107" s="3">
        <v>104</v>
      </c>
      <c r="B107" s="181" t="str">
        <f>IF(DATA_IMPORT!A105="", "", DATA_IMPORT!A105)</f>
        <v/>
      </c>
      <c r="C107" s="114" t="str">
        <f>IF(DATA_IMPORT!D105="", "", DATA_IMPORT!D105)</f>
        <v/>
      </c>
      <c r="D107" s="298"/>
      <c r="E107" s="298"/>
      <c r="F107" s="298"/>
      <c r="G107" s="298"/>
      <c r="H107" s="111">
        <f t="shared" si="5"/>
        <v>120</v>
      </c>
      <c r="I107" s="78">
        <f t="shared" si="6"/>
        <v>1.0399999999999999E-9</v>
      </c>
      <c r="J107" s="3" t="str">
        <f t="shared" si="4"/>
        <v>17</v>
      </c>
      <c r="K107" s="4" t="str">
        <f t="shared" si="7"/>
        <v>///</v>
      </c>
    </row>
    <row r="108" spans="1:11" ht="24.75" customHeight="1">
      <c r="A108" s="3">
        <v>105</v>
      </c>
      <c r="B108" s="181" t="str">
        <f>IF(DATA_IMPORT!A106="", "", DATA_IMPORT!A106)</f>
        <v/>
      </c>
      <c r="C108" s="114" t="str">
        <f>IF(DATA_IMPORT!D106="", "", DATA_IMPORT!D106)</f>
        <v/>
      </c>
      <c r="D108" s="298"/>
      <c r="E108" s="298"/>
      <c r="F108" s="298"/>
      <c r="G108" s="298"/>
      <c r="H108" s="111">
        <f t="shared" si="5"/>
        <v>120</v>
      </c>
      <c r="I108" s="78">
        <f t="shared" si="6"/>
        <v>1.0500000000000001E-9</v>
      </c>
      <c r="J108" s="3" t="str">
        <f t="shared" si="4"/>
        <v>16</v>
      </c>
      <c r="K108" s="4" t="str">
        <f t="shared" si="7"/>
        <v>///</v>
      </c>
    </row>
    <row r="109" spans="1:11" ht="24.75" customHeight="1">
      <c r="A109" s="3">
        <v>106</v>
      </c>
      <c r="B109" s="181" t="str">
        <f>IF(DATA_IMPORT!A107="", "", DATA_IMPORT!A107)</f>
        <v/>
      </c>
      <c r="C109" s="114" t="str">
        <f>IF(DATA_IMPORT!D107="", "", DATA_IMPORT!D107)</f>
        <v/>
      </c>
      <c r="D109" s="298"/>
      <c r="E109" s="298"/>
      <c r="F109" s="298"/>
      <c r="G109" s="298"/>
      <c r="H109" s="111">
        <f t="shared" si="5"/>
        <v>120</v>
      </c>
      <c r="I109" s="78">
        <f t="shared" si="6"/>
        <v>1.0600000000000001E-9</v>
      </c>
      <c r="J109" s="3" t="str">
        <f t="shared" si="4"/>
        <v>15</v>
      </c>
      <c r="K109" s="4" t="str">
        <f t="shared" si="7"/>
        <v>///</v>
      </c>
    </row>
    <row r="110" spans="1:11" ht="24.75" customHeight="1">
      <c r="A110" s="3">
        <v>107</v>
      </c>
      <c r="B110" s="181" t="str">
        <f>IF(DATA_IMPORT!A108="", "", DATA_IMPORT!A108)</f>
        <v/>
      </c>
      <c r="C110" s="114" t="str">
        <f>IF(DATA_IMPORT!D108="", "", DATA_IMPORT!D108)</f>
        <v/>
      </c>
      <c r="D110" s="298"/>
      <c r="E110" s="298"/>
      <c r="F110" s="298"/>
      <c r="G110" s="298"/>
      <c r="H110" s="111">
        <f t="shared" si="5"/>
        <v>120</v>
      </c>
      <c r="I110" s="78">
        <f t="shared" si="6"/>
        <v>1.07E-9</v>
      </c>
      <c r="J110" s="3" t="str">
        <f t="shared" si="4"/>
        <v>14</v>
      </c>
      <c r="K110" s="4" t="str">
        <f t="shared" si="7"/>
        <v>///</v>
      </c>
    </row>
    <row r="111" spans="1:11" ht="24.75" customHeight="1">
      <c r="A111" s="3">
        <v>108</v>
      </c>
      <c r="B111" s="181" t="str">
        <f>IF(DATA_IMPORT!A109="", "", DATA_IMPORT!A109)</f>
        <v/>
      </c>
      <c r="C111" s="114" t="str">
        <f>IF(DATA_IMPORT!D109="", "", DATA_IMPORT!D109)</f>
        <v/>
      </c>
      <c r="D111" s="298"/>
      <c r="E111" s="298"/>
      <c r="F111" s="298"/>
      <c r="G111" s="298"/>
      <c r="H111" s="111">
        <f t="shared" si="5"/>
        <v>120</v>
      </c>
      <c r="I111" s="78">
        <f t="shared" si="6"/>
        <v>1.08E-9</v>
      </c>
      <c r="J111" s="3" t="str">
        <f t="shared" si="4"/>
        <v>13</v>
      </c>
      <c r="K111" s="4" t="str">
        <f t="shared" si="7"/>
        <v>///</v>
      </c>
    </row>
    <row r="112" spans="1:11" ht="24.75" customHeight="1">
      <c r="A112" s="3">
        <v>109</v>
      </c>
      <c r="B112" s="181" t="str">
        <f>IF(DATA_IMPORT!A110="", "", DATA_IMPORT!A110)</f>
        <v/>
      </c>
      <c r="C112" s="114" t="str">
        <f>IF(DATA_IMPORT!D110="", "", DATA_IMPORT!D110)</f>
        <v/>
      </c>
      <c r="D112" s="298"/>
      <c r="E112" s="298"/>
      <c r="F112" s="298"/>
      <c r="G112" s="298"/>
      <c r="H112" s="111">
        <f t="shared" si="5"/>
        <v>120</v>
      </c>
      <c r="I112" s="78">
        <f t="shared" si="6"/>
        <v>1.09E-9</v>
      </c>
      <c r="J112" s="3" t="str">
        <f t="shared" si="4"/>
        <v>12</v>
      </c>
      <c r="K112" s="4" t="str">
        <f t="shared" si="7"/>
        <v>///</v>
      </c>
    </row>
    <row r="113" spans="1:11" ht="24.75" customHeight="1">
      <c r="A113" s="3">
        <v>110</v>
      </c>
      <c r="B113" s="181" t="str">
        <f>IF(DATA_IMPORT!A111="", "", DATA_IMPORT!A111)</f>
        <v/>
      </c>
      <c r="C113" s="114" t="str">
        <f>IF(DATA_IMPORT!D111="", "", DATA_IMPORT!D111)</f>
        <v/>
      </c>
      <c r="D113" s="298"/>
      <c r="E113" s="298"/>
      <c r="F113" s="298"/>
      <c r="G113" s="298"/>
      <c r="H113" s="111">
        <f t="shared" si="5"/>
        <v>120</v>
      </c>
      <c r="I113" s="78">
        <f t="shared" si="6"/>
        <v>1.0999999999999999E-9</v>
      </c>
      <c r="J113" s="3" t="str">
        <f t="shared" si="4"/>
        <v>11</v>
      </c>
      <c r="K113" s="4" t="str">
        <f t="shared" si="7"/>
        <v>///</v>
      </c>
    </row>
    <row r="114" spans="1:11" ht="24.75" customHeight="1">
      <c r="A114" s="3">
        <v>111</v>
      </c>
      <c r="B114" s="181" t="str">
        <f>IF(DATA_IMPORT!A112="", "", DATA_IMPORT!A112)</f>
        <v/>
      </c>
      <c r="C114" s="114" t="str">
        <f>IF(DATA_IMPORT!D112="", "", DATA_IMPORT!D112)</f>
        <v/>
      </c>
      <c r="D114" s="298"/>
      <c r="E114" s="298"/>
      <c r="F114" s="298"/>
      <c r="G114" s="298"/>
      <c r="H114" s="111">
        <f t="shared" si="5"/>
        <v>120</v>
      </c>
      <c r="I114" s="78">
        <f t="shared" si="6"/>
        <v>1.1100000000000001E-9</v>
      </c>
      <c r="J114" s="3" t="str">
        <f t="shared" si="4"/>
        <v>10</v>
      </c>
      <c r="K114" s="4" t="str">
        <f t="shared" si="7"/>
        <v>///</v>
      </c>
    </row>
    <row r="115" spans="1:11" ht="24.75" customHeight="1">
      <c r="A115" s="3">
        <v>112</v>
      </c>
      <c r="B115" s="181" t="str">
        <f>IF(DATA_IMPORT!A113="", "", DATA_IMPORT!A113)</f>
        <v/>
      </c>
      <c r="C115" s="114" t="str">
        <f>IF(DATA_IMPORT!D113="", "", DATA_IMPORT!D113)</f>
        <v/>
      </c>
      <c r="D115" s="298"/>
      <c r="E115" s="298"/>
      <c r="F115" s="298"/>
      <c r="G115" s="298"/>
      <c r="H115" s="111">
        <f t="shared" si="5"/>
        <v>120</v>
      </c>
      <c r="I115" s="78">
        <f t="shared" si="6"/>
        <v>1.1200000000000001E-9</v>
      </c>
      <c r="J115" s="3" t="str">
        <f t="shared" si="4"/>
        <v>9</v>
      </c>
      <c r="K115" s="4" t="str">
        <f t="shared" si="7"/>
        <v>///</v>
      </c>
    </row>
    <row r="116" spans="1:11" ht="24.75" customHeight="1">
      <c r="A116" s="3">
        <v>113</v>
      </c>
      <c r="B116" s="181" t="str">
        <f>IF(DATA_IMPORT!A114="", "", DATA_IMPORT!A114)</f>
        <v/>
      </c>
      <c r="C116" s="114" t="str">
        <f>IF(DATA_IMPORT!D114="", "", DATA_IMPORT!D114)</f>
        <v/>
      </c>
      <c r="D116" s="298"/>
      <c r="E116" s="298"/>
      <c r="F116" s="298"/>
      <c r="G116" s="298"/>
      <c r="H116" s="111">
        <f t="shared" si="5"/>
        <v>120</v>
      </c>
      <c r="I116" s="78">
        <f t="shared" si="6"/>
        <v>1.13E-9</v>
      </c>
      <c r="J116" s="3" t="str">
        <f t="shared" si="4"/>
        <v>8</v>
      </c>
      <c r="K116" s="4" t="str">
        <f t="shared" si="7"/>
        <v>///</v>
      </c>
    </row>
    <row r="117" spans="1:11" ht="24.75" customHeight="1">
      <c r="A117" s="3">
        <v>114</v>
      </c>
      <c r="B117" s="181" t="str">
        <f>IF(DATA_IMPORT!A115="", "", DATA_IMPORT!A115)</f>
        <v/>
      </c>
      <c r="C117" s="114" t="str">
        <f>IF(DATA_IMPORT!D115="", "", DATA_IMPORT!D115)</f>
        <v/>
      </c>
      <c r="D117" s="298"/>
      <c r="E117" s="298"/>
      <c r="F117" s="298"/>
      <c r="G117" s="298"/>
      <c r="H117" s="111">
        <f t="shared" si="5"/>
        <v>120</v>
      </c>
      <c r="I117" s="78">
        <f t="shared" si="6"/>
        <v>1.14E-9</v>
      </c>
      <c r="J117" s="3" t="str">
        <f t="shared" si="4"/>
        <v>7</v>
      </c>
      <c r="K117" s="4" t="str">
        <f t="shared" si="7"/>
        <v>///</v>
      </c>
    </row>
    <row r="118" spans="1:11" ht="24.75" customHeight="1">
      <c r="A118" s="3">
        <v>115</v>
      </c>
      <c r="B118" s="181" t="str">
        <f>IF(DATA_IMPORT!A116="", "", DATA_IMPORT!A116)</f>
        <v/>
      </c>
      <c r="C118" s="114" t="str">
        <f>IF(DATA_IMPORT!D116="", "", DATA_IMPORT!D116)</f>
        <v/>
      </c>
      <c r="D118" s="298"/>
      <c r="E118" s="298"/>
      <c r="F118" s="298"/>
      <c r="G118" s="298"/>
      <c r="H118" s="111">
        <f t="shared" si="5"/>
        <v>120</v>
      </c>
      <c r="I118" s="78">
        <f t="shared" si="6"/>
        <v>1.15E-9</v>
      </c>
      <c r="J118" s="3" t="str">
        <f t="shared" si="4"/>
        <v>6</v>
      </c>
      <c r="K118" s="4" t="str">
        <f t="shared" si="7"/>
        <v>///</v>
      </c>
    </row>
    <row r="119" spans="1:11" ht="24.75" customHeight="1">
      <c r="A119" s="3">
        <v>116</v>
      </c>
      <c r="B119" s="181" t="str">
        <f>IF(DATA_IMPORT!A117="", "", DATA_IMPORT!A117)</f>
        <v/>
      </c>
      <c r="C119" s="114" t="str">
        <f>IF(DATA_IMPORT!D117="", "", DATA_IMPORT!D117)</f>
        <v/>
      </c>
      <c r="D119" s="298"/>
      <c r="E119" s="298"/>
      <c r="F119" s="298"/>
      <c r="G119" s="298"/>
      <c r="H119" s="111">
        <f t="shared" si="5"/>
        <v>120</v>
      </c>
      <c r="I119" s="78">
        <f t="shared" si="6"/>
        <v>1.1599999999999999E-9</v>
      </c>
      <c r="J119" s="3" t="str">
        <f t="shared" si="4"/>
        <v>5</v>
      </c>
      <c r="K119" s="4" t="str">
        <f t="shared" si="7"/>
        <v>///</v>
      </c>
    </row>
    <row r="120" spans="1:11" ht="24.75" customHeight="1">
      <c r="A120" s="3">
        <v>117</v>
      </c>
      <c r="B120" s="181" t="str">
        <f>IF(DATA_IMPORT!A118="", "", DATA_IMPORT!A118)</f>
        <v/>
      </c>
      <c r="C120" s="114" t="str">
        <f>IF(DATA_IMPORT!D118="", "", DATA_IMPORT!D118)</f>
        <v/>
      </c>
      <c r="D120" s="298"/>
      <c r="E120" s="298"/>
      <c r="F120" s="298"/>
      <c r="G120" s="298"/>
      <c r="H120" s="111">
        <f t="shared" si="5"/>
        <v>120</v>
      </c>
      <c r="I120" s="78">
        <f t="shared" si="6"/>
        <v>1.1700000000000001E-9</v>
      </c>
      <c r="J120" s="3" t="str">
        <f t="shared" si="4"/>
        <v>4</v>
      </c>
      <c r="K120" s="4" t="str">
        <f t="shared" si="7"/>
        <v>///</v>
      </c>
    </row>
    <row r="121" spans="1:11" ht="24.75" customHeight="1">
      <c r="A121" s="3">
        <v>118</v>
      </c>
      <c r="B121" s="181" t="str">
        <f>IF(DATA_IMPORT!A119="", "", DATA_IMPORT!A119)</f>
        <v/>
      </c>
      <c r="C121" s="114" t="str">
        <f>IF(DATA_IMPORT!D119="", "", DATA_IMPORT!D119)</f>
        <v/>
      </c>
      <c r="D121" s="298"/>
      <c r="E121" s="298"/>
      <c r="F121" s="298"/>
      <c r="G121" s="298"/>
      <c r="H121" s="111">
        <f t="shared" si="5"/>
        <v>120</v>
      </c>
      <c r="I121" s="78">
        <f t="shared" si="6"/>
        <v>1.1800000000000001E-9</v>
      </c>
      <c r="J121" s="3" t="str">
        <f t="shared" si="4"/>
        <v>3</v>
      </c>
      <c r="K121" s="4" t="str">
        <f t="shared" si="7"/>
        <v>///</v>
      </c>
    </row>
    <row r="122" spans="1:11" ht="24.75" customHeight="1">
      <c r="A122" s="3">
        <v>119</v>
      </c>
      <c r="B122" s="181" t="str">
        <f>IF(DATA_IMPORT!A120="", "", DATA_IMPORT!A120)</f>
        <v/>
      </c>
      <c r="C122" s="114" t="str">
        <f>IF(DATA_IMPORT!D120="", "", DATA_IMPORT!D120)</f>
        <v/>
      </c>
      <c r="D122" s="298"/>
      <c r="E122" s="298"/>
      <c r="F122" s="298"/>
      <c r="G122" s="298"/>
      <c r="H122" s="111">
        <f t="shared" si="5"/>
        <v>120</v>
      </c>
      <c r="I122" s="78">
        <f t="shared" si="6"/>
        <v>1.19E-9</v>
      </c>
      <c r="J122" s="3" t="str">
        <f t="shared" si="4"/>
        <v>2</v>
      </c>
      <c r="K122" s="4" t="str">
        <f t="shared" si="7"/>
        <v>///</v>
      </c>
    </row>
    <row r="123" spans="1:11" ht="24.75" customHeight="1">
      <c r="A123" s="3">
        <v>120</v>
      </c>
      <c r="B123" s="181" t="str">
        <f>IF(DATA_IMPORT!A121="", "", DATA_IMPORT!A121)</f>
        <v/>
      </c>
      <c r="C123" s="114" t="str">
        <f>IF(DATA_IMPORT!D121="", "", DATA_IMPORT!D121)</f>
        <v/>
      </c>
      <c r="D123" s="298"/>
      <c r="E123" s="298"/>
      <c r="F123" s="298"/>
      <c r="G123" s="298"/>
      <c r="H123" s="111">
        <f t="shared" si="5"/>
        <v>120</v>
      </c>
      <c r="I123" s="78">
        <f t="shared" si="6"/>
        <v>1.2E-9</v>
      </c>
      <c r="J123" s="3" t="str">
        <f t="shared" si="4"/>
        <v>1</v>
      </c>
      <c r="K123" s="4" t="str">
        <f t="shared" si="7"/>
        <v>///</v>
      </c>
    </row>
    <row r="124" spans="1:11" ht="12.75" hidden="1" customHeight="1">
      <c r="B124" s="181" t="str">
        <f>IF(DATA_IMPORT!A122="", "", DATA_IMPORT!A122)</f>
        <v/>
      </c>
      <c r="C124" s="114" t="str">
        <f>IF(DATA_IMPORT!D122="", "", DATA_IMPORT!D122)</f>
        <v/>
      </c>
      <c r="D124" s="112"/>
      <c r="E124" s="112"/>
      <c r="F124" s="112"/>
      <c r="G124" s="112"/>
      <c r="H124" s="72">
        <f t="shared" ref="H69:H132" si="8">IF(D124=0, COUNTIFS($C$4:$C$123, C124, $B$4:$B$123, "&lt;&gt;"), COUNTIFS($C$4:$C$123, C124, $D$4:$D$123, "&gt;"&amp;D124) + 1)</f>
        <v>120</v>
      </c>
      <c r="I124" s="12"/>
      <c r="J124" s="3" t="str">
        <f t="shared" si="4"/>
        <v>1</v>
      </c>
    </row>
    <row r="125" spans="1:11" ht="12.75" hidden="1" customHeight="1">
      <c r="B125" s="181" t="str">
        <f>IF(DATA_IMPORT!A123="", "", DATA_IMPORT!A123)</f>
        <v/>
      </c>
      <c r="C125" s="114" t="str">
        <f>IF(DATA_IMPORT!D123="", "", DATA_IMPORT!D123)</f>
        <v/>
      </c>
      <c r="D125" s="112"/>
      <c r="E125" s="112"/>
      <c r="F125" s="112"/>
      <c r="G125" s="112"/>
      <c r="H125" s="72">
        <f t="shared" si="8"/>
        <v>120</v>
      </c>
      <c r="I125" s="12"/>
      <c r="J125" s="3" t="str">
        <f t="shared" si="4"/>
        <v>1</v>
      </c>
    </row>
    <row r="126" spans="1:11" ht="12.75" hidden="1" customHeight="1">
      <c r="B126" s="181" t="str">
        <f>IF(DATA_IMPORT!A124="", "", DATA_IMPORT!A124)</f>
        <v/>
      </c>
      <c r="C126" s="114" t="str">
        <f>IF(DATA_IMPORT!D124="", "", DATA_IMPORT!D124)</f>
        <v/>
      </c>
      <c r="D126" s="112"/>
      <c r="E126" s="112"/>
      <c r="F126" s="112"/>
      <c r="G126" s="112"/>
      <c r="H126" s="72">
        <f t="shared" si="8"/>
        <v>120</v>
      </c>
      <c r="I126" s="12"/>
      <c r="J126" s="3" t="str">
        <f t="shared" si="4"/>
        <v>1</v>
      </c>
    </row>
    <row r="127" spans="1:11" ht="12.75" hidden="1" customHeight="1">
      <c r="B127" s="181" t="str">
        <f>IF(DATA_IMPORT!A125="", "", DATA_IMPORT!A125)</f>
        <v/>
      </c>
      <c r="C127" s="114" t="str">
        <f>IF(DATA_IMPORT!D125="", "", DATA_IMPORT!D125)</f>
        <v/>
      </c>
      <c r="D127" s="112"/>
      <c r="E127" s="112"/>
      <c r="F127" s="112"/>
      <c r="G127" s="112"/>
      <c r="H127" s="72">
        <f t="shared" si="8"/>
        <v>120</v>
      </c>
      <c r="I127" s="12"/>
      <c r="J127" s="3" t="str">
        <f t="shared" si="4"/>
        <v>1</v>
      </c>
    </row>
    <row r="128" spans="1:11" ht="12.75" hidden="1" customHeight="1">
      <c r="B128" s="181" t="str">
        <f>IF(DATA_IMPORT!A126="", "", DATA_IMPORT!A126)</f>
        <v/>
      </c>
      <c r="C128" s="114" t="str">
        <f>IF(DATA_IMPORT!D126="", "", DATA_IMPORT!D126)</f>
        <v/>
      </c>
      <c r="D128" s="112"/>
      <c r="E128" s="112"/>
      <c r="F128" s="112"/>
      <c r="G128" s="112"/>
      <c r="H128" s="72">
        <f t="shared" si="8"/>
        <v>120</v>
      </c>
      <c r="I128" s="12"/>
      <c r="J128" s="3" t="str">
        <f t="shared" si="4"/>
        <v>1</v>
      </c>
    </row>
    <row r="129" spans="2:10" ht="12.75" hidden="1" customHeight="1">
      <c r="B129" s="181" t="str">
        <f>IF(DATA_IMPORT!A127="", "", DATA_IMPORT!A127)</f>
        <v/>
      </c>
      <c r="C129" s="114" t="str">
        <f>IF(DATA_IMPORT!D127="", "", DATA_IMPORT!D127)</f>
        <v/>
      </c>
      <c r="D129" s="112"/>
      <c r="E129" s="112"/>
      <c r="F129" s="112"/>
      <c r="G129" s="112"/>
      <c r="H129" s="72">
        <f t="shared" si="8"/>
        <v>120</v>
      </c>
      <c r="I129" s="12"/>
      <c r="J129" s="3" t="str">
        <f t="shared" si="4"/>
        <v>1</v>
      </c>
    </row>
    <row r="130" spans="2:10" ht="12.75" hidden="1" customHeight="1">
      <c r="B130" s="181" t="str">
        <f>IF(DATA_IMPORT!A128="", "", DATA_IMPORT!A128)</f>
        <v/>
      </c>
      <c r="C130" s="114" t="str">
        <f>IF(DATA_IMPORT!D128="", "", DATA_IMPORT!D128)</f>
        <v/>
      </c>
      <c r="D130" s="112"/>
      <c r="E130" s="112"/>
      <c r="F130" s="112"/>
      <c r="G130" s="112"/>
      <c r="H130" s="72">
        <f t="shared" si="8"/>
        <v>120</v>
      </c>
      <c r="I130" s="12"/>
      <c r="J130" s="3" t="str">
        <f t="shared" si="4"/>
        <v>1</v>
      </c>
    </row>
    <row r="131" spans="2:10" ht="12.75" hidden="1" customHeight="1">
      <c r="B131" s="181" t="str">
        <f>IF(DATA_IMPORT!A129="", "", DATA_IMPORT!A129)</f>
        <v/>
      </c>
      <c r="C131" s="114" t="str">
        <f>IF(DATA_IMPORT!D129="", "", DATA_IMPORT!D129)</f>
        <v/>
      </c>
      <c r="D131" s="112"/>
      <c r="E131" s="112"/>
      <c r="F131" s="112"/>
      <c r="G131" s="112"/>
      <c r="H131" s="72">
        <f t="shared" si="8"/>
        <v>120</v>
      </c>
      <c r="I131" s="12"/>
      <c r="J131" s="3" t="str">
        <f t="shared" ref="J131:J194" si="9">TRIM(C131) &amp; (COUNTIFS($C$4:$C$123, C131, $I$4:$I$123, "&gt;"&amp;I131) + 1)</f>
        <v>1</v>
      </c>
    </row>
    <row r="132" spans="2:10" ht="12.75" hidden="1" customHeight="1">
      <c r="B132" s="181" t="str">
        <f>IF(DATA_IMPORT!A130="", "", DATA_IMPORT!A130)</f>
        <v/>
      </c>
      <c r="C132" s="114" t="str">
        <f>IF(DATA_IMPORT!D130="", "", DATA_IMPORT!D130)</f>
        <v/>
      </c>
      <c r="D132" s="112"/>
      <c r="E132" s="112"/>
      <c r="F132" s="112"/>
      <c r="G132" s="112"/>
      <c r="H132" s="72">
        <f t="shared" si="8"/>
        <v>120</v>
      </c>
      <c r="I132" s="12"/>
      <c r="J132" s="3" t="str">
        <f t="shared" si="9"/>
        <v>1</v>
      </c>
    </row>
    <row r="133" spans="2:10" ht="12.75" hidden="1" customHeight="1">
      <c r="B133" s="181" t="str">
        <f>IF(DATA_IMPORT!A131="", "", DATA_IMPORT!A131)</f>
        <v/>
      </c>
      <c r="C133" s="114" t="str">
        <f>IF(DATA_IMPORT!D131="", "", DATA_IMPORT!D131)</f>
        <v/>
      </c>
      <c r="D133" s="112"/>
      <c r="E133" s="112"/>
      <c r="F133" s="112"/>
      <c r="G133" s="112"/>
      <c r="H133" s="72">
        <f t="shared" ref="H133:H196" si="10">IF(D133=0, COUNTIFS($C$4:$C$123, C133, $B$4:$B$123, "&lt;&gt;"), COUNTIFS($C$4:$C$123, C133, $D$4:$D$123, "&gt;"&amp;D133) + 1)</f>
        <v>120</v>
      </c>
      <c r="I133" s="12"/>
      <c r="J133" s="3" t="str">
        <f t="shared" si="9"/>
        <v>1</v>
      </c>
    </row>
    <row r="134" spans="2:10" ht="12.75" hidden="1" customHeight="1">
      <c r="B134" s="181" t="str">
        <f>IF(DATA_IMPORT!A132="", "", DATA_IMPORT!A132)</f>
        <v/>
      </c>
      <c r="C134" s="114" t="str">
        <f>IF(DATA_IMPORT!D132="", "", DATA_IMPORT!D132)</f>
        <v/>
      </c>
      <c r="D134" s="112"/>
      <c r="E134" s="112"/>
      <c r="F134" s="112"/>
      <c r="G134" s="112"/>
      <c r="H134" s="72">
        <f t="shared" si="10"/>
        <v>120</v>
      </c>
      <c r="I134" s="12"/>
      <c r="J134" s="3" t="str">
        <f t="shared" si="9"/>
        <v>1</v>
      </c>
    </row>
    <row r="135" spans="2:10" ht="12.75" hidden="1" customHeight="1">
      <c r="B135" s="181" t="str">
        <f>IF(DATA_IMPORT!A133="", "", DATA_IMPORT!A133)</f>
        <v/>
      </c>
      <c r="C135" s="114" t="str">
        <f>IF(DATA_IMPORT!D133="", "", DATA_IMPORT!D133)</f>
        <v/>
      </c>
      <c r="D135" s="112"/>
      <c r="E135" s="112"/>
      <c r="F135" s="112"/>
      <c r="G135" s="112"/>
      <c r="H135" s="72">
        <f t="shared" si="10"/>
        <v>120</v>
      </c>
      <c r="I135" s="12"/>
      <c r="J135" s="3" t="str">
        <f t="shared" si="9"/>
        <v>1</v>
      </c>
    </row>
    <row r="136" spans="2:10" ht="12.75" hidden="1" customHeight="1">
      <c r="B136" s="181" t="str">
        <f>IF(DATA_IMPORT!A134="", "", DATA_IMPORT!A134)</f>
        <v/>
      </c>
      <c r="C136" s="114" t="str">
        <f>IF(DATA_IMPORT!D134="", "", DATA_IMPORT!D134)</f>
        <v/>
      </c>
      <c r="D136" s="112"/>
      <c r="E136" s="112"/>
      <c r="F136" s="112"/>
      <c r="G136" s="112"/>
      <c r="H136" s="72">
        <f t="shared" si="10"/>
        <v>120</v>
      </c>
      <c r="I136" s="12"/>
      <c r="J136" s="3" t="str">
        <f t="shared" si="9"/>
        <v>1</v>
      </c>
    </row>
    <row r="137" spans="2:10" ht="12.75" hidden="1" customHeight="1">
      <c r="B137" s="181" t="str">
        <f>IF(DATA_IMPORT!A135="", "", DATA_IMPORT!A135)</f>
        <v/>
      </c>
      <c r="C137" s="114" t="str">
        <f>IF(DATA_IMPORT!D135="", "", DATA_IMPORT!D135)</f>
        <v/>
      </c>
      <c r="D137" s="112"/>
      <c r="E137" s="112"/>
      <c r="F137" s="112"/>
      <c r="G137" s="112"/>
      <c r="H137" s="72">
        <f t="shared" si="10"/>
        <v>120</v>
      </c>
      <c r="I137" s="12"/>
      <c r="J137" s="3" t="str">
        <f t="shared" si="9"/>
        <v>1</v>
      </c>
    </row>
    <row r="138" spans="2:10" ht="12.75" hidden="1" customHeight="1">
      <c r="B138" s="181" t="str">
        <f>IF(DATA_IMPORT!A136="", "", DATA_IMPORT!A136)</f>
        <v/>
      </c>
      <c r="C138" s="114" t="str">
        <f>IF(DATA_IMPORT!D136="", "", DATA_IMPORT!D136)</f>
        <v/>
      </c>
      <c r="D138" s="112"/>
      <c r="E138" s="112"/>
      <c r="F138" s="112"/>
      <c r="G138" s="112"/>
      <c r="H138" s="72">
        <f t="shared" si="10"/>
        <v>120</v>
      </c>
      <c r="I138" s="12"/>
      <c r="J138" s="3" t="str">
        <f t="shared" si="9"/>
        <v>1</v>
      </c>
    </row>
    <row r="139" spans="2:10" ht="12.75" hidden="1" customHeight="1">
      <c r="B139" s="181" t="str">
        <f>IF(DATA_IMPORT!A137="", "", DATA_IMPORT!A137)</f>
        <v/>
      </c>
      <c r="C139" s="114" t="str">
        <f>IF(DATA_IMPORT!D137="", "", DATA_IMPORT!D137)</f>
        <v/>
      </c>
      <c r="D139" s="112"/>
      <c r="E139" s="112"/>
      <c r="F139" s="112"/>
      <c r="G139" s="112"/>
      <c r="H139" s="72">
        <f t="shared" si="10"/>
        <v>120</v>
      </c>
      <c r="I139" s="12"/>
      <c r="J139" s="3" t="str">
        <f t="shared" si="9"/>
        <v>1</v>
      </c>
    </row>
    <row r="140" spans="2:10" ht="12.75" hidden="1" customHeight="1">
      <c r="B140" s="181" t="str">
        <f>IF(DATA_IMPORT!A138="", "", DATA_IMPORT!A138)</f>
        <v/>
      </c>
      <c r="C140" s="114" t="str">
        <f>IF(DATA_IMPORT!D138="", "", DATA_IMPORT!D138)</f>
        <v/>
      </c>
      <c r="D140" s="112"/>
      <c r="E140" s="112"/>
      <c r="F140" s="112"/>
      <c r="G140" s="112"/>
      <c r="H140" s="72">
        <f t="shared" si="10"/>
        <v>120</v>
      </c>
      <c r="I140" s="12"/>
      <c r="J140" s="3" t="str">
        <f t="shared" si="9"/>
        <v>1</v>
      </c>
    </row>
    <row r="141" spans="2:10" ht="12.75" hidden="1" customHeight="1">
      <c r="B141" s="181" t="str">
        <f>IF(DATA_IMPORT!A139="", "", DATA_IMPORT!A139)</f>
        <v/>
      </c>
      <c r="C141" s="114" t="str">
        <f>IF(DATA_IMPORT!D139="", "", DATA_IMPORT!D139)</f>
        <v/>
      </c>
      <c r="D141" s="33"/>
      <c r="E141" s="33"/>
      <c r="F141" s="33"/>
      <c r="G141" s="33"/>
      <c r="H141" s="72">
        <f t="shared" si="10"/>
        <v>120</v>
      </c>
      <c r="I141" s="12"/>
      <c r="J141" s="3" t="str">
        <f t="shared" si="9"/>
        <v>1</v>
      </c>
    </row>
    <row r="142" spans="2:10" ht="12.75" hidden="1" customHeight="1">
      <c r="B142" s="181" t="str">
        <f>IF(DATA_IMPORT!A140="", "", DATA_IMPORT!A140)</f>
        <v/>
      </c>
      <c r="C142" s="114" t="str">
        <f>IF(DATA_IMPORT!D140="", "", DATA_IMPORT!D140)</f>
        <v/>
      </c>
      <c r="D142" s="33"/>
      <c r="E142" s="33"/>
      <c r="F142" s="33"/>
      <c r="G142" s="33"/>
      <c r="H142" s="72">
        <f t="shared" si="10"/>
        <v>120</v>
      </c>
      <c r="I142" s="12"/>
      <c r="J142" s="3" t="str">
        <f t="shared" si="9"/>
        <v>1</v>
      </c>
    </row>
    <row r="143" spans="2:10" ht="12.75" hidden="1" customHeight="1">
      <c r="B143" s="181" t="str">
        <f>IF(DATA_IMPORT!A141="", "", DATA_IMPORT!A141)</f>
        <v/>
      </c>
      <c r="C143" s="114" t="str">
        <f>IF(DATA_IMPORT!D141="", "", DATA_IMPORT!D141)</f>
        <v/>
      </c>
      <c r="D143" s="33"/>
      <c r="E143" s="33"/>
      <c r="F143" s="33"/>
      <c r="G143" s="33"/>
      <c r="H143" s="72">
        <f t="shared" si="10"/>
        <v>120</v>
      </c>
      <c r="I143" s="12"/>
      <c r="J143" s="3" t="str">
        <f t="shared" si="9"/>
        <v>1</v>
      </c>
    </row>
    <row r="144" spans="2:10" ht="12.75" hidden="1" customHeight="1">
      <c r="B144" s="181" t="str">
        <f>IF(DATA_IMPORT!A142="", "", DATA_IMPORT!A142)</f>
        <v/>
      </c>
      <c r="C144" s="114" t="str">
        <f>IF(DATA_IMPORT!D142="", "", DATA_IMPORT!D142)</f>
        <v/>
      </c>
      <c r="D144" s="33"/>
      <c r="E144" s="33"/>
      <c r="F144" s="33"/>
      <c r="G144" s="33"/>
      <c r="H144" s="72">
        <f t="shared" si="10"/>
        <v>120</v>
      </c>
      <c r="I144" s="12"/>
      <c r="J144" s="3" t="str">
        <f t="shared" si="9"/>
        <v>1</v>
      </c>
    </row>
    <row r="145" spans="2:10" ht="12.75" hidden="1" customHeight="1">
      <c r="B145" s="181" t="str">
        <f>IF(DATA_IMPORT!A143="", "", DATA_IMPORT!A143)</f>
        <v/>
      </c>
      <c r="C145" s="114" t="str">
        <f>IF(DATA_IMPORT!D143="", "", DATA_IMPORT!D143)</f>
        <v/>
      </c>
      <c r="D145" s="33"/>
      <c r="E145" s="33"/>
      <c r="F145" s="33"/>
      <c r="G145" s="33"/>
      <c r="H145" s="72">
        <f t="shared" si="10"/>
        <v>120</v>
      </c>
      <c r="I145" s="12"/>
      <c r="J145" s="3" t="str">
        <f t="shared" si="9"/>
        <v>1</v>
      </c>
    </row>
    <row r="146" spans="2:10" ht="12.75" hidden="1" customHeight="1">
      <c r="B146" s="181" t="str">
        <f>IF(DATA_IMPORT!A144="", "", DATA_IMPORT!A144)</f>
        <v/>
      </c>
      <c r="C146" s="114" t="str">
        <f>IF(DATA_IMPORT!D144="", "", DATA_IMPORT!D144)</f>
        <v/>
      </c>
      <c r="D146" s="33"/>
      <c r="E146" s="33"/>
      <c r="F146" s="33"/>
      <c r="G146" s="33"/>
      <c r="H146" s="72">
        <f t="shared" si="10"/>
        <v>120</v>
      </c>
      <c r="I146" s="12"/>
      <c r="J146" s="3" t="str">
        <f t="shared" si="9"/>
        <v>1</v>
      </c>
    </row>
    <row r="147" spans="2:10" ht="12.75" hidden="1" customHeight="1">
      <c r="B147" s="181" t="str">
        <f>IF(DATA_IMPORT!A145="", "", DATA_IMPORT!A145)</f>
        <v/>
      </c>
      <c r="C147" s="114" t="str">
        <f>IF(DATA_IMPORT!D145="", "", DATA_IMPORT!D145)</f>
        <v/>
      </c>
      <c r="D147" s="33"/>
      <c r="E147" s="33"/>
      <c r="F147" s="33"/>
      <c r="G147" s="33"/>
      <c r="H147" s="72">
        <f t="shared" si="10"/>
        <v>120</v>
      </c>
      <c r="I147" s="12"/>
      <c r="J147" s="3" t="str">
        <f t="shared" si="9"/>
        <v>1</v>
      </c>
    </row>
    <row r="148" spans="2:10" ht="12.75" hidden="1" customHeight="1">
      <c r="B148" s="181" t="str">
        <f>IF(DATA_IMPORT!A146="", "", DATA_IMPORT!A146)</f>
        <v/>
      </c>
      <c r="C148" s="114" t="str">
        <f>IF(DATA_IMPORT!D146="", "", DATA_IMPORT!D146)</f>
        <v/>
      </c>
      <c r="D148" s="33"/>
      <c r="E148" s="33"/>
      <c r="F148" s="33"/>
      <c r="G148" s="33"/>
      <c r="H148" s="72">
        <f t="shared" si="10"/>
        <v>120</v>
      </c>
      <c r="I148" s="12"/>
      <c r="J148" s="3" t="str">
        <f t="shared" si="9"/>
        <v>1</v>
      </c>
    </row>
    <row r="149" spans="2:10" ht="12.75" hidden="1" customHeight="1">
      <c r="B149" s="181" t="str">
        <f>IF(DATA_IMPORT!A147="", "", DATA_IMPORT!A147)</f>
        <v/>
      </c>
      <c r="C149" s="114" t="str">
        <f>IF(DATA_IMPORT!D147="", "", DATA_IMPORT!D147)</f>
        <v/>
      </c>
      <c r="D149" s="33"/>
      <c r="E149" s="33"/>
      <c r="F149" s="33"/>
      <c r="G149" s="33"/>
      <c r="H149" s="72">
        <f t="shared" si="10"/>
        <v>120</v>
      </c>
      <c r="I149" s="12"/>
      <c r="J149" s="3" t="str">
        <f t="shared" si="9"/>
        <v>1</v>
      </c>
    </row>
    <row r="150" spans="2:10" ht="12.75" hidden="1" customHeight="1">
      <c r="B150" s="181" t="str">
        <f>IF(DATA_IMPORT!A148="", "", DATA_IMPORT!A148)</f>
        <v/>
      </c>
      <c r="C150" s="114" t="str">
        <f>IF(DATA_IMPORT!D148="", "", DATA_IMPORT!D148)</f>
        <v/>
      </c>
      <c r="D150" s="33"/>
      <c r="E150" s="33"/>
      <c r="F150" s="33"/>
      <c r="G150" s="33"/>
      <c r="H150" s="72">
        <f t="shared" si="10"/>
        <v>120</v>
      </c>
      <c r="I150" s="12"/>
      <c r="J150" s="3" t="str">
        <f t="shared" si="9"/>
        <v>1</v>
      </c>
    </row>
    <row r="151" spans="2:10" ht="12.75" hidden="1" customHeight="1">
      <c r="B151" s="181" t="str">
        <f>IF(DATA_IMPORT!A149="", "", DATA_IMPORT!A149)</f>
        <v/>
      </c>
      <c r="C151" s="114" t="str">
        <f>IF(DATA_IMPORT!D149="", "", DATA_IMPORT!D149)</f>
        <v/>
      </c>
      <c r="D151" s="33"/>
      <c r="E151" s="33"/>
      <c r="F151" s="33"/>
      <c r="G151" s="33"/>
      <c r="H151" s="72">
        <f t="shared" si="10"/>
        <v>120</v>
      </c>
      <c r="I151" s="12"/>
      <c r="J151" s="3" t="str">
        <f t="shared" si="9"/>
        <v>1</v>
      </c>
    </row>
    <row r="152" spans="2:10" ht="12.75" hidden="1" customHeight="1">
      <c r="B152" s="181" t="str">
        <f>IF(DATA_IMPORT!A150="", "", DATA_IMPORT!A150)</f>
        <v/>
      </c>
      <c r="C152" s="114" t="str">
        <f>IF(DATA_IMPORT!D150="", "", DATA_IMPORT!D150)</f>
        <v/>
      </c>
      <c r="D152" s="33"/>
      <c r="E152" s="33"/>
      <c r="F152" s="33"/>
      <c r="G152" s="33"/>
      <c r="H152" s="72">
        <f t="shared" si="10"/>
        <v>120</v>
      </c>
      <c r="I152" s="12"/>
      <c r="J152" s="3" t="str">
        <f t="shared" si="9"/>
        <v>1</v>
      </c>
    </row>
    <row r="153" spans="2:10" ht="12.75" hidden="1" customHeight="1">
      <c r="B153" s="181" t="str">
        <f>IF(DATA_IMPORT!A151="", "", DATA_IMPORT!A151)</f>
        <v/>
      </c>
      <c r="C153" s="114" t="str">
        <f>IF(DATA_IMPORT!D151="", "", DATA_IMPORT!D151)</f>
        <v/>
      </c>
      <c r="D153" s="33"/>
      <c r="E153" s="33"/>
      <c r="F153" s="33"/>
      <c r="G153" s="33"/>
      <c r="H153" s="72">
        <f t="shared" si="10"/>
        <v>120</v>
      </c>
      <c r="I153" s="12"/>
      <c r="J153" s="3" t="str">
        <f t="shared" si="9"/>
        <v>1</v>
      </c>
    </row>
    <row r="154" spans="2:10" ht="12.75" hidden="1" customHeight="1">
      <c r="B154" s="34"/>
      <c r="C154" s="114" t="str">
        <f>IF(DATA_IMPORT!D152="", "", DATA_IMPORT!D152)</f>
        <v/>
      </c>
      <c r="D154" s="33"/>
      <c r="E154" s="33"/>
      <c r="F154" s="33"/>
      <c r="G154" s="33"/>
      <c r="H154" s="72">
        <f t="shared" si="10"/>
        <v>120</v>
      </c>
      <c r="I154" s="12"/>
      <c r="J154" s="3" t="str">
        <f t="shared" si="9"/>
        <v>1</v>
      </c>
    </row>
    <row r="155" spans="2:10" ht="12.75" hidden="1" customHeight="1">
      <c r="B155" s="34"/>
      <c r="C155" s="114" t="str">
        <f>IF(DATA_IMPORT!D153="", "", DATA_IMPORT!D153)</f>
        <v/>
      </c>
      <c r="D155" s="33"/>
      <c r="E155" s="33"/>
      <c r="F155" s="33"/>
      <c r="G155" s="33"/>
      <c r="H155" s="72">
        <f t="shared" si="10"/>
        <v>120</v>
      </c>
      <c r="I155" s="12"/>
      <c r="J155" s="3" t="str">
        <f t="shared" si="9"/>
        <v>1</v>
      </c>
    </row>
    <row r="156" spans="2:10" ht="12.75" hidden="1" customHeight="1">
      <c r="B156" s="34"/>
      <c r="C156" s="114" t="str">
        <f>IF(DATA_IMPORT!D154="", "", DATA_IMPORT!D154)</f>
        <v/>
      </c>
      <c r="D156" s="33"/>
      <c r="E156" s="33"/>
      <c r="F156" s="33"/>
      <c r="G156" s="33"/>
      <c r="H156" s="72">
        <f t="shared" si="10"/>
        <v>120</v>
      </c>
      <c r="I156" s="12"/>
      <c r="J156" s="3" t="str">
        <f t="shared" si="9"/>
        <v>1</v>
      </c>
    </row>
    <row r="157" spans="2:10" ht="12.75" hidden="1" customHeight="1">
      <c r="B157" s="34"/>
      <c r="C157" s="10"/>
      <c r="D157" s="33"/>
      <c r="E157" s="33"/>
      <c r="F157" s="33"/>
      <c r="G157" s="33"/>
      <c r="H157" s="72">
        <f t="shared" si="10"/>
        <v>0</v>
      </c>
      <c r="I157" s="12"/>
      <c r="J157" s="3" t="str">
        <f t="shared" si="9"/>
        <v>1</v>
      </c>
    </row>
    <row r="158" spans="2:10" ht="12.75" hidden="1" customHeight="1">
      <c r="B158" s="34"/>
      <c r="C158" s="10"/>
      <c r="D158" s="33"/>
      <c r="E158" s="33"/>
      <c r="F158" s="33"/>
      <c r="G158" s="33"/>
      <c r="H158" s="72">
        <f t="shared" si="10"/>
        <v>0</v>
      </c>
      <c r="I158" s="12"/>
      <c r="J158" s="3" t="str">
        <f t="shared" si="9"/>
        <v>1</v>
      </c>
    </row>
    <row r="159" spans="2:10" ht="12.75" hidden="1" customHeight="1">
      <c r="B159" s="34"/>
      <c r="C159" s="10"/>
      <c r="D159" s="33"/>
      <c r="E159" s="33"/>
      <c r="F159" s="33"/>
      <c r="G159" s="33"/>
      <c r="H159" s="72">
        <f t="shared" si="10"/>
        <v>0</v>
      </c>
      <c r="I159" s="12"/>
      <c r="J159" s="3" t="str">
        <f t="shared" si="9"/>
        <v>1</v>
      </c>
    </row>
    <row r="160" spans="2:10" ht="12.75" hidden="1" customHeight="1">
      <c r="B160" s="34"/>
      <c r="C160" s="10"/>
      <c r="D160" s="33"/>
      <c r="E160" s="33"/>
      <c r="F160" s="33"/>
      <c r="G160" s="33"/>
      <c r="H160" s="72">
        <f t="shared" si="10"/>
        <v>0</v>
      </c>
      <c r="I160" s="12"/>
      <c r="J160" s="3" t="str">
        <f t="shared" si="9"/>
        <v>1</v>
      </c>
    </row>
    <row r="161" spans="2:10" ht="12.75" hidden="1" customHeight="1">
      <c r="B161" s="34"/>
      <c r="C161" s="10"/>
      <c r="D161" s="33"/>
      <c r="E161" s="33"/>
      <c r="F161" s="33"/>
      <c r="G161" s="33"/>
      <c r="H161" s="72">
        <f t="shared" si="10"/>
        <v>0</v>
      </c>
      <c r="I161" s="12"/>
      <c r="J161" s="3" t="str">
        <f t="shared" si="9"/>
        <v>1</v>
      </c>
    </row>
    <row r="162" spans="2:10" ht="12.75" hidden="1" customHeight="1">
      <c r="B162" s="34"/>
      <c r="C162" s="10"/>
      <c r="D162" s="33"/>
      <c r="E162" s="33"/>
      <c r="F162" s="33"/>
      <c r="G162" s="33"/>
      <c r="H162" s="72">
        <f t="shared" si="10"/>
        <v>0</v>
      </c>
      <c r="I162" s="12"/>
      <c r="J162" s="3" t="str">
        <f t="shared" si="9"/>
        <v>1</v>
      </c>
    </row>
    <row r="163" spans="2:10" ht="12.75" hidden="1" customHeight="1">
      <c r="B163" s="34"/>
      <c r="C163" s="10"/>
      <c r="D163" s="33"/>
      <c r="E163" s="33"/>
      <c r="F163" s="33"/>
      <c r="G163" s="33"/>
      <c r="H163" s="72">
        <f t="shared" si="10"/>
        <v>0</v>
      </c>
      <c r="I163" s="12"/>
      <c r="J163" s="3" t="str">
        <f t="shared" si="9"/>
        <v>1</v>
      </c>
    </row>
    <row r="164" spans="2:10" ht="12.75" hidden="1" customHeight="1">
      <c r="B164" s="34"/>
      <c r="C164" s="10"/>
      <c r="D164" s="33"/>
      <c r="E164" s="33"/>
      <c r="F164" s="33"/>
      <c r="G164" s="33"/>
      <c r="H164" s="72">
        <f t="shared" si="10"/>
        <v>0</v>
      </c>
      <c r="I164" s="12"/>
      <c r="J164" s="3" t="str">
        <f t="shared" si="9"/>
        <v>1</v>
      </c>
    </row>
    <row r="165" spans="2:10" ht="12.75" hidden="1" customHeight="1">
      <c r="B165" s="34"/>
      <c r="C165" s="10"/>
      <c r="D165" s="33"/>
      <c r="E165" s="33"/>
      <c r="F165" s="33"/>
      <c r="G165" s="33"/>
      <c r="H165" s="72">
        <f t="shared" si="10"/>
        <v>0</v>
      </c>
      <c r="I165" s="12"/>
      <c r="J165" s="3" t="str">
        <f t="shared" si="9"/>
        <v>1</v>
      </c>
    </row>
    <row r="166" spans="2:10" ht="12.75" hidden="1" customHeight="1">
      <c r="B166" s="34"/>
      <c r="C166" s="10"/>
      <c r="D166" s="33"/>
      <c r="E166" s="33"/>
      <c r="F166" s="33"/>
      <c r="G166" s="33"/>
      <c r="H166" s="72">
        <f t="shared" si="10"/>
        <v>0</v>
      </c>
      <c r="I166" s="12"/>
      <c r="J166" s="3" t="str">
        <f t="shared" si="9"/>
        <v>1</v>
      </c>
    </row>
    <row r="167" spans="2:10" ht="12.75" hidden="1" customHeight="1">
      <c r="B167" s="34"/>
      <c r="C167" s="10"/>
      <c r="D167" s="33"/>
      <c r="E167" s="33"/>
      <c r="F167" s="33"/>
      <c r="G167" s="33"/>
      <c r="H167" s="72">
        <f t="shared" si="10"/>
        <v>0</v>
      </c>
      <c r="I167" s="12"/>
      <c r="J167" s="3" t="str">
        <f t="shared" si="9"/>
        <v>1</v>
      </c>
    </row>
    <row r="168" spans="2:10" ht="12.75" hidden="1" customHeight="1">
      <c r="B168" s="34"/>
      <c r="C168" s="10"/>
      <c r="D168" s="33"/>
      <c r="E168" s="33"/>
      <c r="F168" s="33"/>
      <c r="G168" s="33"/>
      <c r="H168" s="72">
        <f t="shared" si="10"/>
        <v>0</v>
      </c>
      <c r="I168" s="12"/>
      <c r="J168" s="3" t="str">
        <f t="shared" si="9"/>
        <v>1</v>
      </c>
    </row>
    <row r="169" spans="2:10" ht="12.75" hidden="1" customHeight="1">
      <c r="B169" s="34"/>
      <c r="C169" s="10"/>
      <c r="D169" s="33"/>
      <c r="E169" s="33"/>
      <c r="F169" s="33"/>
      <c r="G169" s="33"/>
      <c r="H169" s="72">
        <f t="shared" si="10"/>
        <v>0</v>
      </c>
      <c r="I169" s="12"/>
      <c r="J169" s="3" t="str">
        <f t="shared" si="9"/>
        <v>1</v>
      </c>
    </row>
    <row r="170" spans="2:10" ht="12.75" hidden="1" customHeight="1">
      <c r="B170" s="34"/>
      <c r="C170" s="10"/>
      <c r="D170" s="33"/>
      <c r="E170" s="33"/>
      <c r="F170" s="33"/>
      <c r="G170" s="33"/>
      <c r="H170" s="72">
        <f t="shared" si="10"/>
        <v>0</v>
      </c>
      <c r="I170" s="12"/>
      <c r="J170" s="3" t="str">
        <f t="shared" si="9"/>
        <v>1</v>
      </c>
    </row>
    <row r="171" spans="2:10" ht="12.75" hidden="1" customHeight="1">
      <c r="B171" s="34"/>
      <c r="C171" s="10"/>
      <c r="D171" s="33"/>
      <c r="E171" s="33"/>
      <c r="F171" s="33"/>
      <c r="G171" s="33"/>
      <c r="H171" s="72">
        <f t="shared" si="10"/>
        <v>0</v>
      </c>
      <c r="I171" s="12"/>
      <c r="J171" s="3" t="str">
        <f t="shared" si="9"/>
        <v>1</v>
      </c>
    </row>
    <row r="172" spans="2:10" ht="12.75" hidden="1" customHeight="1">
      <c r="B172" s="34"/>
      <c r="C172" s="10"/>
      <c r="D172" s="33"/>
      <c r="E172" s="33"/>
      <c r="F172" s="33"/>
      <c r="G172" s="33"/>
      <c r="H172" s="72">
        <f t="shared" si="10"/>
        <v>0</v>
      </c>
      <c r="I172" s="12"/>
      <c r="J172" s="3" t="str">
        <f t="shared" si="9"/>
        <v>1</v>
      </c>
    </row>
    <row r="173" spans="2:10" ht="12.75" hidden="1" customHeight="1">
      <c r="B173" s="34"/>
      <c r="C173" s="10"/>
      <c r="D173" s="33"/>
      <c r="E173" s="33"/>
      <c r="F173" s="33"/>
      <c r="G173" s="33"/>
      <c r="H173" s="72">
        <f t="shared" si="10"/>
        <v>0</v>
      </c>
      <c r="I173" s="12"/>
      <c r="J173" s="3" t="str">
        <f t="shared" si="9"/>
        <v>1</v>
      </c>
    </row>
    <row r="174" spans="2:10" ht="12.75" hidden="1" customHeight="1">
      <c r="B174" s="34"/>
      <c r="C174" s="10"/>
      <c r="D174" s="33"/>
      <c r="E174" s="33"/>
      <c r="F174" s="33"/>
      <c r="G174" s="33"/>
      <c r="H174" s="72">
        <f t="shared" si="10"/>
        <v>0</v>
      </c>
      <c r="I174" s="12"/>
      <c r="J174" s="3" t="str">
        <f t="shared" si="9"/>
        <v>1</v>
      </c>
    </row>
    <row r="175" spans="2:10" ht="12.75" hidden="1" customHeight="1">
      <c r="B175" s="34"/>
      <c r="C175" s="10"/>
      <c r="D175" s="33"/>
      <c r="E175" s="33"/>
      <c r="F175" s="33"/>
      <c r="G175" s="33"/>
      <c r="H175" s="72">
        <f t="shared" si="10"/>
        <v>0</v>
      </c>
      <c r="I175" s="12"/>
      <c r="J175" s="3" t="str">
        <f t="shared" si="9"/>
        <v>1</v>
      </c>
    </row>
    <row r="176" spans="2:10" ht="12.75" hidden="1" customHeight="1">
      <c r="B176" s="34"/>
      <c r="C176" s="10"/>
      <c r="D176" s="33"/>
      <c r="E176" s="33"/>
      <c r="F176" s="33"/>
      <c r="G176" s="33"/>
      <c r="H176" s="72">
        <f t="shared" si="10"/>
        <v>0</v>
      </c>
      <c r="I176" s="12"/>
      <c r="J176" s="3" t="str">
        <f t="shared" si="9"/>
        <v>1</v>
      </c>
    </row>
    <row r="177" spans="2:10" ht="12.75" hidden="1" customHeight="1">
      <c r="B177" s="34"/>
      <c r="C177" s="10"/>
      <c r="D177" s="33"/>
      <c r="E177" s="33"/>
      <c r="F177" s="33"/>
      <c r="G177" s="33"/>
      <c r="H177" s="72">
        <f t="shared" si="10"/>
        <v>0</v>
      </c>
      <c r="I177" s="12"/>
      <c r="J177" s="3" t="str">
        <f t="shared" si="9"/>
        <v>1</v>
      </c>
    </row>
    <row r="178" spans="2:10" ht="12.75" hidden="1" customHeight="1">
      <c r="B178" s="34"/>
      <c r="C178" s="10"/>
      <c r="D178" s="33"/>
      <c r="E178" s="33"/>
      <c r="F178" s="33"/>
      <c r="G178" s="33"/>
      <c r="H178" s="72">
        <f t="shared" si="10"/>
        <v>0</v>
      </c>
      <c r="I178" s="12"/>
      <c r="J178" s="3" t="str">
        <f t="shared" si="9"/>
        <v>1</v>
      </c>
    </row>
    <row r="179" spans="2:10" ht="12.75" hidden="1" customHeight="1">
      <c r="B179" s="34"/>
      <c r="C179" s="10"/>
      <c r="D179" s="33"/>
      <c r="E179" s="33"/>
      <c r="F179" s="33"/>
      <c r="G179" s="33"/>
      <c r="H179" s="72">
        <f t="shared" si="10"/>
        <v>0</v>
      </c>
      <c r="I179" s="12"/>
      <c r="J179" s="3" t="str">
        <f t="shared" si="9"/>
        <v>1</v>
      </c>
    </row>
    <row r="180" spans="2:10" ht="12.75" hidden="1" customHeight="1">
      <c r="B180" s="34"/>
      <c r="C180" s="10"/>
      <c r="D180" s="33"/>
      <c r="E180" s="33"/>
      <c r="F180" s="33"/>
      <c r="G180" s="33"/>
      <c r="H180" s="72">
        <f t="shared" si="10"/>
        <v>0</v>
      </c>
      <c r="I180" s="12"/>
      <c r="J180" s="3" t="str">
        <f t="shared" si="9"/>
        <v>1</v>
      </c>
    </row>
    <row r="181" spans="2:10" ht="12.75" hidden="1" customHeight="1">
      <c r="B181" s="34"/>
      <c r="C181" s="10"/>
      <c r="D181" s="33"/>
      <c r="E181" s="33"/>
      <c r="F181" s="33"/>
      <c r="G181" s="33"/>
      <c r="H181" s="72">
        <f t="shared" si="10"/>
        <v>0</v>
      </c>
      <c r="I181" s="12"/>
      <c r="J181" s="3" t="str">
        <f t="shared" si="9"/>
        <v>1</v>
      </c>
    </row>
    <row r="182" spans="2:10" ht="12.75" hidden="1" customHeight="1">
      <c r="B182" s="34"/>
      <c r="C182" s="10"/>
      <c r="D182" s="33"/>
      <c r="E182" s="33"/>
      <c r="F182" s="33"/>
      <c r="G182" s="33"/>
      <c r="H182" s="72">
        <f t="shared" si="10"/>
        <v>0</v>
      </c>
      <c r="I182" s="12"/>
      <c r="J182" s="3" t="str">
        <f t="shared" si="9"/>
        <v>1</v>
      </c>
    </row>
    <row r="183" spans="2:10" ht="12.75" hidden="1" customHeight="1">
      <c r="B183" s="34"/>
      <c r="C183" s="10"/>
      <c r="D183" s="33"/>
      <c r="E183" s="33"/>
      <c r="F183" s="33"/>
      <c r="G183" s="33"/>
      <c r="H183" s="72">
        <f t="shared" si="10"/>
        <v>0</v>
      </c>
      <c r="I183" s="12"/>
      <c r="J183" s="3" t="str">
        <f t="shared" si="9"/>
        <v>1</v>
      </c>
    </row>
    <row r="184" spans="2:10" ht="12.75" hidden="1" customHeight="1">
      <c r="B184" s="34"/>
      <c r="C184" s="10"/>
      <c r="D184" s="33"/>
      <c r="E184" s="33"/>
      <c r="F184" s="33"/>
      <c r="G184" s="33"/>
      <c r="H184" s="72">
        <f t="shared" si="10"/>
        <v>0</v>
      </c>
      <c r="I184" s="12"/>
      <c r="J184" s="3" t="str">
        <f t="shared" si="9"/>
        <v>1</v>
      </c>
    </row>
    <row r="185" spans="2:10" ht="12.75" hidden="1" customHeight="1">
      <c r="B185" s="34"/>
      <c r="C185" s="10"/>
      <c r="D185" s="33"/>
      <c r="E185" s="33"/>
      <c r="F185" s="33"/>
      <c r="G185" s="33"/>
      <c r="H185" s="72">
        <f t="shared" si="10"/>
        <v>0</v>
      </c>
      <c r="I185" s="12"/>
      <c r="J185" s="3" t="str">
        <f t="shared" si="9"/>
        <v>1</v>
      </c>
    </row>
    <row r="186" spans="2:10" ht="12.75" hidden="1" customHeight="1">
      <c r="B186" s="34"/>
      <c r="C186" s="10"/>
      <c r="D186" s="33"/>
      <c r="E186" s="33"/>
      <c r="F186" s="33"/>
      <c r="G186" s="33"/>
      <c r="H186" s="72">
        <f t="shared" si="10"/>
        <v>0</v>
      </c>
      <c r="I186" s="12"/>
      <c r="J186" s="3" t="str">
        <f t="shared" si="9"/>
        <v>1</v>
      </c>
    </row>
    <row r="187" spans="2:10" ht="12.75" hidden="1" customHeight="1">
      <c r="B187" s="34"/>
      <c r="C187" s="10"/>
      <c r="D187" s="33"/>
      <c r="E187" s="33"/>
      <c r="F187" s="33"/>
      <c r="G187" s="33"/>
      <c r="H187" s="72">
        <f t="shared" si="10"/>
        <v>0</v>
      </c>
      <c r="I187" s="12"/>
      <c r="J187" s="3" t="str">
        <f t="shared" si="9"/>
        <v>1</v>
      </c>
    </row>
    <row r="188" spans="2:10" ht="12.75" hidden="1" customHeight="1">
      <c r="B188" s="34"/>
      <c r="C188" s="10"/>
      <c r="D188" s="33"/>
      <c r="E188" s="33"/>
      <c r="F188" s="33"/>
      <c r="G188" s="33"/>
      <c r="H188" s="72">
        <f t="shared" si="10"/>
        <v>0</v>
      </c>
      <c r="I188" s="12"/>
      <c r="J188" s="3" t="str">
        <f t="shared" si="9"/>
        <v>1</v>
      </c>
    </row>
    <row r="189" spans="2:10" ht="12.75" hidden="1" customHeight="1">
      <c r="B189" s="34"/>
      <c r="C189" s="10"/>
      <c r="D189" s="33"/>
      <c r="E189" s="33"/>
      <c r="F189" s="33"/>
      <c r="G189" s="33"/>
      <c r="H189" s="72">
        <f t="shared" si="10"/>
        <v>0</v>
      </c>
      <c r="I189" s="12"/>
      <c r="J189" s="3" t="str">
        <f t="shared" si="9"/>
        <v>1</v>
      </c>
    </row>
    <row r="190" spans="2:10" ht="12.75" hidden="1" customHeight="1">
      <c r="B190" s="34"/>
      <c r="C190" s="10"/>
      <c r="D190" s="33"/>
      <c r="E190" s="33"/>
      <c r="F190" s="33"/>
      <c r="G190" s="33"/>
      <c r="H190" s="72">
        <f t="shared" si="10"/>
        <v>0</v>
      </c>
      <c r="I190" s="12"/>
      <c r="J190" s="3" t="str">
        <f t="shared" si="9"/>
        <v>1</v>
      </c>
    </row>
    <row r="191" spans="2:10" ht="12.75" hidden="1" customHeight="1">
      <c r="B191" s="34"/>
      <c r="C191" s="10"/>
      <c r="D191" s="33"/>
      <c r="E191" s="33"/>
      <c r="F191" s="33"/>
      <c r="G191" s="33"/>
      <c r="H191" s="72">
        <f t="shared" si="10"/>
        <v>0</v>
      </c>
      <c r="I191" s="12"/>
      <c r="J191" s="3" t="str">
        <f t="shared" si="9"/>
        <v>1</v>
      </c>
    </row>
    <row r="192" spans="2:10" ht="12.75" hidden="1" customHeight="1">
      <c r="B192" s="34"/>
      <c r="C192" s="10"/>
      <c r="D192" s="33"/>
      <c r="E192" s="33"/>
      <c r="F192" s="33"/>
      <c r="G192" s="33"/>
      <c r="H192" s="72">
        <f t="shared" si="10"/>
        <v>0</v>
      </c>
      <c r="I192" s="12"/>
      <c r="J192" s="3" t="str">
        <f t="shared" si="9"/>
        <v>1</v>
      </c>
    </row>
    <row r="193" spans="2:10" ht="12.75" hidden="1" customHeight="1">
      <c r="B193" s="34"/>
      <c r="C193" s="10"/>
      <c r="D193" s="33"/>
      <c r="E193" s="33"/>
      <c r="F193" s="33"/>
      <c r="G193" s="33"/>
      <c r="H193" s="72">
        <f t="shared" si="10"/>
        <v>0</v>
      </c>
      <c r="I193" s="12"/>
      <c r="J193" s="3" t="str">
        <f t="shared" si="9"/>
        <v>1</v>
      </c>
    </row>
    <row r="194" spans="2:10" ht="12.75" hidden="1" customHeight="1">
      <c r="B194" s="34"/>
      <c r="C194" s="10"/>
      <c r="D194" s="33"/>
      <c r="E194" s="33"/>
      <c r="F194" s="33"/>
      <c r="G194" s="33"/>
      <c r="H194" s="72">
        <f t="shared" si="10"/>
        <v>0</v>
      </c>
      <c r="I194" s="12"/>
      <c r="J194" s="3" t="str">
        <f t="shared" si="9"/>
        <v>1</v>
      </c>
    </row>
    <row r="195" spans="2:10" ht="12.75" hidden="1" customHeight="1">
      <c r="B195" s="34"/>
      <c r="C195" s="10"/>
      <c r="D195" s="33"/>
      <c r="E195" s="33"/>
      <c r="F195" s="33"/>
      <c r="G195" s="33"/>
      <c r="H195" s="72">
        <f t="shared" si="10"/>
        <v>0</v>
      </c>
      <c r="I195" s="12"/>
      <c r="J195" s="3" t="str">
        <f t="shared" ref="J195:J258" si="11">TRIM(C195) &amp; (COUNTIFS($C$4:$C$123, C195, $I$4:$I$123, "&gt;"&amp;I195) + 1)</f>
        <v>1</v>
      </c>
    </row>
    <row r="196" spans="2:10" ht="12.75" hidden="1" customHeight="1">
      <c r="B196" s="34"/>
      <c r="C196" s="10"/>
      <c r="D196" s="33"/>
      <c r="E196" s="33"/>
      <c r="F196" s="33"/>
      <c r="G196" s="33"/>
      <c r="H196" s="72">
        <f t="shared" si="10"/>
        <v>0</v>
      </c>
      <c r="I196" s="12"/>
      <c r="J196" s="3" t="str">
        <f t="shared" si="11"/>
        <v>1</v>
      </c>
    </row>
    <row r="197" spans="2:10" ht="12.75" hidden="1" customHeight="1">
      <c r="B197" s="34"/>
      <c r="C197" s="10"/>
      <c r="D197" s="33"/>
      <c r="E197" s="33"/>
      <c r="F197" s="33"/>
      <c r="G197" s="33"/>
      <c r="H197" s="72">
        <f t="shared" ref="H197:H260" si="12">IF(D197=0, COUNTIFS($C$4:$C$123, C197, $B$4:$B$123, "&lt;&gt;"), COUNTIFS($C$4:$C$123, C197, $D$4:$D$123, "&gt;"&amp;D197) + 1)</f>
        <v>0</v>
      </c>
      <c r="I197" s="12"/>
      <c r="J197" s="3" t="str">
        <f t="shared" si="11"/>
        <v>1</v>
      </c>
    </row>
    <row r="198" spans="2:10" ht="12.75" hidden="1" customHeight="1">
      <c r="B198" s="34"/>
      <c r="C198" s="10"/>
      <c r="D198" s="33"/>
      <c r="E198" s="33"/>
      <c r="F198" s="33"/>
      <c r="G198" s="33"/>
      <c r="H198" s="72">
        <f t="shared" si="12"/>
        <v>0</v>
      </c>
      <c r="I198" s="12"/>
      <c r="J198" s="3" t="str">
        <f t="shared" si="11"/>
        <v>1</v>
      </c>
    </row>
    <row r="199" spans="2:10" ht="12.75" hidden="1" customHeight="1">
      <c r="B199" s="34"/>
      <c r="C199" s="10"/>
      <c r="D199" s="33"/>
      <c r="E199" s="33"/>
      <c r="F199" s="33"/>
      <c r="G199" s="33"/>
      <c r="H199" s="72">
        <f t="shared" si="12"/>
        <v>0</v>
      </c>
      <c r="I199" s="12"/>
      <c r="J199" s="3" t="str">
        <f t="shared" si="11"/>
        <v>1</v>
      </c>
    </row>
    <row r="200" spans="2:10" ht="12.75" hidden="1" customHeight="1">
      <c r="B200" s="34"/>
      <c r="C200" s="10"/>
      <c r="D200" s="33"/>
      <c r="E200" s="33"/>
      <c r="F200" s="33"/>
      <c r="G200" s="33"/>
      <c r="H200" s="72">
        <f t="shared" si="12"/>
        <v>0</v>
      </c>
      <c r="I200" s="12"/>
      <c r="J200" s="3" t="str">
        <f t="shared" si="11"/>
        <v>1</v>
      </c>
    </row>
    <row r="201" spans="2:10" ht="12.75" hidden="1" customHeight="1">
      <c r="B201" s="34"/>
      <c r="C201" s="10"/>
      <c r="D201" s="33"/>
      <c r="E201" s="33"/>
      <c r="F201" s="33"/>
      <c r="G201" s="33"/>
      <c r="H201" s="72">
        <f t="shared" si="12"/>
        <v>0</v>
      </c>
      <c r="I201" s="12"/>
      <c r="J201" s="3" t="str">
        <f t="shared" si="11"/>
        <v>1</v>
      </c>
    </row>
    <row r="202" spans="2:10" ht="12.75" hidden="1" customHeight="1">
      <c r="B202" s="34"/>
      <c r="C202" s="10"/>
      <c r="D202" s="33"/>
      <c r="E202" s="33"/>
      <c r="F202" s="33"/>
      <c r="G202" s="33"/>
      <c r="H202" s="72">
        <f t="shared" si="12"/>
        <v>0</v>
      </c>
      <c r="I202" s="12"/>
      <c r="J202" s="3" t="str">
        <f t="shared" si="11"/>
        <v>1</v>
      </c>
    </row>
    <row r="203" spans="2:10" ht="12.75" hidden="1" customHeight="1">
      <c r="B203" s="34"/>
      <c r="C203" s="10"/>
      <c r="D203" s="33"/>
      <c r="E203" s="33"/>
      <c r="F203" s="33"/>
      <c r="G203" s="33"/>
      <c r="H203" s="72">
        <f t="shared" si="12"/>
        <v>0</v>
      </c>
      <c r="I203" s="12"/>
      <c r="J203" s="3" t="str">
        <f t="shared" si="11"/>
        <v>1</v>
      </c>
    </row>
    <row r="204" spans="2:10" ht="12.75" hidden="1" customHeight="1">
      <c r="B204" s="34"/>
      <c r="C204" s="10"/>
      <c r="D204" s="33"/>
      <c r="E204" s="33"/>
      <c r="F204" s="33"/>
      <c r="G204" s="33"/>
      <c r="H204" s="72">
        <f t="shared" si="12"/>
        <v>0</v>
      </c>
      <c r="I204" s="12"/>
      <c r="J204" s="3" t="str">
        <f t="shared" si="11"/>
        <v>1</v>
      </c>
    </row>
    <row r="205" spans="2:10" ht="12.75" hidden="1" customHeight="1">
      <c r="B205" s="34"/>
      <c r="C205" s="10"/>
      <c r="D205" s="33"/>
      <c r="E205" s="33"/>
      <c r="F205" s="33"/>
      <c r="G205" s="33"/>
      <c r="H205" s="72">
        <f t="shared" si="12"/>
        <v>0</v>
      </c>
      <c r="I205" s="12"/>
      <c r="J205" s="3" t="str">
        <f t="shared" si="11"/>
        <v>1</v>
      </c>
    </row>
    <row r="206" spans="2:10" ht="12.75" hidden="1" customHeight="1">
      <c r="B206" s="34"/>
      <c r="C206" s="10"/>
      <c r="D206" s="33"/>
      <c r="E206" s="33"/>
      <c r="F206" s="33"/>
      <c r="G206" s="33"/>
      <c r="H206" s="72">
        <f t="shared" si="12"/>
        <v>0</v>
      </c>
      <c r="I206" s="12"/>
      <c r="J206" s="3" t="str">
        <f t="shared" si="11"/>
        <v>1</v>
      </c>
    </row>
    <row r="207" spans="2:10" ht="12.75" hidden="1" customHeight="1">
      <c r="B207" s="34"/>
      <c r="C207" s="10"/>
      <c r="D207" s="33"/>
      <c r="E207" s="33"/>
      <c r="F207" s="33"/>
      <c r="G207" s="33"/>
      <c r="H207" s="72">
        <f t="shared" si="12"/>
        <v>0</v>
      </c>
      <c r="I207" s="12"/>
      <c r="J207" s="3" t="str">
        <f t="shared" si="11"/>
        <v>1</v>
      </c>
    </row>
    <row r="208" spans="2:10" ht="12.75" hidden="1" customHeight="1">
      <c r="B208" s="34"/>
      <c r="C208" s="10"/>
      <c r="D208" s="33"/>
      <c r="E208" s="33"/>
      <c r="F208" s="33"/>
      <c r="G208" s="33"/>
      <c r="H208" s="72">
        <f t="shared" si="12"/>
        <v>0</v>
      </c>
      <c r="I208" s="12"/>
      <c r="J208" s="3" t="str">
        <f t="shared" si="11"/>
        <v>1</v>
      </c>
    </row>
    <row r="209" spans="2:10" ht="12.75" hidden="1" customHeight="1">
      <c r="B209" s="34"/>
      <c r="C209" s="10"/>
      <c r="D209" s="33"/>
      <c r="E209" s="33"/>
      <c r="F209" s="33"/>
      <c r="G209" s="33"/>
      <c r="H209" s="72">
        <f t="shared" si="12"/>
        <v>0</v>
      </c>
      <c r="I209" s="12"/>
      <c r="J209" s="3" t="str">
        <f t="shared" si="11"/>
        <v>1</v>
      </c>
    </row>
    <row r="210" spans="2:10" ht="12.75" hidden="1" customHeight="1">
      <c r="B210" s="34"/>
      <c r="C210" s="10"/>
      <c r="D210" s="33"/>
      <c r="E210" s="33"/>
      <c r="F210" s="33"/>
      <c r="G210" s="33"/>
      <c r="H210" s="72">
        <f t="shared" si="12"/>
        <v>0</v>
      </c>
      <c r="I210" s="12"/>
      <c r="J210" s="3" t="str">
        <f t="shared" si="11"/>
        <v>1</v>
      </c>
    </row>
    <row r="211" spans="2:10" ht="12.75" hidden="1" customHeight="1">
      <c r="B211" s="34"/>
      <c r="C211" s="10"/>
      <c r="D211" s="33"/>
      <c r="E211" s="33"/>
      <c r="F211" s="33"/>
      <c r="G211" s="33"/>
      <c r="H211" s="72">
        <f t="shared" si="12"/>
        <v>0</v>
      </c>
      <c r="I211" s="12"/>
      <c r="J211" s="3" t="str">
        <f t="shared" si="11"/>
        <v>1</v>
      </c>
    </row>
    <row r="212" spans="2:10" ht="12.75" hidden="1" customHeight="1">
      <c r="B212" s="34"/>
      <c r="C212" s="10"/>
      <c r="D212" s="33"/>
      <c r="E212" s="33"/>
      <c r="F212" s="33"/>
      <c r="G212" s="33"/>
      <c r="H212" s="72">
        <f t="shared" si="12"/>
        <v>0</v>
      </c>
      <c r="I212" s="12"/>
      <c r="J212" s="3" t="str">
        <f t="shared" si="11"/>
        <v>1</v>
      </c>
    </row>
    <row r="213" spans="2:10" ht="12.75" hidden="1" customHeight="1">
      <c r="B213" s="34"/>
      <c r="C213" s="10"/>
      <c r="D213" s="33"/>
      <c r="E213" s="33"/>
      <c r="F213" s="33"/>
      <c r="G213" s="33"/>
      <c r="H213" s="72">
        <f t="shared" si="12"/>
        <v>0</v>
      </c>
      <c r="I213" s="12"/>
      <c r="J213" s="3" t="str">
        <f t="shared" si="11"/>
        <v>1</v>
      </c>
    </row>
    <row r="214" spans="2:10" ht="12.75" hidden="1" customHeight="1">
      <c r="B214" s="34"/>
      <c r="C214" s="10"/>
      <c r="D214" s="33"/>
      <c r="E214" s="33"/>
      <c r="F214" s="33"/>
      <c r="G214" s="33"/>
      <c r="H214" s="72">
        <f t="shared" si="12"/>
        <v>0</v>
      </c>
      <c r="I214" s="12"/>
      <c r="J214" s="3" t="str">
        <f t="shared" si="11"/>
        <v>1</v>
      </c>
    </row>
    <row r="215" spans="2:10" ht="12.75" hidden="1" customHeight="1">
      <c r="B215" s="34"/>
      <c r="C215" s="10"/>
      <c r="D215" s="33"/>
      <c r="E215" s="33"/>
      <c r="F215" s="33"/>
      <c r="G215" s="33"/>
      <c r="H215" s="72">
        <f t="shared" si="12"/>
        <v>0</v>
      </c>
      <c r="I215" s="12"/>
      <c r="J215" s="3" t="str">
        <f t="shared" si="11"/>
        <v>1</v>
      </c>
    </row>
    <row r="216" spans="2:10" ht="12.75" hidden="1" customHeight="1">
      <c r="B216" s="34"/>
      <c r="C216" s="10"/>
      <c r="D216" s="33"/>
      <c r="E216" s="33"/>
      <c r="F216" s="33"/>
      <c r="G216" s="33"/>
      <c r="H216" s="72">
        <f t="shared" si="12"/>
        <v>0</v>
      </c>
      <c r="I216" s="12"/>
      <c r="J216" s="3" t="str">
        <f t="shared" si="11"/>
        <v>1</v>
      </c>
    </row>
    <row r="217" spans="2:10" ht="12.75" hidden="1" customHeight="1">
      <c r="B217" s="34"/>
      <c r="C217" s="10"/>
      <c r="D217" s="33"/>
      <c r="E217" s="33"/>
      <c r="F217" s="33"/>
      <c r="G217" s="33"/>
      <c r="H217" s="72">
        <f t="shared" si="12"/>
        <v>0</v>
      </c>
      <c r="I217" s="12"/>
      <c r="J217" s="3" t="str">
        <f t="shared" si="11"/>
        <v>1</v>
      </c>
    </row>
    <row r="218" spans="2:10" ht="12.75" hidden="1" customHeight="1">
      <c r="B218" s="34"/>
      <c r="C218" s="10"/>
      <c r="D218" s="33"/>
      <c r="E218" s="33"/>
      <c r="F218" s="33"/>
      <c r="G218" s="33"/>
      <c r="H218" s="72">
        <f t="shared" si="12"/>
        <v>0</v>
      </c>
      <c r="I218" s="12"/>
      <c r="J218" s="3" t="str">
        <f t="shared" si="11"/>
        <v>1</v>
      </c>
    </row>
    <row r="219" spans="2:10" ht="12.75" hidden="1" customHeight="1">
      <c r="B219" s="34"/>
      <c r="C219" s="10"/>
      <c r="D219" s="33"/>
      <c r="E219" s="33"/>
      <c r="F219" s="33"/>
      <c r="G219" s="33"/>
      <c r="H219" s="72">
        <f t="shared" si="12"/>
        <v>0</v>
      </c>
      <c r="I219" s="12"/>
      <c r="J219" s="3" t="str">
        <f t="shared" si="11"/>
        <v>1</v>
      </c>
    </row>
    <row r="220" spans="2:10" ht="12.75" hidden="1" customHeight="1">
      <c r="B220" s="34"/>
      <c r="C220" s="10"/>
      <c r="D220" s="33"/>
      <c r="E220" s="33"/>
      <c r="F220" s="33"/>
      <c r="G220" s="33"/>
      <c r="H220" s="72">
        <f t="shared" si="12"/>
        <v>0</v>
      </c>
      <c r="I220" s="12"/>
      <c r="J220" s="3" t="str">
        <f t="shared" si="11"/>
        <v>1</v>
      </c>
    </row>
    <row r="221" spans="2:10" ht="12.75" hidden="1" customHeight="1">
      <c r="B221" s="34"/>
      <c r="C221" s="10"/>
      <c r="D221" s="33"/>
      <c r="E221" s="33"/>
      <c r="F221" s="33"/>
      <c r="G221" s="33"/>
      <c r="H221" s="72">
        <f t="shared" si="12"/>
        <v>0</v>
      </c>
      <c r="I221" s="12"/>
      <c r="J221" s="3" t="str">
        <f t="shared" si="11"/>
        <v>1</v>
      </c>
    </row>
    <row r="222" spans="2:10" ht="12.75" hidden="1" customHeight="1">
      <c r="B222" s="34"/>
      <c r="C222" s="10"/>
      <c r="D222" s="33"/>
      <c r="E222" s="33"/>
      <c r="F222" s="33"/>
      <c r="G222" s="33"/>
      <c r="H222" s="72">
        <f t="shared" si="12"/>
        <v>0</v>
      </c>
      <c r="I222" s="12"/>
      <c r="J222" s="3" t="str">
        <f t="shared" si="11"/>
        <v>1</v>
      </c>
    </row>
    <row r="223" spans="2:10" ht="12.75" hidden="1" customHeight="1">
      <c r="B223" s="34"/>
      <c r="C223" s="10"/>
      <c r="D223" s="33"/>
      <c r="E223" s="33"/>
      <c r="F223" s="33"/>
      <c r="G223" s="33"/>
      <c r="H223" s="72">
        <f t="shared" si="12"/>
        <v>0</v>
      </c>
      <c r="I223" s="12"/>
      <c r="J223" s="3" t="str">
        <f t="shared" si="11"/>
        <v>1</v>
      </c>
    </row>
    <row r="224" spans="2:10" ht="12.75" hidden="1" customHeight="1">
      <c r="B224" s="34"/>
      <c r="C224" s="10"/>
      <c r="D224" s="33"/>
      <c r="E224" s="33"/>
      <c r="F224" s="33"/>
      <c r="G224" s="33"/>
      <c r="H224" s="72">
        <f t="shared" si="12"/>
        <v>0</v>
      </c>
      <c r="I224" s="12"/>
      <c r="J224" s="3" t="str">
        <f t="shared" si="11"/>
        <v>1</v>
      </c>
    </row>
    <row r="225" spans="2:10" ht="12.75" hidden="1" customHeight="1">
      <c r="B225" s="34"/>
      <c r="C225" s="10"/>
      <c r="D225" s="33"/>
      <c r="E225" s="33"/>
      <c r="F225" s="33"/>
      <c r="G225" s="33"/>
      <c r="H225" s="72">
        <f t="shared" si="12"/>
        <v>0</v>
      </c>
      <c r="I225" s="12"/>
      <c r="J225" s="3" t="str">
        <f t="shared" si="11"/>
        <v>1</v>
      </c>
    </row>
    <row r="226" spans="2:10" ht="12.75" hidden="1" customHeight="1">
      <c r="B226" s="34"/>
      <c r="C226" s="10"/>
      <c r="D226" s="33"/>
      <c r="E226" s="33"/>
      <c r="F226" s="33"/>
      <c r="G226" s="33"/>
      <c r="H226" s="72">
        <f t="shared" si="12"/>
        <v>0</v>
      </c>
      <c r="I226" s="12"/>
      <c r="J226" s="3" t="str">
        <f t="shared" si="11"/>
        <v>1</v>
      </c>
    </row>
    <row r="227" spans="2:10" ht="12.75" hidden="1" customHeight="1">
      <c r="B227" s="34"/>
      <c r="C227" s="10"/>
      <c r="D227" s="33"/>
      <c r="E227" s="33"/>
      <c r="F227" s="33"/>
      <c r="G227" s="33"/>
      <c r="H227" s="72">
        <f t="shared" si="12"/>
        <v>0</v>
      </c>
      <c r="I227" s="12"/>
      <c r="J227" s="3" t="str">
        <f t="shared" si="11"/>
        <v>1</v>
      </c>
    </row>
    <row r="228" spans="2:10" ht="12.75" hidden="1" customHeight="1">
      <c r="B228" s="34"/>
      <c r="C228" s="10"/>
      <c r="D228" s="33"/>
      <c r="E228" s="33"/>
      <c r="F228" s="33"/>
      <c r="G228" s="33"/>
      <c r="H228" s="72">
        <f t="shared" si="12"/>
        <v>0</v>
      </c>
      <c r="I228" s="12"/>
      <c r="J228" s="3" t="str">
        <f t="shared" si="11"/>
        <v>1</v>
      </c>
    </row>
    <row r="229" spans="2:10" ht="12.75" hidden="1" customHeight="1">
      <c r="B229" s="34"/>
      <c r="C229" s="10"/>
      <c r="D229" s="33"/>
      <c r="E229" s="33"/>
      <c r="F229" s="33"/>
      <c r="G229" s="33"/>
      <c r="H229" s="72">
        <f t="shared" si="12"/>
        <v>0</v>
      </c>
      <c r="I229" s="12"/>
      <c r="J229" s="3" t="str">
        <f t="shared" si="11"/>
        <v>1</v>
      </c>
    </row>
    <row r="230" spans="2:10" ht="12.75" hidden="1" customHeight="1">
      <c r="B230" s="34"/>
      <c r="C230" s="10"/>
      <c r="D230" s="33"/>
      <c r="E230" s="33"/>
      <c r="F230" s="33"/>
      <c r="G230" s="33"/>
      <c r="H230" s="72">
        <f t="shared" si="12"/>
        <v>0</v>
      </c>
      <c r="I230" s="12"/>
      <c r="J230" s="3" t="str">
        <f t="shared" si="11"/>
        <v>1</v>
      </c>
    </row>
    <row r="231" spans="2:10" ht="12.75" hidden="1" customHeight="1">
      <c r="B231" s="34"/>
      <c r="C231" s="10"/>
      <c r="D231" s="33"/>
      <c r="E231" s="33"/>
      <c r="F231" s="33"/>
      <c r="G231" s="33"/>
      <c r="H231" s="72">
        <f t="shared" si="12"/>
        <v>0</v>
      </c>
      <c r="I231" s="12"/>
      <c r="J231" s="3" t="str">
        <f t="shared" si="11"/>
        <v>1</v>
      </c>
    </row>
    <row r="232" spans="2:10" ht="12.75" hidden="1" customHeight="1">
      <c r="B232" s="34"/>
      <c r="C232" s="10"/>
      <c r="D232" s="33"/>
      <c r="E232" s="33"/>
      <c r="F232" s="33"/>
      <c r="G232" s="33"/>
      <c r="H232" s="72">
        <f t="shared" si="12"/>
        <v>0</v>
      </c>
      <c r="I232" s="12"/>
      <c r="J232" s="3" t="str">
        <f t="shared" si="11"/>
        <v>1</v>
      </c>
    </row>
    <row r="233" spans="2:10" ht="12.75" hidden="1" customHeight="1">
      <c r="B233" s="34"/>
      <c r="C233" s="10"/>
      <c r="D233" s="33"/>
      <c r="E233" s="33"/>
      <c r="F233" s="33"/>
      <c r="G233" s="33"/>
      <c r="H233" s="72">
        <f t="shared" si="12"/>
        <v>0</v>
      </c>
      <c r="I233" s="12"/>
      <c r="J233" s="3" t="str">
        <f t="shared" si="11"/>
        <v>1</v>
      </c>
    </row>
    <row r="234" spans="2:10" ht="12.75" hidden="1" customHeight="1">
      <c r="B234" s="34"/>
      <c r="C234" s="10"/>
      <c r="D234" s="33"/>
      <c r="E234" s="33"/>
      <c r="F234" s="33"/>
      <c r="G234" s="33"/>
      <c r="H234" s="72">
        <f t="shared" si="12"/>
        <v>0</v>
      </c>
      <c r="I234" s="12"/>
      <c r="J234" s="3" t="str">
        <f t="shared" si="11"/>
        <v>1</v>
      </c>
    </row>
    <row r="235" spans="2:10" ht="12.75" hidden="1" customHeight="1">
      <c r="B235" s="34"/>
      <c r="C235" s="10"/>
      <c r="D235" s="33"/>
      <c r="E235" s="33"/>
      <c r="F235" s="33"/>
      <c r="G235" s="33"/>
      <c r="H235" s="72">
        <f t="shared" si="12"/>
        <v>0</v>
      </c>
      <c r="I235" s="12"/>
      <c r="J235" s="3" t="str">
        <f t="shared" si="11"/>
        <v>1</v>
      </c>
    </row>
    <row r="236" spans="2:10" ht="12.75" hidden="1" customHeight="1">
      <c r="B236" s="34"/>
      <c r="C236" s="10"/>
      <c r="D236" s="33"/>
      <c r="E236" s="33"/>
      <c r="F236" s="33"/>
      <c r="G236" s="33"/>
      <c r="H236" s="72">
        <f t="shared" si="12"/>
        <v>0</v>
      </c>
      <c r="I236" s="12"/>
      <c r="J236" s="3" t="str">
        <f t="shared" si="11"/>
        <v>1</v>
      </c>
    </row>
    <row r="237" spans="2:10" ht="12.75" hidden="1" customHeight="1">
      <c r="B237" s="34"/>
      <c r="C237" s="10"/>
      <c r="D237" s="33"/>
      <c r="E237" s="33"/>
      <c r="F237" s="33"/>
      <c r="G237" s="33"/>
      <c r="H237" s="72">
        <f t="shared" si="12"/>
        <v>0</v>
      </c>
      <c r="I237" s="12"/>
      <c r="J237" s="3" t="str">
        <f t="shared" si="11"/>
        <v>1</v>
      </c>
    </row>
    <row r="238" spans="2:10" ht="12.75" hidden="1" customHeight="1">
      <c r="B238" s="34"/>
      <c r="C238" s="10"/>
      <c r="D238" s="33"/>
      <c r="E238" s="33"/>
      <c r="F238" s="33"/>
      <c r="G238" s="33"/>
      <c r="H238" s="72">
        <f t="shared" si="12"/>
        <v>0</v>
      </c>
      <c r="I238" s="12"/>
      <c r="J238" s="3" t="str">
        <f t="shared" si="11"/>
        <v>1</v>
      </c>
    </row>
    <row r="239" spans="2:10" ht="12.75" hidden="1" customHeight="1">
      <c r="B239" s="34"/>
      <c r="C239" s="10"/>
      <c r="D239" s="33"/>
      <c r="E239" s="33"/>
      <c r="F239" s="33"/>
      <c r="G239" s="33"/>
      <c r="H239" s="72">
        <f t="shared" si="12"/>
        <v>0</v>
      </c>
      <c r="I239" s="12"/>
      <c r="J239" s="3" t="str">
        <f t="shared" si="11"/>
        <v>1</v>
      </c>
    </row>
    <row r="240" spans="2:10" ht="12.75" hidden="1" customHeight="1">
      <c r="B240" s="34"/>
      <c r="C240" s="10"/>
      <c r="D240" s="33"/>
      <c r="E240" s="33"/>
      <c r="F240" s="33"/>
      <c r="G240" s="33"/>
      <c r="H240" s="72">
        <f t="shared" si="12"/>
        <v>0</v>
      </c>
      <c r="I240" s="12"/>
      <c r="J240" s="3" t="str">
        <f t="shared" si="11"/>
        <v>1</v>
      </c>
    </row>
    <row r="241" spans="2:10" ht="12.75" hidden="1" customHeight="1">
      <c r="B241" s="34"/>
      <c r="C241" s="10"/>
      <c r="D241" s="33"/>
      <c r="E241" s="33"/>
      <c r="F241" s="33"/>
      <c r="G241" s="33"/>
      <c r="H241" s="72">
        <f t="shared" si="12"/>
        <v>0</v>
      </c>
      <c r="I241" s="12"/>
      <c r="J241" s="3" t="str">
        <f t="shared" si="11"/>
        <v>1</v>
      </c>
    </row>
    <row r="242" spans="2:10" ht="12.75" hidden="1" customHeight="1">
      <c r="B242" s="34"/>
      <c r="C242" s="10"/>
      <c r="D242" s="33"/>
      <c r="E242" s="33"/>
      <c r="F242" s="33"/>
      <c r="G242" s="33"/>
      <c r="H242" s="72">
        <f t="shared" si="12"/>
        <v>0</v>
      </c>
      <c r="I242" s="12"/>
      <c r="J242" s="3" t="str">
        <f t="shared" si="11"/>
        <v>1</v>
      </c>
    </row>
    <row r="243" spans="2:10" ht="12.75" hidden="1" customHeight="1">
      <c r="B243" s="34"/>
      <c r="C243" s="10"/>
      <c r="D243" s="33"/>
      <c r="E243" s="33"/>
      <c r="F243" s="33"/>
      <c r="G243" s="33"/>
      <c r="H243" s="72">
        <f t="shared" si="12"/>
        <v>0</v>
      </c>
      <c r="I243" s="12"/>
      <c r="J243" s="3" t="str">
        <f t="shared" si="11"/>
        <v>1</v>
      </c>
    </row>
    <row r="244" spans="2:10" ht="12.75" hidden="1" customHeight="1">
      <c r="B244" s="34"/>
      <c r="C244" s="10"/>
      <c r="D244" s="33"/>
      <c r="E244" s="33"/>
      <c r="F244" s="33"/>
      <c r="G244" s="33"/>
      <c r="H244" s="72">
        <f t="shared" si="12"/>
        <v>0</v>
      </c>
      <c r="I244" s="12"/>
      <c r="J244" s="3" t="str">
        <f t="shared" si="11"/>
        <v>1</v>
      </c>
    </row>
    <row r="245" spans="2:10" ht="12.75" hidden="1" customHeight="1">
      <c r="B245" s="34"/>
      <c r="C245" s="10"/>
      <c r="D245" s="33"/>
      <c r="E245" s="33"/>
      <c r="F245" s="33"/>
      <c r="G245" s="33"/>
      <c r="H245" s="72">
        <f t="shared" si="12"/>
        <v>0</v>
      </c>
      <c r="I245" s="12"/>
      <c r="J245" s="3" t="str">
        <f t="shared" si="11"/>
        <v>1</v>
      </c>
    </row>
    <row r="246" spans="2:10" ht="12.75" hidden="1" customHeight="1">
      <c r="B246" s="34"/>
      <c r="C246" s="10"/>
      <c r="D246" s="33"/>
      <c r="E246" s="33"/>
      <c r="F246" s="33"/>
      <c r="G246" s="33"/>
      <c r="H246" s="72">
        <f t="shared" si="12"/>
        <v>0</v>
      </c>
      <c r="I246" s="12"/>
      <c r="J246" s="3" t="str">
        <f t="shared" si="11"/>
        <v>1</v>
      </c>
    </row>
    <row r="247" spans="2:10" ht="12.75" hidden="1" customHeight="1">
      <c r="B247" s="34"/>
      <c r="C247" s="10"/>
      <c r="D247" s="33"/>
      <c r="E247" s="33"/>
      <c r="F247" s="33"/>
      <c r="G247" s="33"/>
      <c r="H247" s="72">
        <f t="shared" si="12"/>
        <v>0</v>
      </c>
      <c r="I247" s="12"/>
      <c r="J247" s="3" t="str">
        <f t="shared" si="11"/>
        <v>1</v>
      </c>
    </row>
    <row r="248" spans="2:10" ht="12.75" hidden="1" customHeight="1">
      <c r="B248" s="34"/>
      <c r="C248" s="10"/>
      <c r="D248" s="33"/>
      <c r="E248" s="33"/>
      <c r="F248" s="33"/>
      <c r="G248" s="33"/>
      <c r="H248" s="72">
        <f t="shared" si="12"/>
        <v>0</v>
      </c>
      <c r="I248" s="12"/>
      <c r="J248" s="3" t="str">
        <f t="shared" si="11"/>
        <v>1</v>
      </c>
    </row>
    <row r="249" spans="2:10" ht="12.75" hidden="1" customHeight="1">
      <c r="B249" s="34"/>
      <c r="C249" s="10"/>
      <c r="D249" s="33"/>
      <c r="E249" s="33"/>
      <c r="F249" s="33"/>
      <c r="G249" s="33"/>
      <c r="H249" s="72">
        <f t="shared" si="12"/>
        <v>0</v>
      </c>
      <c r="I249" s="12"/>
      <c r="J249" s="3" t="str">
        <f t="shared" si="11"/>
        <v>1</v>
      </c>
    </row>
    <row r="250" spans="2:10" ht="12.75" hidden="1" customHeight="1">
      <c r="B250" s="34"/>
      <c r="C250" s="10"/>
      <c r="D250" s="33"/>
      <c r="E250" s="33"/>
      <c r="F250" s="33"/>
      <c r="G250" s="33"/>
      <c r="H250" s="72">
        <f t="shared" si="12"/>
        <v>0</v>
      </c>
      <c r="I250" s="12"/>
      <c r="J250" s="3" t="str">
        <f t="shared" si="11"/>
        <v>1</v>
      </c>
    </row>
    <row r="251" spans="2:10" ht="12.75" hidden="1" customHeight="1">
      <c r="B251" s="34"/>
      <c r="C251" s="10"/>
      <c r="D251" s="33"/>
      <c r="E251" s="33"/>
      <c r="F251" s="33"/>
      <c r="G251" s="33"/>
      <c r="H251" s="72">
        <f t="shared" si="12"/>
        <v>0</v>
      </c>
      <c r="I251" s="12"/>
      <c r="J251" s="3" t="str">
        <f t="shared" si="11"/>
        <v>1</v>
      </c>
    </row>
    <row r="252" spans="2:10" ht="12.75" hidden="1" customHeight="1">
      <c r="B252" s="34"/>
      <c r="C252" s="10"/>
      <c r="D252" s="33"/>
      <c r="E252" s="33"/>
      <c r="F252" s="33"/>
      <c r="G252" s="33"/>
      <c r="H252" s="72">
        <f t="shared" si="12"/>
        <v>0</v>
      </c>
      <c r="I252" s="12"/>
      <c r="J252" s="3" t="str">
        <f t="shared" si="11"/>
        <v>1</v>
      </c>
    </row>
    <row r="253" spans="2:10" ht="12.75" hidden="1" customHeight="1">
      <c r="B253" s="34"/>
      <c r="C253" s="10"/>
      <c r="D253" s="33"/>
      <c r="E253" s="33"/>
      <c r="F253" s="33"/>
      <c r="G253" s="33"/>
      <c r="H253" s="72">
        <f t="shared" si="12"/>
        <v>0</v>
      </c>
      <c r="I253" s="12"/>
      <c r="J253" s="3" t="str">
        <f t="shared" si="11"/>
        <v>1</v>
      </c>
    </row>
    <row r="254" spans="2:10" ht="12.75" hidden="1" customHeight="1">
      <c r="B254" s="34"/>
      <c r="C254" s="10"/>
      <c r="D254" s="33"/>
      <c r="E254" s="33"/>
      <c r="F254" s="33"/>
      <c r="G254" s="33"/>
      <c r="H254" s="72">
        <f t="shared" si="12"/>
        <v>0</v>
      </c>
      <c r="I254" s="12"/>
      <c r="J254" s="3" t="str">
        <f t="shared" si="11"/>
        <v>1</v>
      </c>
    </row>
    <row r="255" spans="2:10" ht="12.75" hidden="1" customHeight="1">
      <c r="B255" s="34"/>
      <c r="C255" s="10"/>
      <c r="D255" s="33"/>
      <c r="E255" s="33"/>
      <c r="F255" s="33"/>
      <c r="G255" s="33"/>
      <c r="H255" s="72">
        <f t="shared" si="12"/>
        <v>0</v>
      </c>
      <c r="I255" s="12"/>
      <c r="J255" s="3" t="str">
        <f t="shared" si="11"/>
        <v>1</v>
      </c>
    </row>
    <row r="256" spans="2:10" ht="12.75" hidden="1" customHeight="1">
      <c r="B256" s="34"/>
      <c r="C256" s="10"/>
      <c r="D256" s="33"/>
      <c r="E256" s="33"/>
      <c r="F256" s="33"/>
      <c r="G256" s="33"/>
      <c r="H256" s="72">
        <f t="shared" si="12"/>
        <v>0</v>
      </c>
      <c r="I256" s="12"/>
      <c r="J256" s="3" t="str">
        <f t="shared" si="11"/>
        <v>1</v>
      </c>
    </row>
    <row r="257" spans="2:10" ht="12.75" hidden="1" customHeight="1">
      <c r="B257" s="34"/>
      <c r="C257" s="10"/>
      <c r="D257" s="33"/>
      <c r="E257" s="33"/>
      <c r="F257" s="33"/>
      <c r="G257" s="33"/>
      <c r="H257" s="72">
        <f t="shared" si="12"/>
        <v>0</v>
      </c>
      <c r="I257" s="12"/>
      <c r="J257" s="3" t="str">
        <f t="shared" si="11"/>
        <v>1</v>
      </c>
    </row>
    <row r="258" spans="2:10" ht="12.75" hidden="1" customHeight="1">
      <c r="B258" s="34"/>
      <c r="C258" s="10"/>
      <c r="D258" s="33"/>
      <c r="E258" s="33"/>
      <c r="F258" s="33"/>
      <c r="G258" s="33"/>
      <c r="H258" s="72">
        <f t="shared" si="12"/>
        <v>0</v>
      </c>
      <c r="I258" s="12"/>
      <c r="J258" s="3" t="str">
        <f t="shared" si="11"/>
        <v>1</v>
      </c>
    </row>
    <row r="259" spans="2:10" ht="12.75" hidden="1" customHeight="1">
      <c r="B259" s="34"/>
      <c r="C259" s="10"/>
      <c r="D259" s="33"/>
      <c r="E259" s="33"/>
      <c r="F259" s="33"/>
      <c r="G259" s="33"/>
      <c r="H259" s="72">
        <f t="shared" si="12"/>
        <v>0</v>
      </c>
      <c r="I259" s="12"/>
      <c r="J259" s="3" t="str">
        <f t="shared" ref="J259:J322" si="13">TRIM(C259) &amp; (COUNTIFS($C$4:$C$123, C259, $I$4:$I$123, "&gt;"&amp;I259) + 1)</f>
        <v>1</v>
      </c>
    </row>
    <row r="260" spans="2:10" ht="12.75" hidden="1" customHeight="1">
      <c r="B260" s="34"/>
      <c r="C260" s="10"/>
      <c r="D260" s="33"/>
      <c r="E260" s="33"/>
      <c r="F260" s="33"/>
      <c r="G260" s="33"/>
      <c r="H260" s="72">
        <f t="shared" si="12"/>
        <v>0</v>
      </c>
      <c r="I260" s="12"/>
      <c r="J260" s="3" t="str">
        <f t="shared" si="13"/>
        <v>1</v>
      </c>
    </row>
    <row r="261" spans="2:10" ht="12.75" hidden="1" customHeight="1">
      <c r="B261" s="34"/>
      <c r="C261" s="10"/>
      <c r="D261" s="33"/>
      <c r="E261" s="33"/>
      <c r="F261" s="33"/>
      <c r="G261" s="33"/>
      <c r="H261" s="72">
        <f t="shared" ref="H261:H324" si="14">IF(D261=0, COUNTIFS($C$4:$C$123, C261, $B$4:$B$123, "&lt;&gt;"), COUNTIFS($C$4:$C$123, C261, $D$4:$D$123, "&gt;"&amp;D261) + 1)</f>
        <v>0</v>
      </c>
      <c r="I261" s="12"/>
      <c r="J261" s="3" t="str">
        <f t="shared" si="13"/>
        <v>1</v>
      </c>
    </row>
    <row r="262" spans="2:10" ht="12.75" hidden="1" customHeight="1">
      <c r="B262" s="34"/>
      <c r="C262" s="10"/>
      <c r="D262" s="33"/>
      <c r="E262" s="33"/>
      <c r="F262" s="33"/>
      <c r="G262" s="33"/>
      <c r="H262" s="72">
        <f t="shared" si="14"/>
        <v>0</v>
      </c>
      <c r="I262" s="12"/>
      <c r="J262" s="3" t="str">
        <f t="shared" si="13"/>
        <v>1</v>
      </c>
    </row>
    <row r="263" spans="2:10" ht="12.75" hidden="1" customHeight="1">
      <c r="B263" s="34"/>
      <c r="C263" s="10"/>
      <c r="D263" s="33"/>
      <c r="E263" s="33"/>
      <c r="F263" s="33"/>
      <c r="G263" s="33"/>
      <c r="H263" s="72">
        <f t="shared" si="14"/>
        <v>0</v>
      </c>
      <c r="I263" s="12"/>
      <c r="J263" s="3" t="str">
        <f t="shared" si="13"/>
        <v>1</v>
      </c>
    </row>
    <row r="264" spans="2:10" ht="12.75" hidden="1" customHeight="1">
      <c r="B264" s="34"/>
      <c r="C264" s="10"/>
      <c r="D264" s="33"/>
      <c r="E264" s="33"/>
      <c r="F264" s="33"/>
      <c r="G264" s="33"/>
      <c r="H264" s="72">
        <f t="shared" si="14"/>
        <v>0</v>
      </c>
      <c r="I264" s="12"/>
      <c r="J264" s="3" t="str">
        <f t="shared" si="13"/>
        <v>1</v>
      </c>
    </row>
    <row r="265" spans="2:10" ht="12.75" hidden="1" customHeight="1">
      <c r="B265" s="34"/>
      <c r="C265" s="10"/>
      <c r="D265" s="33"/>
      <c r="E265" s="33"/>
      <c r="F265" s="33"/>
      <c r="G265" s="33"/>
      <c r="H265" s="72">
        <f t="shared" si="14"/>
        <v>0</v>
      </c>
      <c r="I265" s="12"/>
      <c r="J265" s="3" t="str">
        <f t="shared" si="13"/>
        <v>1</v>
      </c>
    </row>
    <row r="266" spans="2:10" ht="12.75" hidden="1" customHeight="1">
      <c r="B266" s="34"/>
      <c r="C266" s="10"/>
      <c r="D266" s="33"/>
      <c r="E266" s="33"/>
      <c r="F266" s="33"/>
      <c r="G266" s="33"/>
      <c r="H266" s="72">
        <f t="shared" si="14"/>
        <v>0</v>
      </c>
      <c r="I266" s="12"/>
      <c r="J266" s="3" t="str">
        <f t="shared" si="13"/>
        <v>1</v>
      </c>
    </row>
    <row r="267" spans="2:10" ht="12.75" hidden="1" customHeight="1">
      <c r="B267" s="34"/>
      <c r="C267" s="10"/>
      <c r="D267" s="33"/>
      <c r="E267" s="33"/>
      <c r="F267" s="33"/>
      <c r="G267" s="33"/>
      <c r="H267" s="72">
        <f t="shared" si="14"/>
        <v>0</v>
      </c>
      <c r="I267" s="12"/>
      <c r="J267" s="3" t="str">
        <f t="shared" si="13"/>
        <v>1</v>
      </c>
    </row>
    <row r="268" spans="2:10" ht="12.75" hidden="1" customHeight="1">
      <c r="B268" s="34"/>
      <c r="C268" s="10"/>
      <c r="D268" s="33"/>
      <c r="E268" s="33"/>
      <c r="F268" s="33"/>
      <c r="G268" s="33"/>
      <c r="H268" s="72">
        <f t="shared" si="14"/>
        <v>0</v>
      </c>
      <c r="I268" s="12"/>
      <c r="J268" s="3" t="str">
        <f t="shared" si="13"/>
        <v>1</v>
      </c>
    </row>
    <row r="269" spans="2:10" ht="12.75" hidden="1" customHeight="1">
      <c r="B269" s="34"/>
      <c r="C269" s="10"/>
      <c r="D269" s="33"/>
      <c r="E269" s="33"/>
      <c r="F269" s="33"/>
      <c r="G269" s="33"/>
      <c r="H269" s="72">
        <f t="shared" si="14"/>
        <v>0</v>
      </c>
      <c r="I269" s="12"/>
      <c r="J269" s="3" t="str">
        <f t="shared" si="13"/>
        <v>1</v>
      </c>
    </row>
    <row r="270" spans="2:10" ht="12.75" hidden="1" customHeight="1">
      <c r="B270" s="34"/>
      <c r="C270" s="10"/>
      <c r="D270" s="33"/>
      <c r="E270" s="33"/>
      <c r="F270" s="33"/>
      <c r="G270" s="33"/>
      <c r="H270" s="72">
        <f t="shared" si="14"/>
        <v>0</v>
      </c>
      <c r="I270" s="12"/>
      <c r="J270" s="3" t="str">
        <f t="shared" si="13"/>
        <v>1</v>
      </c>
    </row>
    <row r="271" spans="2:10" ht="12.75" hidden="1" customHeight="1">
      <c r="B271" s="34"/>
      <c r="C271" s="10"/>
      <c r="D271" s="33"/>
      <c r="E271" s="33"/>
      <c r="F271" s="33"/>
      <c r="G271" s="33"/>
      <c r="H271" s="72">
        <f t="shared" si="14"/>
        <v>0</v>
      </c>
      <c r="I271" s="12"/>
      <c r="J271" s="3" t="str">
        <f t="shared" si="13"/>
        <v>1</v>
      </c>
    </row>
    <row r="272" spans="2:10" ht="12.75" hidden="1" customHeight="1">
      <c r="B272" s="34"/>
      <c r="C272" s="10"/>
      <c r="D272" s="33"/>
      <c r="E272" s="33"/>
      <c r="F272" s="33"/>
      <c r="G272" s="33"/>
      <c r="H272" s="72">
        <f t="shared" si="14"/>
        <v>0</v>
      </c>
      <c r="I272" s="12"/>
      <c r="J272" s="3" t="str">
        <f t="shared" si="13"/>
        <v>1</v>
      </c>
    </row>
    <row r="273" spans="2:10" ht="12.75" hidden="1" customHeight="1">
      <c r="B273" s="34"/>
      <c r="C273" s="10"/>
      <c r="D273" s="33"/>
      <c r="E273" s="33"/>
      <c r="F273" s="33"/>
      <c r="G273" s="33"/>
      <c r="H273" s="72">
        <f t="shared" si="14"/>
        <v>0</v>
      </c>
      <c r="I273" s="12"/>
      <c r="J273" s="3" t="str">
        <f t="shared" si="13"/>
        <v>1</v>
      </c>
    </row>
    <row r="274" spans="2:10" ht="12.75" hidden="1" customHeight="1">
      <c r="B274" s="34"/>
      <c r="C274" s="10"/>
      <c r="D274" s="33"/>
      <c r="E274" s="33"/>
      <c r="F274" s="33"/>
      <c r="G274" s="33"/>
      <c r="H274" s="72">
        <f t="shared" si="14"/>
        <v>0</v>
      </c>
      <c r="I274" s="12"/>
      <c r="J274" s="3" t="str">
        <f t="shared" si="13"/>
        <v>1</v>
      </c>
    </row>
    <row r="275" spans="2:10" ht="12.75" hidden="1" customHeight="1">
      <c r="B275" s="34"/>
      <c r="C275" s="10"/>
      <c r="D275" s="33"/>
      <c r="E275" s="33"/>
      <c r="F275" s="33"/>
      <c r="G275" s="33"/>
      <c r="H275" s="72">
        <f t="shared" si="14"/>
        <v>0</v>
      </c>
      <c r="I275" s="12"/>
      <c r="J275" s="3" t="str">
        <f t="shared" si="13"/>
        <v>1</v>
      </c>
    </row>
    <row r="276" spans="2:10" ht="12.75" hidden="1" customHeight="1">
      <c r="B276" s="34"/>
      <c r="C276" s="10"/>
      <c r="D276" s="33"/>
      <c r="E276" s="33"/>
      <c r="F276" s="33"/>
      <c r="G276" s="33"/>
      <c r="H276" s="72">
        <f t="shared" si="14"/>
        <v>0</v>
      </c>
      <c r="I276" s="12"/>
      <c r="J276" s="3" t="str">
        <f t="shared" si="13"/>
        <v>1</v>
      </c>
    </row>
    <row r="277" spans="2:10" ht="12.75" hidden="1" customHeight="1">
      <c r="B277" s="34"/>
      <c r="C277" s="10"/>
      <c r="D277" s="33"/>
      <c r="E277" s="33"/>
      <c r="F277" s="33"/>
      <c r="G277" s="33"/>
      <c r="H277" s="72">
        <f t="shared" si="14"/>
        <v>0</v>
      </c>
      <c r="I277" s="12"/>
      <c r="J277" s="3" t="str">
        <f t="shared" si="13"/>
        <v>1</v>
      </c>
    </row>
    <row r="278" spans="2:10" ht="12.75" hidden="1" customHeight="1">
      <c r="B278" s="34"/>
      <c r="C278" s="10"/>
      <c r="D278" s="33"/>
      <c r="E278" s="33"/>
      <c r="F278" s="33"/>
      <c r="G278" s="33"/>
      <c r="H278" s="72">
        <f t="shared" si="14"/>
        <v>0</v>
      </c>
      <c r="I278" s="12"/>
      <c r="J278" s="3" t="str">
        <f t="shared" si="13"/>
        <v>1</v>
      </c>
    </row>
    <row r="279" spans="2:10" ht="12.75" hidden="1" customHeight="1">
      <c r="B279" s="34"/>
      <c r="C279" s="10"/>
      <c r="D279" s="33"/>
      <c r="E279" s="33"/>
      <c r="F279" s="33"/>
      <c r="G279" s="33"/>
      <c r="H279" s="72">
        <f t="shared" si="14"/>
        <v>0</v>
      </c>
      <c r="I279" s="12"/>
      <c r="J279" s="3" t="str">
        <f t="shared" si="13"/>
        <v>1</v>
      </c>
    </row>
    <row r="280" spans="2:10" ht="12.75" hidden="1" customHeight="1">
      <c r="B280" s="34"/>
      <c r="C280" s="10"/>
      <c r="D280" s="33"/>
      <c r="E280" s="33"/>
      <c r="F280" s="33"/>
      <c r="G280" s="33"/>
      <c r="H280" s="72">
        <f t="shared" si="14"/>
        <v>0</v>
      </c>
      <c r="I280" s="12"/>
      <c r="J280" s="3" t="str">
        <f t="shared" si="13"/>
        <v>1</v>
      </c>
    </row>
    <row r="281" spans="2:10" ht="12.75" hidden="1" customHeight="1">
      <c r="B281" s="34"/>
      <c r="C281" s="10"/>
      <c r="D281" s="33"/>
      <c r="E281" s="33"/>
      <c r="F281" s="33"/>
      <c r="G281" s="33"/>
      <c r="H281" s="72">
        <f t="shared" si="14"/>
        <v>0</v>
      </c>
      <c r="I281" s="12"/>
      <c r="J281" s="3" t="str">
        <f t="shared" si="13"/>
        <v>1</v>
      </c>
    </row>
    <row r="282" spans="2:10" ht="12.75" hidden="1" customHeight="1">
      <c r="B282" s="34"/>
      <c r="C282" s="10"/>
      <c r="D282" s="33"/>
      <c r="E282" s="33"/>
      <c r="F282" s="33"/>
      <c r="G282" s="33"/>
      <c r="H282" s="72">
        <f t="shared" si="14"/>
        <v>0</v>
      </c>
      <c r="I282" s="12"/>
      <c r="J282" s="3" t="str">
        <f t="shared" si="13"/>
        <v>1</v>
      </c>
    </row>
    <row r="283" spans="2:10" ht="12.75" hidden="1" customHeight="1">
      <c r="B283" s="34"/>
      <c r="C283" s="10"/>
      <c r="D283" s="33"/>
      <c r="E283" s="33"/>
      <c r="F283" s="33"/>
      <c r="G283" s="33"/>
      <c r="H283" s="72">
        <f t="shared" si="14"/>
        <v>0</v>
      </c>
      <c r="I283" s="12"/>
      <c r="J283" s="3" t="str">
        <f t="shared" si="13"/>
        <v>1</v>
      </c>
    </row>
    <row r="284" spans="2:10" ht="12.75" hidden="1" customHeight="1">
      <c r="B284" s="34"/>
      <c r="C284" s="10"/>
      <c r="D284" s="33"/>
      <c r="E284" s="33"/>
      <c r="F284" s="33"/>
      <c r="G284" s="33"/>
      <c r="H284" s="72">
        <f t="shared" si="14"/>
        <v>0</v>
      </c>
      <c r="I284" s="12"/>
      <c r="J284" s="3" t="str">
        <f t="shared" si="13"/>
        <v>1</v>
      </c>
    </row>
    <row r="285" spans="2:10" ht="12.75" hidden="1" customHeight="1">
      <c r="B285" s="34"/>
      <c r="C285" s="10"/>
      <c r="D285" s="33"/>
      <c r="E285" s="33"/>
      <c r="F285" s="33"/>
      <c r="G285" s="33"/>
      <c r="H285" s="72">
        <f t="shared" si="14"/>
        <v>0</v>
      </c>
      <c r="I285" s="12"/>
      <c r="J285" s="3" t="str">
        <f t="shared" si="13"/>
        <v>1</v>
      </c>
    </row>
    <row r="286" spans="2:10" ht="12.75" hidden="1" customHeight="1">
      <c r="B286" s="34"/>
      <c r="C286" s="10"/>
      <c r="D286" s="33"/>
      <c r="E286" s="33"/>
      <c r="F286" s="33"/>
      <c r="G286" s="33"/>
      <c r="H286" s="72">
        <f t="shared" si="14"/>
        <v>0</v>
      </c>
      <c r="I286" s="12"/>
      <c r="J286" s="3" t="str">
        <f t="shared" si="13"/>
        <v>1</v>
      </c>
    </row>
    <row r="287" spans="2:10" ht="12.75" hidden="1" customHeight="1">
      <c r="B287" s="34"/>
      <c r="C287" s="10"/>
      <c r="D287" s="33"/>
      <c r="E287" s="33"/>
      <c r="F287" s="33"/>
      <c r="G287" s="33"/>
      <c r="H287" s="72">
        <f t="shared" si="14"/>
        <v>0</v>
      </c>
      <c r="I287" s="12"/>
      <c r="J287" s="3" t="str">
        <f t="shared" si="13"/>
        <v>1</v>
      </c>
    </row>
    <row r="288" spans="2:10" ht="12.75" hidden="1" customHeight="1">
      <c r="B288" s="34"/>
      <c r="C288" s="10"/>
      <c r="D288" s="33"/>
      <c r="E288" s="33"/>
      <c r="F288" s="33"/>
      <c r="G288" s="33"/>
      <c r="H288" s="72">
        <f t="shared" si="14"/>
        <v>0</v>
      </c>
      <c r="I288" s="12"/>
      <c r="J288" s="3" t="str">
        <f t="shared" si="13"/>
        <v>1</v>
      </c>
    </row>
    <row r="289" spans="2:10" ht="12.75" hidden="1" customHeight="1">
      <c r="B289" s="34"/>
      <c r="C289" s="10"/>
      <c r="D289" s="33"/>
      <c r="E289" s="33"/>
      <c r="F289" s="33"/>
      <c r="G289" s="33"/>
      <c r="H289" s="72">
        <f t="shared" si="14"/>
        <v>0</v>
      </c>
      <c r="I289" s="12"/>
      <c r="J289" s="3" t="str">
        <f t="shared" si="13"/>
        <v>1</v>
      </c>
    </row>
    <row r="290" spans="2:10" ht="12.75" hidden="1" customHeight="1">
      <c r="B290" s="34"/>
      <c r="C290" s="10"/>
      <c r="D290" s="33"/>
      <c r="E290" s="33"/>
      <c r="F290" s="33"/>
      <c r="G290" s="33"/>
      <c r="H290" s="72">
        <f t="shared" si="14"/>
        <v>0</v>
      </c>
      <c r="I290" s="12"/>
      <c r="J290" s="3" t="str">
        <f t="shared" si="13"/>
        <v>1</v>
      </c>
    </row>
    <row r="291" spans="2:10" ht="12.75" hidden="1" customHeight="1">
      <c r="B291" s="34"/>
      <c r="C291" s="10"/>
      <c r="D291" s="33"/>
      <c r="E291" s="33"/>
      <c r="F291" s="33"/>
      <c r="G291" s="33"/>
      <c r="H291" s="72">
        <f t="shared" si="14"/>
        <v>0</v>
      </c>
      <c r="I291" s="12"/>
      <c r="J291" s="3" t="str">
        <f t="shared" si="13"/>
        <v>1</v>
      </c>
    </row>
    <row r="292" spans="2:10" ht="12.75" hidden="1" customHeight="1">
      <c r="B292" s="34"/>
      <c r="C292" s="10"/>
      <c r="D292" s="33"/>
      <c r="E292" s="33"/>
      <c r="F292" s="33"/>
      <c r="G292" s="33"/>
      <c r="H292" s="72">
        <f t="shared" si="14"/>
        <v>0</v>
      </c>
      <c r="I292" s="12"/>
      <c r="J292" s="3" t="str">
        <f t="shared" si="13"/>
        <v>1</v>
      </c>
    </row>
    <row r="293" spans="2:10" ht="12.75" hidden="1" customHeight="1">
      <c r="B293" s="34"/>
      <c r="C293" s="10"/>
      <c r="D293" s="33"/>
      <c r="E293" s="33"/>
      <c r="F293" s="33"/>
      <c r="G293" s="33"/>
      <c r="H293" s="72">
        <f t="shared" si="14"/>
        <v>0</v>
      </c>
      <c r="I293" s="12"/>
      <c r="J293" s="3" t="str">
        <f t="shared" si="13"/>
        <v>1</v>
      </c>
    </row>
    <row r="294" spans="2:10" ht="12.75" hidden="1" customHeight="1">
      <c r="B294" s="34"/>
      <c r="C294" s="10"/>
      <c r="D294" s="33"/>
      <c r="E294" s="33"/>
      <c r="F294" s="33"/>
      <c r="G294" s="33"/>
      <c r="H294" s="72">
        <f t="shared" si="14"/>
        <v>0</v>
      </c>
      <c r="I294" s="12"/>
      <c r="J294" s="3" t="str">
        <f t="shared" si="13"/>
        <v>1</v>
      </c>
    </row>
    <row r="295" spans="2:10" ht="12.75" hidden="1" customHeight="1">
      <c r="B295" s="34"/>
      <c r="C295" s="10"/>
      <c r="D295" s="33"/>
      <c r="E295" s="33"/>
      <c r="F295" s="33"/>
      <c r="G295" s="33"/>
      <c r="H295" s="72">
        <f t="shared" si="14"/>
        <v>0</v>
      </c>
      <c r="I295" s="12"/>
      <c r="J295" s="3" t="str">
        <f t="shared" si="13"/>
        <v>1</v>
      </c>
    </row>
    <row r="296" spans="2:10" ht="12.75" hidden="1" customHeight="1">
      <c r="B296" s="34"/>
      <c r="C296" s="10"/>
      <c r="D296" s="33"/>
      <c r="E296" s="33"/>
      <c r="F296" s="33"/>
      <c r="G296" s="33"/>
      <c r="H296" s="72">
        <f t="shared" si="14"/>
        <v>0</v>
      </c>
      <c r="I296" s="12"/>
      <c r="J296" s="3" t="str">
        <f t="shared" si="13"/>
        <v>1</v>
      </c>
    </row>
    <row r="297" spans="2:10" ht="12.75" hidden="1" customHeight="1">
      <c r="B297" s="34"/>
      <c r="C297" s="10"/>
      <c r="D297" s="33"/>
      <c r="E297" s="33"/>
      <c r="F297" s="33"/>
      <c r="G297" s="33"/>
      <c r="H297" s="72">
        <f t="shared" si="14"/>
        <v>0</v>
      </c>
      <c r="I297" s="12"/>
      <c r="J297" s="3" t="str">
        <f t="shared" si="13"/>
        <v>1</v>
      </c>
    </row>
    <row r="298" spans="2:10" ht="12.75" hidden="1" customHeight="1">
      <c r="B298" s="34"/>
      <c r="C298" s="10"/>
      <c r="D298" s="33"/>
      <c r="E298" s="33"/>
      <c r="F298" s="33"/>
      <c r="G298" s="33"/>
      <c r="H298" s="72">
        <f t="shared" si="14"/>
        <v>0</v>
      </c>
      <c r="I298" s="12"/>
      <c r="J298" s="3" t="str">
        <f t="shared" si="13"/>
        <v>1</v>
      </c>
    </row>
    <row r="299" spans="2:10" ht="12.75" hidden="1" customHeight="1">
      <c r="B299" s="34"/>
      <c r="C299" s="10"/>
      <c r="D299" s="33"/>
      <c r="E299" s="33"/>
      <c r="F299" s="33"/>
      <c r="G299" s="33"/>
      <c r="H299" s="72">
        <f t="shared" si="14"/>
        <v>0</v>
      </c>
      <c r="I299" s="12"/>
      <c r="J299" s="3" t="str">
        <f t="shared" si="13"/>
        <v>1</v>
      </c>
    </row>
    <row r="300" spans="2:10" ht="12.75" hidden="1" customHeight="1">
      <c r="B300" s="34"/>
      <c r="C300" s="10"/>
      <c r="D300" s="33"/>
      <c r="E300" s="33"/>
      <c r="F300" s="33"/>
      <c r="G300" s="33"/>
      <c r="H300" s="72">
        <f t="shared" si="14"/>
        <v>0</v>
      </c>
      <c r="I300" s="12"/>
      <c r="J300" s="3" t="str">
        <f t="shared" si="13"/>
        <v>1</v>
      </c>
    </row>
    <row r="301" spans="2:10" ht="12.75" hidden="1" customHeight="1">
      <c r="B301" s="34"/>
      <c r="C301" s="10"/>
      <c r="D301" s="33"/>
      <c r="E301" s="33"/>
      <c r="F301" s="33"/>
      <c r="G301" s="33"/>
      <c r="H301" s="72">
        <f t="shared" si="14"/>
        <v>0</v>
      </c>
      <c r="I301" s="12"/>
      <c r="J301" s="3" t="str">
        <f t="shared" si="13"/>
        <v>1</v>
      </c>
    </row>
    <row r="302" spans="2:10" ht="12.75" hidden="1" customHeight="1">
      <c r="B302" s="34"/>
      <c r="C302" s="10"/>
      <c r="D302" s="33"/>
      <c r="E302" s="33"/>
      <c r="F302" s="33"/>
      <c r="G302" s="33"/>
      <c r="H302" s="72">
        <f t="shared" si="14"/>
        <v>0</v>
      </c>
      <c r="I302" s="12"/>
      <c r="J302" s="3" t="str">
        <f t="shared" si="13"/>
        <v>1</v>
      </c>
    </row>
    <row r="303" spans="2:10" ht="12.75" hidden="1" customHeight="1">
      <c r="B303" s="34"/>
      <c r="C303" s="10"/>
      <c r="D303" s="33"/>
      <c r="E303" s="33"/>
      <c r="F303" s="33"/>
      <c r="G303" s="33"/>
      <c r="H303" s="72">
        <f t="shared" si="14"/>
        <v>0</v>
      </c>
      <c r="I303" s="12"/>
      <c r="J303" s="3" t="str">
        <f t="shared" si="13"/>
        <v>1</v>
      </c>
    </row>
    <row r="304" spans="2:10" ht="12.75" hidden="1" customHeight="1">
      <c r="B304" s="34"/>
      <c r="C304" s="10"/>
      <c r="D304" s="33"/>
      <c r="E304" s="33"/>
      <c r="F304" s="33"/>
      <c r="G304" s="33"/>
      <c r="H304" s="72">
        <f t="shared" si="14"/>
        <v>0</v>
      </c>
      <c r="I304" s="12"/>
      <c r="J304" s="3" t="str">
        <f t="shared" si="13"/>
        <v>1</v>
      </c>
    </row>
    <row r="305" spans="2:10" ht="12.75" hidden="1" customHeight="1">
      <c r="B305" s="34"/>
      <c r="C305" s="10"/>
      <c r="D305" s="33"/>
      <c r="E305" s="33"/>
      <c r="F305" s="33"/>
      <c r="G305" s="33"/>
      <c r="H305" s="72">
        <f t="shared" si="14"/>
        <v>0</v>
      </c>
      <c r="I305" s="12"/>
      <c r="J305" s="3" t="str">
        <f t="shared" si="13"/>
        <v>1</v>
      </c>
    </row>
    <row r="306" spans="2:10" ht="12.75" hidden="1" customHeight="1">
      <c r="B306" s="34"/>
      <c r="C306" s="10"/>
      <c r="D306" s="33"/>
      <c r="E306" s="33"/>
      <c r="F306" s="33"/>
      <c r="G306" s="33"/>
      <c r="H306" s="72">
        <f t="shared" si="14"/>
        <v>0</v>
      </c>
      <c r="I306" s="12"/>
      <c r="J306" s="3" t="str">
        <f t="shared" si="13"/>
        <v>1</v>
      </c>
    </row>
    <row r="307" spans="2:10" ht="12.75" hidden="1" customHeight="1">
      <c r="B307" s="34"/>
      <c r="C307" s="10"/>
      <c r="D307" s="33"/>
      <c r="E307" s="33"/>
      <c r="F307" s="33"/>
      <c r="G307" s="33"/>
      <c r="H307" s="72">
        <f t="shared" si="14"/>
        <v>0</v>
      </c>
      <c r="I307" s="12"/>
      <c r="J307" s="3" t="str">
        <f t="shared" si="13"/>
        <v>1</v>
      </c>
    </row>
    <row r="308" spans="2:10" ht="12.75" hidden="1" customHeight="1">
      <c r="B308" s="34"/>
      <c r="C308" s="10"/>
      <c r="D308" s="33"/>
      <c r="E308" s="33"/>
      <c r="F308" s="33"/>
      <c r="G308" s="33"/>
      <c r="H308" s="72">
        <f t="shared" si="14"/>
        <v>0</v>
      </c>
      <c r="I308" s="12"/>
      <c r="J308" s="3" t="str">
        <f t="shared" si="13"/>
        <v>1</v>
      </c>
    </row>
    <row r="309" spans="2:10" ht="12.75" hidden="1" customHeight="1">
      <c r="B309" s="34"/>
      <c r="C309" s="10"/>
      <c r="D309" s="33"/>
      <c r="E309" s="33"/>
      <c r="F309" s="33"/>
      <c r="G309" s="33"/>
      <c r="H309" s="72">
        <f t="shared" si="14"/>
        <v>0</v>
      </c>
      <c r="I309" s="12"/>
      <c r="J309" s="3" t="str">
        <f t="shared" si="13"/>
        <v>1</v>
      </c>
    </row>
    <row r="310" spans="2:10" ht="12.75" hidden="1" customHeight="1">
      <c r="B310" s="34"/>
      <c r="C310" s="10"/>
      <c r="D310" s="33"/>
      <c r="E310" s="33"/>
      <c r="F310" s="33"/>
      <c r="G310" s="33"/>
      <c r="H310" s="72">
        <f t="shared" si="14"/>
        <v>0</v>
      </c>
      <c r="I310" s="12"/>
      <c r="J310" s="3" t="str">
        <f t="shared" si="13"/>
        <v>1</v>
      </c>
    </row>
    <row r="311" spans="2:10" ht="12.75" hidden="1" customHeight="1">
      <c r="B311" s="34"/>
      <c r="C311" s="10"/>
      <c r="D311" s="33"/>
      <c r="E311" s="33"/>
      <c r="F311" s="33"/>
      <c r="G311" s="33"/>
      <c r="H311" s="72">
        <f t="shared" si="14"/>
        <v>0</v>
      </c>
      <c r="I311" s="12"/>
      <c r="J311" s="3" t="str">
        <f t="shared" si="13"/>
        <v>1</v>
      </c>
    </row>
    <row r="312" spans="2:10" ht="12.75" hidden="1" customHeight="1">
      <c r="B312" s="34"/>
      <c r="C312" s="10"/>
      <c r="D312" s="33"/>
      <c r="E312" s="33"/>
      <c r="F312" s="33"/>
      <c r="G312" s="33"/>
      <c r="H312" s="72">
        <f t="shared" si="14"/>
        <v>0</v>
      </c>
      <c r="I312" s="12"/>
      <c r="J312" s="3" t="str">
        <f t="shared" si="13"/>
        <v>1</v>
      </c>
    </row>
    <row r="313" spans="2:10" ht="12.75" hidden="1" customHeight="1">
      <c r="B313" s="34"/>
      <c r="C313" s="10"/>
      <c r="D313" s="33"/>
      <c r="E313" s="33"/>
      <c r="F313" s="33"/>
      <c r="G313" s="33"/>
      <c r="H313" s="72">
        <f t="shared" si="14"/>
        <v>0</v>
      </c>
      <c r="I313" s="12"/>
      <c r="J313" s="3" t="str">
        <f t="shared" si="13"/>
        <v>1</v>
      </c>
    </row>
    <row r="314" spans="2:10" ht="12.75" hidden="1" customHeight="1">
      <c r="B314" s="34"/>
      <c r="C314" s="10"/>
      <c r="D314" s="33"/>
      <c r="E314" s="33"/>
      <c r="F314" s="33"/>
      <c r="G314" s="33"/>
      <c r="H314" s="72">
        <f t="shared" si="14"/>
        <v>0</v>
      </c>
      <c r="I314" s="12"/>
      <c r="J314" s="3" t="str">
        <f t="shared" si="13"/>
        <v>1</v>
      </c>
    </row>
    <row r="315" spans="2:10" ht="12.75" hidden="1" customHeight="1">
      <c r="B315" s="34"/>
      <c r="C315" s="10"/>
      <c r="D315" s="33"/>
      <c r="E315" s="33"/>
      <c r="F315" s="33"/>
      <c r="G315" s="33"/>
      <c r="H315" s="72">
        <f t="shared" si="14"/>
        <v>0</v>
      </c>
      <c r="I315" s="12"/>
      <c r="J315" s="3" t="str">
        <f t="shared" si="13"/>
        <v>1</v>
      </c>
    </row>
    <row r="316" spans="2:10" ht="12.75" hidden="1" customHeight="1">
      <c r="B316" s="34"/>
      <c r="C316" s="10"/>
      <c r="D316" s="33"/>
      <c r="E316" s="33"/>
      <c r="F316" s="33"/>
      <c r="G316" s="33"/>
      <c r="H316" s="72">
        <f t="shared" si="14"/>
        <v>0</v>
      </c>
      <c r="I316" s="12"/>
      <c r="J316" s="3" t="str">
        <f t="shared" si="13"/>
        <v>1</v>
      </c>
    </row>
    <row r="317" spans="2:10" ht="12.75" hidden="1" customHeight="1">
      <c r="B317" s="34"/>
      <c r="C317" s="10"/>
      <c r="D317" s="33"/>
      <c r="E317" s="33"/>
      <c r="F317" s="33"/>
      <c r="G317" s="33"/>
      <c r="H317" s="72">
        <f t="shared" si="14"/>
        <v>0</v>
      </c>
      <c r="I317" s="12"/>
      <c r="J317" s="3" t="str">
        <f t="shared" si="13"/>
        <v>1</v>
      </c>
    </row>
    <row r="318" spans="2:10" ht="12.75" hidden="1" customHeight="1">
      <c r="B318" s="34"/>
      <c r="C318" s="10"/>
      <c r="D318" s="33"/>
      <c r="E318" s="33"/>
      <c r="F318" s="33"/>
      <c r="G318" s="33"/>
      <c r="H318" s="72">
        <f t="shared" si="14"/>
        <v>0</v>
      </c>
      <c r="I318" s="12"/>
      <c r="J318" s="3" t="str">
        <f t="shared" si="13"/>
        <v>1</v>
      </c>
    </row>
    <row r="319" spans="2:10" ht="12.75" hidden="1" customHeight="1">
      <c r="B319" s="34"/>
      <c r="C319" s="10"/>
      <c r="D319" s="33"/>
      <c r="E319" s="33"/>
      <c r="F319" s="33"/>
      <c r="G319" s="33"/>
      <c r="H319" s="72">
        <f t="shared" si="14"/>
        <v>0</v>
      </c>
      <c r="I319" s="12"/>
      <c r="J319" s="3" t="str">
        <f t="shared" si="13"/>
        <v>1</v>
      </c>
    </row>
    <row r="320" spans="2:10" ht="12.75" hidden="1" customHeight="1">
      <c r="B320" s="34"/>
      <c r="C320" s="10"/>
      <c r="D320" s="33"/>
      <c r="E320" s="33"/>
      <c r="F320" s="33"/>
      <c r="G320" s="33"/>
      <c r="H320" s="72">
        <f t="shared" si="14"/>
        <v>0</v>
      </c>
      <c r="I320" s="12"/>
      <c r="J320" s="3" t="str">
        <f t="shared" si="13"/>
        <v>1</v>
      </c>
    </row>
    <row r="321" spans="2:10" ht="12.75" hidden="1" customHeight="1">
      <c r="B321" s="34"/>
      <c r="C321" s="10"/>
      <c r="D321" s="33"/>
      <c r="E321" s="33"/>
      <c r="F321" s="33"/>
      <c r="G321" s="33"/>
      <c r="H321" s="72">
        <f t="shared" si="14"/>
        <v>0</v>
      </c>
      <c r="I321" s="12"/>
      <c r="J321" s="3" t="str">
        <f t="shared" si="13"/>
        <v>1</v>
      </c>
    </row>
    <row r="322" spans="2:10" ht="12.75" hidden="1" customHeight="1">
      <c r="B322" s="34"/>
      <c r="C322" s="10"/>
      <c r="D322" s="33"/>
      <c r="E322" s="33"/>
      <c r="F322" s="33"/>
      <c r="G322" s="33"/>
      <c r="H322" s="72">
        <f t="shared" si="14"/>
        <v>0</v>
      </c>
      <c r="I322" s="12"/>
      <c r="J322" s="3" t="str">
        <f t="shared" si="13"/>
        <v>1</v>
      </c>
    </row>
    <row r="323" spans="2:10" ht="12.75" hidden="1" customHeight="1">
      <c r="B323" s="34"/>
      <c r="C323" s="10"/>
      <c r="D323" s="33"/>
      <c r="E323" s="33"/>
      <c r="F323" s="33"/>
      <c r="G323" s="33"/>
      <c r="H323" s="72">
        <f t="shared" si="14"/>
        <v>0</v>
      </c>
      <c r="I323" s="12"/>
      <c r="J323" s="3" t="str">
        <f t="shared" ref="J323:J386" si="15">TRIM(C323) &amp; (COUNTIFS($C$4:$C$123, C323, $I$4:$I$123, "&gt;"&amp;I323) + 1)</f>
        <v>1</v>
      </c>
    </row>
    <row r="324" spans="2:10" ht="12.75" hidden="1" customHeight="1">
      <c r="B324" s="34"/>
      <c r="C324" s="10"/>
      <c r="D324" s="33"/>
      <c r="E324" s="33"/>
      <c r="F324" s="33"/>
      <c r="G324" s="33"/>
      <c r="H324" s="72">
        <f t="shared" si="14"/>
        <v>0</v>
      </c>
      <c r="I324" s="12"/>
      <c r="J324" s="3" t="str">
        <f t="shared" si="15"/>
        <v>1</v>
      </c>
    </row>
    <row r="325" spans="2:10" ht="12.75" hidden="1" customHeight="1">
      <c r="B325" s="34"/>
      <c r="C325" s="10"/>
      <c r="D325" s="33"/>
      <c r="E325" s="33"/>
      <c r="F325" s="33"/>
      <c r="G325" s="33"/>
      <c r="H325" s="72">
        <f t="shared" ref="H325:H388" si="16">IF(D325=0, COUNTIFS($C$4:$C$123, C325, $B$4:$B$123, "&lt;&gt;"), COUNTIFS($C$4:$C$123, C325, $D$4:$D$123, "&gt;"&amp;D325) + 1)</f>
        <v>0</v>
      </c>
      <c r="I325" s="12"/>
      <c r="J325" s="3" t="str">
        <f t="shared" si="15"/>
        <v>1</v>
      </c>
    </row>
    <row r="326" spans="2:10" ht="12.75" hidden="1" customHeight="1">
      <c r="B326" s="34"/>
      <c r="C326" s="10"/>
      <c r="D326" s="33"/>
      <c r="E326" s="33"/>
      <c r="F326" s="33"/>
      <c r="G326" s="33"/>
      <c r="H326" s="72">
        <f t="shared" si="16"/>
        <v>0</v>
      </c>
      <c r="I326" s="12"/>
      <c r="J326" s="3" t="str">
        <f t="shared" si="15"/>
        <v>1</v>
      </c>
    </row>
    <row r="327" spans="2:10" ht="12.75" hidden="1" customHeight="1">
      <c r="B327" s="34"/>
      <c r="C327" s="10"/>
      <c r="D327" s="33"/>
      <c r="E327" s="33"/>
      <c r="F327" s="33"/>
      <c r="G327" s="33"/>
      <c r="H327" s="72">
        <f t="shared" si="16"/>
        <v>0</v>
      </c>
      <c r="I327" s="12"/>
      <c r="J327" s="3" t="str">
        <f t="shared" si="15"/>
        <v>1</v>
      </c>
    </row>
    <row r="328" spans="2:10" ht="12.75" hidden="1" customHeight="1">
      <c r="B328" s="34"/>
      <c r="C328" s="10"/>
      <c r="D328" s="33"/>
      <c r="E328" s="33"/>
      <c r="F328" s="33"/>
      <c r="G328" s="33"/>
      <c r="H328" s="72">
        <f t="shared" si="16"/>
        <v>0</v>
      </c>
      <c r="I328" s="12"/>
      <c r="J328" s="3" t="str">
        <f t="shared" si="15"/>
        <v>1</v>
      </c>
    </row>
    <row r="329" spans="2:10" ht="12.75" hidden="1" customHeight="1">
      <c r="B329" s="34"/>
      <c r="C329" s="10"/>
      <c r="D329" s="33"/>
      <c r="E329" s="33"/>
      <c r="F329" s="33"/>
      <c r="G329" s="33"/>
      <c r="H329" s="72">
        <f t="shared" si="16"/>
        <v>0</v>
      </c>
      <c r="I329" s="12"/>
      <c r="J329" s="3" t="str">
        <f t="shared" si="15"/>
        <v>1</v>
      </c>
    </row>
    <row r="330" spans="2:10" ht="12.75" hidden="1" customHeight="1">
      <c r="B330" s="34"/>
      <c r="C330" s="10"/>
      <c r="D330" s="33"/>
      <c r="E330" s="33"/>
      <c r="F330" s="33"/>
      <c r="G330" s="33"/>
      <c r="H330" s="72">
        <f t="shared" si="16"/>
        <v>0</v>
      </c>
      <c r="I330" s="12"/>
      <c r="J330" s="3" t="str">
        <f t="shared" si="15"/>
        <v>1</v>
      </c>
    </row>
    <row r="331" spans="2:10" ht="12.75" hidden="1" customHeight="1">
      <c r="B331" s="34"/>
      <c r="C331" s="10"/>
      <c r="D331" s="33"/>
      <c r="E331" s="33"/>
      <c r="F331" s="33"/>
      <c r="G331" s="33"/>
      <c r="H331" s="72">
        <f t="shared" si="16"/>
        <v>0</v>
      </c>
      <c r="I331" s="12"/>
      <c r="J331" s="3" t="str">
        <f t="shared" si="15"/>
        <v>1</v>
      </c>
    </row>
    <row r="332" spans="2:10" ht="12.75" hidden="1" customHeight="1">
      <c r="B332" s="34"/>
      <c r="C332" s="10"/>
      <c r="D332" s="33"/>
      <c r="E332" s="33"/>
      <c r="F332" s="33"/>
      <c r="G332" s="33"/>
      <c r="H332" s="72">
        <f t="shared" si="16"/>
        <v>0</v>
      </c>
      <c r="I332" s="12"/>
      <c r="J332" s="3" t="str">
        <f t="shared" si="15"/>
        <v>1</v>
      </c>
    </row>
    <row r="333" spans="2:10" ht="12.75" hidden="1" customHeight="1">
      <c r="B333" s="34"/>
      <c r="C333" s="10"/>
      <c r="D333" s="33"/>
      <c r="E333" s="33"/>
      <c r="F333" s="33"/>
      <c r="G333" s="33"/>
      <c r="H333" s="72">
        <f t="shared" si="16"/>
        <v>0</v>
      </c>
      <c r="I333" s="12"/>
      <c r="J333" s="3" t="str">
        <f t="shared" si="15"/>
        <v>1</v>
      </c>
    </row>
    <row r="334" spans="2:10" ht="12.75" hidden="1" customHeight="1">
      <c r="B334" s="34"/>
      <c r="C334" s="10"/>
      <c r="D334" s="33"/>
      <c r="E334" s="33"/>
      <c r="F334" s="33"/>
      <c r="G334" s="33"/>
      <c r="H334" s="72">
        <f t="shared" si="16"/>
        <v>0</v>
      </c>
      <c r="I334" s="12"/>
      <c r="J334" s="3" t="str">
        <f t="shared" si="15"/>
        <v>1</v>
      </c>
    </row>
    <row r="335" spans="2:10" ht="12.75" hidden="1" customHeight="1">
      <c r="B335" s="34"/>
      <c r="C335" s="10"/>
      <c r="D335" s="33"/>
      <c r="E335" s="33"/>
      <c r="F335" s="33"/>
      <c r="G335" s="33"/>
      <c r="H335" s="72">
        <f t="shared" si="16"/>
        <v>0</v>
      </c>
      <c r="I335" s="12"/>
      <c r="J335" s="3" t="str">
        <f t="shared" si="15"/>
        <v>1</v>
      </c>
    </row>
    <row r="336" spans="2:10" ht="12.75" hidden="1" customHeight="1">
      <c r="B336" s="34"/>
      <c r="C336" s="10"/>
      <c r="D336" s="33"/>
      <c r="E336" s="33"/>
      <c r="F336" s="33"/>
      <c r="G336" s="33"/>
      <c r="H336" s="72">
        <f t="shared" si="16"/>
        <v>0</v>
      </c>
      <c r="I336" s="12"/>
      <c r="J336" s="3" t="str">
        <f t="shared" si="15"/>
        <v>1</v>
      </c>
    </row>
    <row r="337" spans="2:10" ht="12.75" hidden="1" customHeight="1">
      <c r="B337" s="34"/>
      <c r="C337" s="10"/>
      <c r="D337" s="33"/>
      <c r="E337" s="33"/>
      <c r="F337" s="33"/>
      <c r="G337" s="33"/>
      <c r="H337" s="72">
        <f t="shared" si="16"/>
        <v>0</v>
      </c>
      <c r="I337" s="12"/>
      <c r="J337" s="3" t="str">
        <f t="shared" si="15"/>
        <v>1</v>
      </c>
    </row>
    <row r="338" spans="2:10" ht="12.75" hidden="1" customHeight="1">
      <c r="B338" s="34"/>
      <c r="C338" s="10"/>
      <c r="D338" s="33"/>
      <c r="E338" s="33"/>
      <c r="F338" s="33"/>
      <c r="G338" s="33"/>
      <c r="H338" s="72">
        <f t="shared" si="16"/>
        <v>0</v>
      </c>
      <c r="I338" s="12"/>
      <c r="J338" s="3" t="str">
        <f t="shared" si="15"/>
        <v>1</v>
      </c>
    </row>
    <row r="339" spans="2:10" ht="12.75" hidden="1" customHeight="1">
      <c r="B339" s="34"/>
      <c r="C339" s="10"/>
      <c r="D339" s="33"/>
      <c r="E339" s="33"/>
      <c r="F339" s="33"/>
      <c r="G339" s="33"/>
      <c r="H339" s="72">
        <f t="shared" si="16"/>
        <v>0</v>
      </c>
      <c r="I339" s="12"/>
      <c r="J339" s="3" t="str">
        <f t="shared" si="15"/>
        <v>1</v>
      </c>
    </row>
    <row r="340" spans="2:10" ht="12.75" hidden="1" customHeight="1">
      <c r="B340" s="34"/>
      <c r="C340" s="10"/>
      <c r="D340" s="33"/>
      <c r="E340" s="33"/>
      <c r="F340" s="33"/>
      <c r="G340" s="33"/>
      <c r="H340" s="72">
        <f t="shared" si="16"/>
        <v>0</v>
      </c>
      <c r="I340" s="12"/>
      <c r="J340" s="3" t="str">
        <f t="shared" si="15"/>
        <v>1</v>
      </c>
    </row>
    <row r="341" spans="2:10" ht="12.75" hidden="1" customHeight="1">
      <c r="B341" s="34"/>
      <c r="C341" s="10"/>
      <c r="D341" s="33"/>
      <c r="E341" s="33"/>
      <c r="F341" s="33"/>
      <c r="G341" s="33"/>
      <c r="H341" s="72">
        <f t="shared" si="16"/>
        <v>0</v>
      </c>
      <c r="I341" s="12"/>
      <c r="J341" s="3" t="str">
        <f t="shared" si="15"/>
        <v>1</v>
      </c>
    </row>
    <row r="342" spans="2:10" ht="12.75" hidden="1" customHeight="1">
      <c r="B342" s="34"/>
      <c r="C342" s="10"/>
      <c r="D342" s="33"/>
      <c r="E342" s="33"/>
      <c r="F342" s="33"/>
      <c r="G342" s="33"/>
      <c r="H342" s="72">
        <f t="shared" si="16"/>
        <v>0</v>
      </c>
      <c r="I342" s="12"/>
      <c r="J342" s="3" t="str">
        <f t="shared" si="15"/>
        <v>1</v>
      </c>
    </row>
    <row r="343" spans="2:10" ht="12.75" hidden="1" customHeight="1">
      <c r="B343" s="34"/>
      <c r="C343" s="10"/>
      <c r="D343" s="33"/>
      <c r="E343" s="33"/>
      <c r="F343" s="33"/>
      <c r="G343" s="33"/>
      <c r="H343" s="72">
        <f t="shared" si="16"/>
        <v>0</v>
      </c>
      <c r="I343" s="12"/>
      <c r="J343" s="3" t="str">
        <f t="shared" si="15"/>
        <v>1</v>
      </c>
    </row>
    <row r="344" spans="2:10" ht="12.75" hidden="1" customHeight="1">
      <c r="B344" s="34"/>
      <c r="C344" s="10"/>
      <c r="D344" s="33"/>
      <c r="E344" s="33"/>
      <c r="F344" s="33"/>
      <c r="G344" s="33"/>
      <c r="H344" s="72">
        <f t="shared" si="16"/>
        <v>0</v>
      </c>
      <c r="I344" s="12"/>
      <c r="J344" s="3" t="str">
        <f t="shared" si="15"/>
        <v>1</v>
      </c>
    </row>
    <row r="345" spans="2:10" ht="12.75" hidden="1" customHeight="1">
      <c r="B345" s="34"/>
      <c r="C345" s="10"/>
      <c r="D345" s="33"/>
      <c r="E345" s="33"/>
      <c r="F345" s="33"/>
      <c r="G345" s="33"/>
      <c r="H345" s="72">
        <f t="shared" si="16"/>
        <v>0</v>
      </c>
      <c r="I345" s="12"/>
      <c r="J345" s="3" t="str">
        <f t="shared" si="15"/>
        <v>1</v>
      </c>
    </row>
    <row r="346" spans="2:10" ht="12.75" hidden="1" customHeight="1">
      <c r="B346" s="34"/>
      <c r="C346" s="10"/>
      <c r="D346" s="33"/>
      <c r="E346" s="33"/>
      <c r="F346" s="33"/>
      <c r="G346" s="33"/>
      <c r="H346" s="72">
        <f t="shared" si="16"/>
        <v>0</v>
      </c>
      <c r="I346" s="12"/>
      <c r="J346" s="3" t="str">
        <f t="shared" si="15"/>
        <v>1</v>
      </c>
    </row>
    <row r="347" spans="2:10" ht="12.75" hidden="1" customHeight="1">
      <c r="B347" s="34"/>
      <c r="C347" s="10"/>
      <c r="D347" s="33"/>
      <c r="E347" s="33"/>
      <c r="F347" s="33"/>
      <c r="G347" s="33"/>
      <c r="H347" s="72">
        <f t="shared" si="16"/>
        <v>0</v>
      </c>
      <c r="I347" s="12"/>
      <c r="J347" s="3" t="str">
        <f t="shared" si="15"/>
        <v>1</v>
      </c>
    </row>
    <row r="348" spans="2:10" ht="12.75" hidden="1" customHeight="1">
      <c r="B348" s="34"/>
      <c r="C348" s="10"/>
      <c r="D348" s="33"/>
      <c r="E348" s="33"/>
      <c r="F348" s="33"/>
      <c r="G348" s="33"/>
      <c r="H348" s="72">
        <f t="shared" si="16"/>
        <v>0</v>
      </c>
      <c r="I348" s="12"/>
      <c r="J348" s="3" t="str">
        <f t="shared" si="15"/>
        <v>1</v>
      </c>
    </row>
    <row r="349" spans="2:10" ht="12.75" hidden="1" customHeight="1">
      <c r="B349" s="34"/>
      <c r="C349" s="10"/>
      <c r="D349" s="33"/>
      <c r="E349" s="33"/>
      <c r="F349" s="33"/>
      <c r="G349" s="33"/>
      <c r="H349" s="72">
        <f t="shared" si="16"/>
        <v>0</v>
      </c>
      <c r="I349" s="12"/>
      <c r="J349" s="3" t="str">
        <f t="shared" si="15"/>
        <v>1</v>
      </c>
    </row>
    <row r="350" spans="2:10" ht="12.75" hidden="1" customHeight="1">
      <c r="B350" s="34"/>
      <c r="C350" s="10"/>
      <c r="D350" s="33"/>
      <c r="E350" s="33"/>
      <c r="F350" s="33"/>
      <c r="G350" s="33"/>
      <c r="H350" s="72">
        <f t="shared" si="16"/>
        <v>0</v>
      </c>
      <c r="I350" s="12"/>
      <c r="J350" s="3" t="str">
        <f t="shared" si="15"/>
        <v>1</v>
      </c>
    </row>
    <row r="351" spans="2:10" ht="12.75" hidden="1" customHeight="1">
      <c r="B351" s="34"/>
      <c r="C351" s="10"/>
      <c r="D351" s="33"/>
      <c r="E351" s="33"/>
      <c r="F351" s="33"/>
      <c r="G351" s="33"/>
      <c r="H351" s="72">
        <f t="shared" si="16"/>
        <v>0</v>
      </c>
      <c r="I351" s="12"/>
      <c r="J351" s="3" t="str">
        <f t="shared" si="15"/>
        <v>1</v>
      </c>
    </row>
    <row r="352" spans="2:10" ht="12.75" hidden="1" customHeight="1">
      <c r="B352" s="34"/>
      <c r="C352" s="10"/>
      <c r="D352" s="33"/>
      <c r="E352" s="33"/>
      <c r="F352" s="33"/>
      <c r="G352" s="33"/>
      <c r="H352" s="72">
        <f t="shared" si="16"/>
        <v>0</v>
      </c>
      <c r="I352" s="12"/>
      <c r="J352" s="3" t="str">
        <f t="shared" si="15"/>
        <v>1</v>
      </c>
    </row>
    <row r="353" spans="2:10" ht="12.75" hidden="1" customHeight="1">
      <c r="B353" s="34"/>
      <c r="C353" s="10"/>
      <c r="D353" s="33"/>
      <c r="E353" s="33"/>
      <c r="F353" s="33"/>
      <c r="G353" s="33"/>
      <c r="H353" s="72">
        <f t="shared" si="16"/>
        <v>0</v>
      </c>
      <c r="I353" s="12"/>
      <c r="J353" s="3" t="str">
        <f t="shared" si="15"/>
        <v>1</v>
      </c>
    </row>
    <row r="354" spans="2:10" ht="12.75" hidden="1" customHeight="1">
      <c r="B354" s="34"/>
      <c r="C354" s="10"/>
      <c r="D354" s="33"/>
      <c r="E354" s="33"/>
      <c r="F354" s="33"/>
      <c r="G354" s="33"/>
      <c r="H354" s="72">
        <f t="shared" si="16"/>
        <v>0</v>
      </c>
      <c r="I354" s="12"/>
      <c r="J354" s="3" t="str">
        <f t="shared" si="15"/>
        <v>1</v>
      </c>
    </row>
    <row r="355" spans="2:10" ht="12.75" hidden="1" customHeight="1">
      <c r="B355" s="34"/>
      <c r="C355" s="10"/>
      <c r="D355" s="33"/>
      <c r="E355" s="33"/>
      <c r="F355" s="33"/>
      <c r="G355" s="33"/>
      <c r="H355" s="72">
        <f t="shared" si="16"/>
        <v>0</v>
      </c>
      <c r="I355" s="12"/>
      <c r="J355" s="3" t="str">
        <f t="shared" si="15"/>
        <v>1</v>
      </c>
    </row>
    <row r="356" spans="2:10" ht="12.75" hidden="1" customHeight="1">
      <c r="B356" s="34"/>
      <c r="C356" s="10"/>
      <c r="D356" s="33"/>
      <c r="E356" s="33"/>
      <c r="F356" s="33"/>
      <c r="G356" s="33"/>
      <c r="H356" s="72">
        <f t="shared" si="16"/>
        <v>0</v>
      </c>
      <c r="I356" s="12"/>
      <c r="J356" s="3" t="str">
        <f t="shared" si="15"/>
        <v>1</v>
      </c>
    </row>
    <row r="357" spans="2:10" ht="12.75" hidden="1" customHeight="1">
      <c r="B357" s="34"/>
      <c r="C357" s="10"/>
      <c r="D357" s="33"/>
      <c r="E357" s="33"/>
      <c r="F357" s="33"/>
      <c r="G357" s="33"/>
      <c r="H357" s="72">
        <f t="shared" si="16"/>
        <v>0</v>
      </c>
      <c r="I357" s="12"/>
      <c r="J357" s="3" t="str">
        <f t="shared" si="15"/>
        <v>1</v>
      </c>
    </row>
    <row r="358" spans="2:10" ht="12.75" hidden="1" customHeight="1">
      <c r="B358" s="34"/>
      <c r="C358" s="10"/>
      <c r="D358" s="33"/>
      <c r="E358" s="33"/>
      <c r="F358" s="33"/>
      <c r="G358" s="33"/>
      <c r="H358" s="72">
        <f t="shared" si="16"/>
        <v>0</v>
      </c>
      <c r="I358" s="12"/>
      <c r="J358" s="3" t="str">
        <f t="shared" si="15"/>
        <v>1</v>
      </c>
    </row>
    <row r="359" spans="2:10" ht="12.75" hidden="1" customHeight="1">
      <c r="B359" s="34"/>
      <c r="C359" s="10"/>
      <c r="D359" s="33"/>
      <c r="E359" s="33"/>
      <c r="F359" s="33"/>
      <c r="G359" s="33"/>
      <c r="H359" s="72">
        <f t="shared" si="16"/>
        <v>0</v>
      </c>
      <c r="I359" s="12"/>
      <c r="J359" s="3" t="str">
        <f t="shared" si="15"/>
        <v>1</v>
      </c>
    </row>
    <row r="360" spans="2:10" ht="12.75" hidden="1" customHeight="1">
      <c r="B360" s="34"/>
      <c r="C360" s="10"/>
      <c r="D360" s="33"/>
      <c r="E360" s="33"/>
      <c r="F360" s="33"/>
      <c r="G360" s="33"/>
      <c r="H360" s="72">
        <f t="shared" si="16"/>
        <v>0</v>
      </c>
      <c r="I360" s="12"/>
      <c r="J360" s="3" t="str">
        <f t="shared" si="15"/>
        <v>1</v>
      </c>
    </row>
    <row r="361" spans="2:10" ht="12.75" hidden="1" customHeight="1">
      <c r="B361" s="34"/>
      <c r="C361" s="10"/>
      <c r="D361" s="33"/>
      <c r="E361" s="33"/>
      <c r="F361" s="33"/>
      <c r="G361" s="33"/>
      <c r="H361" s="72">
        <f t="shared" si="16"/>
        <v>0</v>
      </c>
      <c r="I361" s="12"/>
      <c r="J361" s="3" t="str">
        <f t="shared" si="15"/>
        <v>1</v>
      </c>
    </row>
    <row r="362" spans="2:10" ht="12.75" hidden="1" customHeight="1">
      <c r="B362" s="34"/>
      <c r="C362" s="10"/>
      <c r="D362" s="33"/>
      <c r="E362" s="33"/>
      <c r="F362" s="33"/>
      <c r="G362" s="33"/>
      <c r="H362" s="72">
        <f t="shared" si="16"/>
        <v>0</v>
      </c>
      <c r="I362" s="12"/>
      <c r="J362" s="3" t="str">
        <f t="shared" si="15"/>
        <v>1</v>
      </c>
    </row>
    <row r="363" spans="2:10" ht="12.75" hidden="1" customHeight="1">
      <c r="B363" s="34"/>
      <c r="C363" s="10"/>
      <c r="D363" s="33"/>
      <c r="E363" s="33"/>
      <c r="F363" s="33"/>
      <c r="G363" s="33"/>
      <c r="H363" s="72">
        <f t="shared" si="16"/>
        <v>0</v>
      </c>
      <c r="I363" s="12"/>
      <c r="J363" s="3" t="str">
        <f t="shared" si="15"/>
        <v>1</v>
      </c>
    </row>
    <row r="364" spans="2:10" ht="12.75" hidden="1" customHeight="1">
      <c r="B364" s="34"/>
      <c r="C364" s="10"/>
      <c r="D364" s="33"/>
      <c r="E364" s="33"/>
      <c r="F364" s="33"/>
      <c r="G364" s="33"/>
      <c r="H364" s="72">
        <f t="shared" si="16"/>
        <v>0</v>
      </c>
      <c r="I364" s="12"/>
      <c r="J364" s="3" t="str">
        <f t="shared" si="15"/>
        <v>1</v>
      </c>
    </row>
    <row r="365" spans="2:10" ht="12.75" hidden="1" customHeight="1">
      <c r="B365" s="34"/>
      <c r="C365" s="10"/>
      <c r="D365" s="33"/>
      <c r="E365" s="33"/>
      <c r="F365" s="33"/>
      <c r="G365" s="33"/>
      <c r="H365" s="72">
        <f t="shared" si="16"/>
        <v>0</v>
      </c>
      <c r="I365" s="12"/>
      <c r="J365" s="3" t="str">
        <f t="shared" si="15"/>
        <v>1</v>
      </c>
    </row>
    <row r="366" spans="2:10" ht="12.75" hidden="1" customHeight="1">
      <c r="B366" s="34"/>
      <c r="C366" s="10"/>
      <c r="D366" s="33"/>
      <c r="E366" s="33"/>
      <c r="F366" s="33"/>
      <c r="G366" s="33"/>
      <c r="H366" s="72">
        <f t="shared" si="16"/>
        <v>0</v>
      </c>
      <c r="I366" s="12"/>
      <c r="J366" s="3" t="str">
        <f t="shared" si="15"/>
        <v>1</v>
      </c>
    </row>
    <row r="367" spans="2:10" ht="12.75" hidden="1" customHeight="1">
      <c r="B367" s="34"/>
      <c r="C367" s="10"/>
      <c r="D367" s="33"/>
      <c r="E367" s="33"/>
      <c r="F367" s="33"/>
      <c r="G367" s="33"/>
      <c r="H367" s="72">
        <f t="shared" si="16"/>
        <v>0</v>
      </c>
      <c r="I367" s="12"/>
      <c r="J367" s="3" t="str">
        <f t="shared" si="15"/>
        <v>1</v>
      </c>
    </row>
    <row r="368" spans="2:10" ht="12.75" hidden="1" customHeight="1">
      <c r="B368" s="34"/>
      <c r="C368" s="10"/>
      <c r="D368" s="33"/>
      <c r="E368" s="33"/>
      <c r="F368" s="33"/>
      <c r="G368" s="33"/>
      <c r="H368" s="72">
        <f t="shared" si="16"/>
        <v>0</v>
      </c>
      <c r="I368" s="12"/>
      <c r="J368" s="3" t="str">
        <f t="shared" si="15"/>
        <v>1</v>
      </c>
    </row>
    <row r="369" spans="2:10" ht="12.75" hidden="1" customHeight="1">
      <c r="B369" s="34"/>
      <c r="C369" s="10"/>
      <c r="D369" s="33"/>
      <c r="E369" s="33"/>
      <c r="F369" s="33"/>
      <c r="G369" s="33"/>
      <c r="H369" s="72">
        <f t="shared" si="16"/>
        <v>0</v>
      </c>
      <c r="I369" s="12"/>
      <c r="J369" s="3" t="str">
        <f t="shared" si="15"/>
        <v>1</v>
      </c>
    </row>
    <row r="370" spans="2:10" ht="12.75" hidden="1" customHeight="1">
      <c r="B370" s="34"/>
      <c r="C370" s="10"/>
      <c r="D370" s="33"/>
      <c r="E370" s="33"/>
      <c r="F370" s="33"/>
      <c r="G370" s="33"/>
      <c r="H370" s="72">
        <f t="shared" si="16"/>
        <v>0</v>
      </c>
      <c r="I370" s="12"/>
      <c r="J370" s="3" t="str">
        <f t="shared" si="15"/>
        <v>1</v>
      </c>
    </row>
    <row r="371" spans="2:10" ht="12.75" hidden="1" customHeight="1">
      <c r="B371" s="34"/>
      <c r="C371" s="10"/>
      <c r="D371" s="33"/>
      <c r="E371" s="33"/>
      <c r="F371" s="33"/>
      <c r="G371" s="33"/>
      <c r="H371" s="72">
        <f t="shared" si="16"/>
        <v>0</v>
      </c>
      <c r="I371" s="12"/>
      <c r="J371" s="3" t="str">
        <f t="shared" si="15"/>
        <v>1</v>
      </c>
    </row>
    <row r="372" spans="2:10" ht="12.75" hidden="1" customHeight="1">
      <c r="B372" s="34"/>
      <c r="C372" s="10"/>
      <c r="D372" s="33"/>
      <c r="E372" s="33"/>
      <c r="F372" s="33"/>
      <c r="G372" s="33"/>
      <c r="H372" s="72">
        <f t="shared" si="16"/>
        <v>0</v>
      </c>
      <c r="I372" s="12"/>
      <c r="J372" s="3" t="str">
        <f t="shared" si="15"/>
        <v>1</v>
      </c>
    </row>
    <row r="373" spans="2:10" ht="12.75" hidden="1" customHeight="1">
      <c r="B373" s="34"/>
      <c r="C373" s="10"/>
      <c r="D373" s="33"/>
      <c r="E373" s="33"/>
      <c r="F373" s="33"/>
      <c r="G373" s="33"/>
      <c r="H373" s="72">
        <f t="shared" si="16"/>
        <v>0</v>
      </c>
      <c r="I373" s="12"/>
      <c r="J373" s="3" t="str">
        <f t="shared" si="15"/>
        <v>1</v>
      </c>
    </row>
    <row r="374" spans="2:10" ht="12.75" hidden="1" customHeight="1">
      <c r="B374" s="34"/>
      <c r="C374" s="10"/>
      <c r="D374" s="33"/>
      <c r="E374" s="33"/>
      <c r="F374" s="33"/>
      <c r="G374" s="33"/>
      <c r="H374" s="72">
        <f t="shared" si="16"/>
        <v>0</v>
      </c>
      <c r="I374" s="12"/>
      <c r="J374" s="3" t="str">
        <f t="shared" si="15"/>
        <v>1</v>
      </c>
    </row>
    <row r="375" spans="2:10" ht="12.75" hidden="1" customHeight="1">
      <c r="B375" s="34"/>
      <c r="C375" s="10"/>
      <c r="D375" s="33"/>
      <c r="E375" s="33"/>
      <c r="F375" s="33"/>
      <c r="G375" s="33"/>
      <c r="H375" s="72">
        <f t="shared" si="16"/>
        <v>0</v>
      </c>
      <c r="I375" s="12"/>
      <c r="J375" s="3" t="str">
        <f t="shared" si="15"/>
        <v>1</v>
      </c>
    </row>
    <row r="376" spans="2:10" ht="12.75" hidden="1" customHeight="1">
      <c r="B376" s="34"/>
      <c r="C376" s="10"/>
      <c r="D376" s="33"/>
      <c r="E376" s="33"/>
      <c r="F376" s="33"/>
      <c r="G376" s="33"/>
      <c r="H376" s="72">
        <f t="shared" si="16"/>
        <v>0</v>
      </c>
      <c r="I376" s="12"/>
      <c r="J376" s="3" t="str">
        <f t="shared" si="15"/>
        <v>1</v>
      </c>
    </row>
    <row r="377" spans="2:10" ht="12.75" hidden="1" customHeight="1">
      <c r="B377" s="34"/>
      <c r="C377" s="10"/>
      <c r="D377" s="33"/>
      <c r="E377" s="33"/>
      <c r="F377" s="33"/>
      <c r="G377" s="33"/>
      <c r="H377" s="72">
        <f t="shared" si="16"/>
        <v>0</v>
      </c>
      <c r="I377" s="12"/>
      <c r="J377" s="3" t="str">
        <f t="shared" si="15"/>
        <v>1</v>
      </c>
    </row>
    <row r="378" spans="2:10" ht="12.75" hidden="1" customHeight="1">
      <c r="B378" s="34"/>
      <c r="C378" s="10"/>
      <c r="D378" s="33"/>
      <c r="E378" s="33"/>
      <c r="F378" s="33"/>
      <c r="G378" s="33"/>
      <c r="H378" s="72">
        <f t="shared" si="16"/>
        <v>0</v>
      </c>
      <c r="I378" s="12"/>
      <c r="J378" s="3" t="str">
        <f t="shared" si="15"/>
        <v>1</v>
      </c>
    </row>
    <row r="379" spans="2:10" ht="12.75" hidden="1" customHeight="1">
      <c r="B379" s="34"/>
      <c r="C379" s="10"/>
      <c r="D379" s="33"/>
      <c r="E379" s="33"/>
      <c r="F379" s="33"/>
      <c r="G379" s="33"/>
      <c r="H379" s="72">
        <f t="shared" si="16"/>
        <v>0</v>
      </c>
      <c r="I379" s="12"/>
      <c r="J379" s="3" t="str">
        <f t="shared" si="15"/>
        <v>1</v>
      </c>
    </row>
    <row r="380" spans="2:10" ht="12.75" hidden="1" customHeight="1">
      <c r="B380" s="34"/>
      <c r="C380" s="10"/>
      <c r="D380" s="33"/>
      <c r="E380" s="33"/>
      <c r="F380" s="33"/>
      <c r="G380" s="33"/>
      <c r="H380" s="72">
        <f t="shared" si="16"/>
        <v>0</v>
      </c>
      <c r="I380" s="12"/>
      <c r="J380" s="3" t="str">
        <f t="shared" si="15"/>
        <v>1</v>
      </c>
    </row>
    <row r="381" spans="2:10" ht="12.75" hidden="1" customHeight="1">
      <c r="B381" s="34"/>
      <c r="C381" s="10"/>
      <c r="D381" s="33"/>
      <c r="E381" s="33"/>
      <c r="F381" s="33"/>
      <c r="G381" s="33"/>
      <c r="H381" s="72">
        <f t="shared" si="16"/>
        <v>0</v>
      </c>
      <c r="I381" s="12"/>
      <c r="J381" s="3" t="str">
        <f t="shared" si="15"/>
        <v>1</v>
      </c>
    </row>
    <row r="382" spans="2:10" ht="12.75" hidden="1" customHeight="1">
      <c r="B382" s="34"/>
      <c r="C382" s="10"/>
      <c r="D382" s="33"/>
      <c r="E382" s="33"/>
      <c r="F382" s="33"/>
      <c r="G382" s="33"/>
      <c r="H382" s="72">
        <f t="shared" si="16"/>
        <v>0</v>
      </c>
      <c r="I382" s="12"/>
      <c r="J382" s="3" t="str">
        <f t="shared" si="15"/>
        <v>1</v>
      </c>
    </row>
    <row r="383" spans="2:10" ht="12.75" hidden="1" customHeight="1">
      <c r="B383" s="34"/>
      <c r="C383" s="10"/>
      <c r="D383" s="33"/>
      <c r="E383" s="33"/>
      <c r="F383" s="33"/>
      <c r="G383" s="33"/>
      <c r="H383" s="72">
        <f t="shared" si="16"/>
        <v>0</v>
      </c>
      <c r="I383" s="12"/>
      <c r="J383" s="3" t="str">
        <f t="shared" si="15"/>
        <v>1</v>
      </c>
    </row>
    <row r="384" spans="2:10" ht="12.75" hidden="1" customHeight="1">
      <c r="B384" s="34"/>
      <c r="C384" s="10"/>
      <c r="D384" s="33"/>
      <c r="E384" s="33"/>
      <c r="F384" s="33"/>
      <c r="G384" s="33"/>
      <c r="H384" s="72">
        <f t="shared" si="16"/>
        <v>0</v>
      </c>
      <c r="I384" s="12"/>
      <c r="J384" s="3" t="str">
        <f t="shared" si="15"/>
        <v>1</v>
      </c>
    </row>
    <row r="385" spans="2:10" ht="12.75" hidden="1" customHeight="1">
      <c r="B385" s="34"/>
      <c r="C385" s="10"/>
      <c r="D385" s="33"/>
      <c r="E385" s="33"/>
      <c r="F385" s="33"/>
      <c r="G385" s="33"/>
      <c r="H385" s="72">
        <f t="shared" si="16"/>
        <v>0</v>
      </c>
      <c r="I385" s="12"/>
      <c r="J385" s="3" t="str">
        <f t="shared" si="15"/>
        <v>1</v>
      </c>
    </row>
    <row r="386" spans="2:10" ht="12.75" hidden="1" customHeight="1">
      <c r="B386" s="34"/>
      <c r="C386" s="10"/>
      <c r="D386" s="33"/>
      <c r="E386" s="33"/>
      <c r="F386" s="33"/>
      <c r="G386" s="33"/>
      <c r="H386" s="72">
        <f t="shared" si="16"/>
        <v>0</v>
      </c>
      <c r="I386" s="12"/>
      <c r="J386" s="3" t="str">
        <f t="shared" si="15"/>
        <v>1</v>
      </c>
    </row>
    <row r="387" spans="2:10" ht="12.75" hidden="1" customHeight="1">
      <c r="B387" s="34"/>
      <c r="C387" s="10"/>
      <c r="D387" s="33"/>
      <c r="E387" s="33"/>
      <c r="F387" s="33"/>
      <c r="G387" s="33"/>
      <c r="H387" s="72">
        <f t="shared" si="16"/>
        <v>0</v>
      </c>
      <c r="I387" s="12"/>
      <c r="J387" s="3" t="str">
        <f t="shared" ref="J387:J450" si="17">TRIM(C387) &amp; (COUNTIFS($C$4:$C$123, C387, $I$4:$I$123, "&gt;"&amp;I387) + 1)</f>
        <v>1</v>
      </c>
    </row>
    <row r="388" spans="2:10" ht="12.75" hidden="1" customHeight="1">
      <c r="B388" s="34"/>
      <c r="C388" s="10"/>
      <c r="D388" s="33"/>
      <c r="E388" s="33"/>
      <c r="F388" s="33"/>
      <c r="G388" s="33"/>
      <c r="H388" s="72">
        <f t="shared" si="16"/>
        <v>0</v>
      </c>
      <c r="I388" s="12"/>
      <c r="J388" s="3" t="str">
        <f t="shared" si="17"/>
        <v>1</v>
      </c>
    </row>
    <row r="389" spans="2:10" ht="12.75" hidden="1" customHeight="1">
      <c r="B389" s="34"/>
      <c r="C389" s="10"/>
      <c r="D389" s="33"/>
      <c r="E389" s="33"/>
      <c r="F389" s="33"/>
      <c r="G389" s="33"/>
      <c r="H389" s="72">
        <f t="shared" ref="H389:H452" si="18">IF(D389=0, COUNTIFS($C$4:$C$123, C389, $B$4:$B$123, "&lt;&gt;"), COUNTIFS($C$4:$C$123, C389, $D$4:$D$123, "&gt;"&amp;D389) + 1)</f>
        <v>0</v>
      </c>
      <c r="I389" s="12"/>
      <c r="J389" s="3" t="str">
        <f t="shared" si="17"/>
        <v>1</v>
      </c>
    </row>
    <row r="390" spans="2:10" ht="12.75" hidden="1" customHeight="1">
      <c r="B390" s="34"/>
      <c r="C390" s="10"/>
      <c r="D390" s="33"/>
      <c r="E390" s="33"/>
      <c r="F390" s="33"/>
      <c r="G390" s="33"/>
      <c r="H390" s="72">
        <f t="shared" si="18"/>
        <v>0</v>
      </c>
      <c r="I390" s="12"/>
      <c r="J390" s="3" t="str">
        <f t="shared" si="17"/>
        <v>1</v>
      </c>
    </row>
    <row r="391" spans="2:10" ht="12.75" hidden="1" customHeight="1">
      <c r="B391" s="34"/>
      <c r="C391" s="10"/>
      <c r="D391" s="33"/>
      <c r="E391" s="33"/>
      <c r="F391" s="33"/>
      <c r="G391" s="33"/>
      <c r="H391" s="72">
        <f t="shared" si="18"/>
        <v>0</v>
      </c>
      <c r="I391" s="12"/>
      <c r="J391" s="3" t="str">
        <f t="shared" si="17"/>
        <v>1</v>
      </c>
    </row>
    <row r="392" spans="2:10" ht="12.75" hidden="1" customHeight="1">
      <c r="B392" s="34"/>
      <c r="C392" s="10"/>
      <c r="D392" s="33"/>
      <c r="E392" s="33"/>
      <c r="F392" s="33"/>
      <c r="G392" s="33"/>
      <c r="H392" s="72">
        <f t="shared" si="18"/>
        <v>0</v>
      </c>
      <c r="I392" s="12"/>
      <c r="J392" s="3" t="str">
        <f t="shared" si="17"/>
        <v>1</v>
      </c>
    </row>
    <row r="393" spans="2:10" ht="12.75" hidden="1" customHeight="1">
      <c r="B393" s="34"/>
      <c r="C393" s="10"/>
      <c r="D393" s="33"/>
      <c r="E393" s="33"/>
      <c r="F393" s="33"/>
      <c r="G393" s="33"/>
      <c r="H393" s="72">
        <f t="shared" si="18"/>
        <v>0</v>
      </c>
      <c r="I393" s="12"/>
      <c r="J393" s="3" t="str">
        <f t="shared" si="17"/>
        <v>1</v>
      </c>
    </row>
    <row r="394" spans="2:10" ht="12.75" hidden="1" customHeight="1">
      <c r="B394" s="34"/>
      <c r="C394" s="10"/>
      <c r="D394" s="33"/>
      <c r="E394" s="33"/>
      <c r="F394" s="33"/>
      <c r="G394" s="33"/>
      <c r="H394" s="72">
        <f t="shared" si="18"/>
        <v>0</v>
      </c>
      <c r="I394" s="12"/>
      <c r="J394" s="3" t="str">
        <f t="shared" si="17"/>
        <v>1</v>
      </c>
    </row>
    <row r="395" spans="2:10" ht="12.75" hidden="1" customHeight="1">
      <c r="B395" s="34"/>
      <c r="C395" s="10"/>
      <c r="D395" s="33"/>
      <c r="E395" s="33"/>
      <c r="F395" s="33"/>
      <c r="G395" s="33"/>
      <c r="H395" s="72">
        <f t="shared" si="18"/>
        <v>0</v>
      </c>
      <c r="I395" s="12"/>
      <c r="J395" s="3" t="str">
        <f t="shared" si="17"/>
        <v>1</v>
      </c>
    </row>
    <row r="396" spans="2:10" ht="12.75" hidden="1" customHeight="1">
      <c r="B396" s="34"/>
      <c r="C396" s="10"/>
      <c r="D396" s="33"/>
      <c r="E396" s="33"/>
      <c r="F396" s="33"/>
      <c r="G396" s="33"/>
      <c r="H396" s="72">
        <f t="shared" si="18"/>
        <v>0</v>
      </c>
      <c r="I396" s="12"/>
      <c r="J396" s="3" t="str">
        <f t="shared" si="17"/>
        <v>1</v>
      </c>
    </row>
    <row r="397" spans="2:10" ht="12.75" hidden="1" customHeight="1">
      <c r="B397" s="34"/>
      <c r="C397" s="10"/>
      <c r="D397" s="33"/>
      <c r="E397" s="33"/>
      <c r="F397" s="33"/>
      <c r="G397" s="33"/>
      <c r="H397" s="72">
        <f t="shared" si="18"/>
        <v>0</v>
      </c>
      <c r="I397" s="12"/>
      <c r="J397" s="3" t="str">
        <f t="shared" si="17"/>
        <v>1</v>
      </c>
    </row>
    <row r="398" spans="2:10" ht="12.75" hidden="1" customHeight="1">
      <c r="B398" s="34"/>
      <c r="C398" s="10"/>
      <c r="D398" s="33"/>
      <c r="E398" s="33"/>
      <c r="F398" s="33"/>
      <c r="G398" s="33"/>
      <c r="H398" s="72">
        <f t="shared" si="18"/>
        <v>0</v>
      </c>
      <c r="I398" s="12"/>
      <c r="J398" s="3" t="str">
        <f t="shared" si="17"/>
        <v>1</v>
      </c>
    </row>
    <row r="399" spans="2:10" ht="12.75" hidden="1" customHeight="1">
      <c r="B399" s="34"/>
      <c r="C399" s="10"/>
      <c r="D399" s="33"/>
      <c r="E399" s="33"/>
      <c r="F399" s="33"/>
      <c r="G399" s="33"/>
      <c r="H399" s="72">
        <f t="shared" si="18"/>
        <v>0</v>
      </c>
      <c r="I399" s="12"/>
      <c r="J399" s="3" t="str">
        <f t="shared" si="17"/>
        <v>1</v>
      </c>
    </row>
    <row r="400" spans="2:10" ht="12.75" hidden="1" customHeight="1">
      <c r="B400" s="34"/>
      <c r="C400" s="10"/>
      <c r="D400" s="33"/>
      <c r="E400" s="33"/>
      <c r="F400" s="33"/>
      <c r="G400" s="33"/>
      <c r="H400" s="72">
        <f t="shared" si="18"/>
        <v>0</v>
      </c>
      <c r="I400" s="12"/>
      <c r="J400" s="3" t="str">
        <f t="shared" si="17"/>
        <v>1</v>
      </c>
    </row>
    <row r="401" spans="2:10" ht="12.75" hidden="1" customHeight="1">
      <c r="B401" s="34"/>
      <c r="C401" s="10"/>
      <c r="D401" s="33"/>
      <c r="E401" s="33"/>
      <c r="F401" s="33"/>
      <c r="G401" s="33"/>
      <c r="H401" s="72">
        <f t="shared" si="18"/>
        <v>0</v>
      </c>
      <c r="I401" s="12"/>
      <c r="J401" s="3" t="str">
        <f t="shared" si="17"/>
        <v>1</v>
      </c>
    </row>
    <row r="402" spans="2:10" ht="12.75" hidden="1" customHeight="1">
      <c r="B402" s="34"/>
      <c r="C402" s="10"/>
      <c r="D402" s="33"/>
      <c r="E402" s="33"/>
      <c r="F402" s="33"/>
      <c r="G402" s="33"/>
      <c r="H402" s="72">
        <f t="shared" si="18"/>
        <v>0</v>
      </c>
      <c r="I402" s="12"/>
      <c r="J402" s="3" t="str">
        <f t="shared" si="17"/>
        <v>1</v>
      </c>
    </row>
    <row r="403" spans="2:10" ht="12.75" hidden="1" customHeight="1">
      <c r="B403" s="34"/>
      <c r="C403" s="10"/>
      <c r="D403" s="33"/>
      <c r="E403" s="33"/>
      <c r="F403" s="33"/>
      <c r="G403" s="33"/>
      <c r="H403" s="72">
        <f t="shared" si="18"/>
        <v>0</v>
      </c>
      <c r="I403" s="12"/>
      <c r="J403" s="3" t="str">
        <f t="shared" si="17"/>
        <v>1</v>
      </c>
    </row>
    <row r="404" spans="2:10" ht="12.75" hidden="1" customHeight="1">
      <c r="B404" s="34"/>
      <c r="C404" s="10"/>
      <c r="D404" s="33"/>
      <c r="E404" s="33"/>
      <c r="F404" s="33"/>
      <c r="G404" s="33"/>
      <c r="H404" s="72">
        <f t="shared" si="18"/>
        <v>0</v>
      </c>
      <c r="I404" s="12"/>
      <c r="J404" s="3" t="str">
        <f t="shared" si="17"/>
        <v>1</v>
      </c>
    </row>
    <row r="405" spans="2:10" ht="12.75" hidden="1" customHeight="1">
      <c r="B405" s="34"/>
      <c r="C405" s="10"/>
      <c r="D405" s="33"/>
      <c r="E405" s="33"/>
      <c r="F405" s="33"/>
      <c r="G405" s="33"/>
      <c r="H405" s="72">
        <f t="shared" si="18"/>
        <v>0</v>
      </c>
      <c r="I405" s="12"/>
      <c r="J405" s="3" t="str">
        <f t="shared" si="17"/>
        <v>1</v>
      </c>
    </row>
    <row r="406" spans="2:10" ht="12.75" hidden="1" customHeight="1">
      <c r="B406" s="34"/>
      <c r="C406" s="10"/>
      <c r="D406" s="33"/>
      <c r="E406" s="33"/>
      <c r="F406" s="33"/>
      <c r="G406" s="33"/>
      <c r="H406" s="72">
        <f t="shared" si="18"/>
        <v>0</v>
      </c>
      <c r="I406" s="12"/>
      <c r="J406" s="3" t="str">
        <f t="shared" si="17"/>
        <v>1</v>
      </c>
    </row>
    <row r="407" spans="2:10" ht="12.75" hidden="1" customHeight="1">
      <c r="B407" s="34"/>
      <c r="C407" s="10"/>
      <c r="D407" s="33"/>
      <c r="E407" s="33"/>
      <c r="F407" s="33"/>
      <c r="G407" s="33"/>
      <c r="H407" s="72">
        <f t="shared" si="18"/>
        <v>0</v>
      </c>
      <c r="I407" s="12"/>
      <c r="J407" s="3" t="str">
        <f t="shared" si="17"/>
        <v>1</v>
      </c>
    </row>
    <row r="408" spans="2:10" ht="12.75" hidden="1" customHeight="1">
      <c r="B408" s="34"/>
      <c r="C408" s="10"/>
      <c r="D408" s="33"/>
      <c r="E408" s="33"/>
      <c r="F408" s="33"/>
      <c r="G408" s="33"/>
      <c r="H408" s="72">
        <f t="shared" si="18"/>
        <v>0</v>
      </c>
      <c r="I408" s="12"/>
      <c r="J408" s="3" t="str">
        <f t="shared" si="17"/>
        <v>1</v>
      </c>
    </row>
    <row r="409" spans="2:10" ht="12.75" hidden="1" customHeight="1">
      <c r="B409" s="34"/>
      <c r="C409" s="10"/>
      <c r="D409" s="33"/>
      <c r="E409" s="33"/>
      <c r="F409" s="33"/>
      <c r="G409" s="33"/>
      <c r="H409" s="72">
        <f t="shared" si="18"/>
        <v>0</v>
      </c>
      <c r="I409" s="12"/>
      <c r="J409" s="3" t="str">
        <f t="shared" si="17"/>
        <v>1</v>
      </c>
    </row>
    <row r="410" spans="2:10" ht="12.75" hidden="1" customHeight="1">
      <c r="B410" s="34"/>
      <c r="C410" s="10"/>
      <c r="D410" s="33"/>
      <c r="E410" s="33"/>
      <c r="F410" s="33"/>
      <c r="G410" s="33"/>
      <c r="H410" s="72">
        <f t="shared" si="18"/>
        <v>0</v>
      </c>
      <c r="I410" s="12"/>
      <c r="J410" s="3" t="str">
        <f t="shared" si="17"/>
        <v>1</v>
      </c>
    </row>
    <row r="411" spans="2:10" ht="12.75" hidden="1" customHeight="1">
      <c r="B411" s="34"/>
      <c r="C411" s="10"/>
      <c r="D411" s="33"/>
      <c r="E411" s="33"/>
      <c r="F411" s="33"/>
      <c r="G411" s="33"/>
      <c r="H411" s="72">
        <f t="shared" si="18"/>
        <v>0</v>
      </c>
      <c r="I411" s="12"/>
      <c r="J411" s="3" t="str">
        <f t="shared" si="17"/>
        <v>1</v>
      </c>
    </row>
    <row r="412" spans="2:10" ht="12.75" hidden="1" customHeight="1">
      <c r="B412" s="34"/>
      <c r="C412" s="10"/>
      <c r="D412" s="33"/>
      <c r="E412" s="33"/>
      <c r="F412" s="33"/>
      <c r="G412" s="33"/>
      <c r="H412" s="72">
        <f t="shared" si="18"/>
        <v>0</v>
      </c>
      <c r="I412" s="12"/>
      <c r="J412" s="3" t="str">
        <f t="shared" si="17"/>
        <v>1</v>
      </c>
    </row>
    <row r="413" spans="2:10" ht="12.75" hidden="1" customHeight="1">
      <c r="B413" s="34"/>
      <c r="C413" s="10"/>
      <c r="D413" s="33"/>
      <c r="E413" s="33"/>
      <c r="F413" s="33"/>
      <c r="G413" s="33"/>
      <c r="H413" s="72">
        <f t="shared" si="18"/>
        <v>0</v>
      </c>
      <c r="I413" s="12"/>
      <c r="J413" s="3" t="str">
        <f t="shared" si="17"/>
        <v>1</v>
      </c>
    </row>
    <row r="414" spans="2:10" ht="12.75" hidden="1" customHeight="1">
      <c r="B414" s="34"/>
      <c r="C414" s="10"/>
      <c r="D414" s="33"/>
      <c r="E414" s="33"/>
      <c r="F414" s="33"/>
      <c r="G414" s="33"/>
      <c r="H414" s="72">
        <f t="shared" si="18"/>
        <v>0</v>
      </c>
      <c r="I414" s="12"/>
      <c r="J414" s="3" t="str">
        <f t="shared" si="17"/>
        <v>1</v>
      </c>
    </row>
    <row r="415" spans="2:10" ht="12.75" hidden="1" customHeight="1">
      <c r="B415" s="34"/>
      <c r="C415" s="10"/>
      <c r="D415" s="33"/>
      <c r="E415" s="33"/>
      <c r="F415" s="33"/>
      <c r="G415" s="33"/>
      <c r="H415" s="72">
        <f t="shared" si="18"/>
        <v>0</v>
      </c>
      <c r="I415" s="12"/>
      <c r="J415" s="3" t="str">
        <f t="shared" si="17"/>
        <v>1</v>
      </c>
    </row>
    <row r="416" spans="2:10" ht="12.75" hidden="1" customHeight="1">
      <c r="B416" s="34"/>
      <c r="C416" s="10"/>
      <c r="D416" s="33"/>
      <c r="E416" s="33"/>
      <c r="F416" s="33"/>
      <c r="G416" s="33"/>
      <c r="H416" s="72">
        <f t="shared" si="18"/>
        <v>0</v>
      </c>
      <c r="I416" s="12"/>
      <c r="J416" s="3" t="str">
        <f t="shared" si="17"/>
        <v>1</v>
      </c>
    </row>
    <row r="417" spans="2:10" ht="12.75" hidden="1" customHeight="1">
      <c r="B417" s="34"/>
      <c r="C417" s="10"/>
      <c r="D417" s="33"/>
      <c r="E417" s="33"/>
      <c r="F417" s="33"/>
      <c r="G417" s="33"/>
      <c r="H417" s="72">
        <f t="shared" si="18"/>
        <v>0</v>
      </c>
      <c r="I417" s="12"/>
      <c r="J417" s="3" t="str">
        <f t="shared" si="17"/>
        <v>1</v>
      </c>
    </row>
    <row r="418" spans="2:10" ht="12.75" hidden="1" customHeight="1">
      <c r="B418" s="34"/>
      <c r="C418" s="10"/>
      <c r="D418" s="33"/>
      <c r="E418" s="33"/>
      <c r="F418" s="33"/>
      <c r="G418" s="33"/>
      <c r="H418" s="72">
        <f t="shared" si="18"/>
        <v>0</v>
      </c>
      <c r="I418" s="12"/>
      <c r="J418" s="3" t="str">
        <f t="shared" si="17"/>
        <v>1</v>
      </c>
    </row>
    <row r="419" spans="2:10" ht="12.75" hidden="1" customHeight="1">
      <c r="B419" s="34"/>
      <c r="C419" s="10"/>
      <c r="D419" s="33"/>
      <c r="E419" s="33"/>
      <c r="F419" s="33"/>
      <c r="G419" s="33"/>
      <c r="H419" s="72">
        <f t="shared" si="18"/>
        <v>0</v>
      </c>
      <c r="I419" s="12"/>
      <c r="J419" s="3" t="str">
        <f t="shared" si="17"/>
        <v>1</v>
      </c>
    </row>
    <row r="420" spans="2:10" ht="12.75" hidden="1" customHeight="1">
      <c r="B420" s="34"/>
      <c r="C420" s="10"/>
      <c r="D420" s="33"/>
      <c r="E420" s="33"/>
      <c r="F420" s="33"/>
      <c r="G420" s="33"/>
      <c r="H420" s="72">
        <f t="shared" si="18"/>
        <v>0</v>
      </c>
      <c r="I420" s="12"/>
      <c r="J420" s="3" t="str">
        <f t="shared" si="17"/>
        <v>1</v>
      </c>
    </row>
    <row r="421" spans="2:10" ht="12.75" hidden="1" customHeight="1">
      <c r="B421" s="34"/>
      <c r="C421" s="10"/>
      <c r="D421" s="33"/>
      <c r="E421" s="33"/>
      <c r="F421" s="33"/>
      <c r="G421" s="33"/>
      <c r="H421" s="72">
        <f t="shared" si="18"/>
        <v>0</v>
      </c>
      <c r="I421" s="12"/>
      <c r="J421" s="3" t="str">
        <f t="shared" si="17"/>
        <v>1</v>
      </c>
    </row>
    <row r="422" spans="2:10" ht="12.75" hidden="1" customHeight="1">
      <c r="B422" s="34"/>
      <c r="C422" s="10"/>
      <c r="D422" s="33"/>
      <c r="E422" s="33"/>
      <c r="F422" s="33"/>
      <c r="G422" s="33"/>
      <c r="H422" s="72">
        <f t="shared" si="18"/>
        <v>0</v>
      </c>
      <c r="I422" s="12"/>
      <c r="J422" s="3" t="str">
        <f t="shared" si="17"/>
        <v>1</v>
      </c>
    </row>
    <row r="423" spans="2:10" ht="12.75" hidden="1" customHeight="1">
      <c r="B423" s="34"/>
      <c r="C423" s="10"/>
      <c r="D423" s="33"/>
      <c r="E423" s="33"/>
      <c r="F423" s="33"/>
      <c r="G423" s="33"/>
      <c r="H423" s="72">
        <f t="shared" si="18"/>
        <v>0</v>
      </c>
      <c r="I423" s="12"/>
      <c r="J423" s="3" t="str">
        <f t="shared" si="17"/>
        <v>1</v>
      </c>
    </row>
    <row r="424" spans="2:10" ht="12.75" hidden="1" customHeight="1">
      <c r="B424" s="34"/>
      <c r="C424" s="10"/>
      <c r="D424" s="33"/>
      <c r="E424" s="33"/>
      <c r="F424" s="33"/>
      <c r="G424" s="33"/>
      <c r="H424" s="72">
        <f t="shared" si="18"/>
        <v>0</v>
      </c>
      <c r="I424" s="12"/>
      <c r="J424" s="3" t="str">
        <f t="shared" si="17"/>
        <v>1</v>
      </c>
    </row>
    <row r="425" spans="2:10" ht="12.75" hidden="1" customHeight="1">
      <c r="B425" s="34"/>
      <c r="C425" s="10"/>
      <c r="D425" s="33"/>
      <c r="E425" s="33"/>
      <c r="F425" s="33"/>
      <c r="G425" s="33"/>
      <c r="H425" s="72">
        <f t="shared" si="18"/>
        <v>0</v>
      </c>
      <c r="I425" s="12"/>
      <c r="J425" s="3" t="str">
        <f t="shared" si="17"/>
        <v>1</v>
      </c>
    </row>
    <row r="426" spans="2:10" ht="12.75" hidden="1" customHeight="1">
      <c r="B426" s="34"/>
      <c r="C426" s="10"/>
      <c r="D426" s="33"/>
      <c r="E426" s="33"/>
      <c r="F426" s="33"/>
      <c r="G426" s="33"/>
      <c r="H426" s="72">
        <f t="shared" si="18"/>
        <v>0</v>
      </c>
      <c r="I426" s="12"/>
      <c r="J426" s="3" t="str">
        <f t="shared" si="17"/>
        <v>1</v>
      </c>
    </row>
    <row r="427" spans="2:10" ht="12.75" hidden="1" customHeight="1">
      <c r="B427" s="34"/>
      <c r="C427" s="10"/>
      <c r="D427" s="33"/>
      <c r="E427" s="33"/>
      <c r="F427" s="33"/>
      <c r="G427" s="33"/>
      <c r="H427" s="72">
        <f t="shared" si="18"/>
        <v>0</v>
      </c>
      <c r="I427" s="12"/>
      <c r="J427" s="3" t="str">
        <f t="shared" si="17"/>
        <v>1</v>
      </c>
    </row>
    <row r="428" spans="2:10" ht="12.75" hidden="1" customHeight="1">
      <c r="B428" s="34"/>
      <c r="C428" s="10"/>
      <c r="D428" s="33"/>
      <c r="E428" s="33"/>
      <c r="F428" s="33"/>
      <c r="G428" s="33"/>
      <c r="H428" s="72">
        <f t="shared" si="18"/>
        <v>0</v>
      </c>
      <c r="I428" s="12"/>
      <c r="J428" s="3" t="str">
        <f t="shared" si="17"/>
        <v>1</v>
      </c>
    </row>
    <row r="429" spans="2:10" ht="12.75" hidden="1" customHeight="1">
      <c r="B429" s="34"/>
      <c r="C429" s="10"/>
      <c r="D429" s="33"/>
      <c r="E429" s="33"/>
      <c r="F429" s="33"/>
      <c r="G429" s="33"/>
      <c r="H429" s="72">
        <f t="shared" si="18"/>
        <v>0</v>
      </c>
      <c r="I429" s="12"/>
      <c r="J429" s="3" t="str">
        <f t="shared" si="17"/>
        <v>1</v>
      </c>
    </row>
    <row r="430" spans="2:10" ht="12.75" hidden="1" customHeight="1">
      <c r="B430" s="34"/>
      <c r="C430" s="10"/>
      <c r="D430" s="33"/>
      <c r="E430" s="33"/>
      <c r="F430" s="33"/>
      <c r="G430" s="33"/>
      <c r="H430" s="72">
        <f t="shared" si="18"/>
        <v>0</v>
      </c>
      <c r="I430" s="12"/>
      <c r="J430" s="3" t="str">
        <f t="shared" si="17"/>
        <v>1</v>
      </c>
    </row>
    <row r="431" spans="2:10" ht="12.75" hidden="1" customHeight="1">
      <c r="B431" s="34"/>
      <c r="C431" s="10"/>
      <c r="D431" s="33"/>
      <c r="E431" s="33"/>
      <c r="F431" s="33"/>
      <c r="G431" s="33"/>
      <c r="H431" s="72">
        <f t="shared" si="18"/>
        <v>0</v>
      </c>
      <c r="I431" s="12"/>
      <c r="J431" s="3" t="str">
        <f t="shared" si="17"/>
        <v>1</v>
      </c>
    </row>
    <row r="432" spans="2:10" ht="12.75" hidden="1" customHeight="1">
      <c r="B432" s="34"/>
      <c r="C432" s="10"/>
      <c r="D432" s="33"/>
      <c r="E432" s="33"/>
      <c r="F432" s="33"/>
      <c r="G432" s="33"/>
      <c r="H432" s="72">
        <f t="shared" si="18"/>
        <v>0</v>
      </c>
      <c r="I432" s="12"/>
      <c r="J432" s="3" t="str">
        <f t="shared" si="17"/>
        <v>1</v>
      </c>
    </row>
    <row r="433" spans="2:10" ht="12.75" hidden="1" customHeight="1">
      <c r="B433" s="34"/>
      <c r="C433" s="10"/>
      <c r="D433" s="33"/>
      <c r="E433" s="33"/>
      <c r="F433" s="33"/>
      <c r="G433" s="33"/>
      <c r="H433" s="72">
        <f t="shared" si="18"/>
        <v>0</v>
      </c>
      <c r="I433" s="12"/>
      <c r="J433" s="3" t="str">
        <f t="shared" si="17"/>
        <v>1</v>
      </c>
    </row>
    <row r="434" spans="2:10" ht="12.75" hidden="1" customHeight="1">
      <c r="B434" s="34"/>
      <c r="C434" s="10"/>
      <c r="D434" s="33"/>
      <c r="E434" s="33"/>
      <c r="F434" s="33"/>
      <c r="G434" s="33"/>
      <c r="H434" s="72">
        <f t="shared" si="18"/>
        <v>0</v>
      </c>
      <c r="I434" s="12"/>
      <c r="J434" s="3" t="str">
        <f t="shared" si="17"/>
        <v>1</v>
      </c>
    </row>
    <row r="435" spans="2:10" ht="12.75" hidden="1" customHeight="1">
      <c r="B435" s="34"/>
      <c r="C435" s="10"/>
      <c r="D435" s="33"/>
      <c r="E435" s="33"/>
      <c r="F435" s="33"/>
      <c r="G435" s="33"/>
      <c r="H435" s="72">
        <f t="shared" si="18"/>
        <v>0</v>
      </c>
      <c r="I435" s="12"/>
      <c r="J435" s="3" t="str">
        <f t="shared" si="17"/>
        <v>1</v>
      </c>
    </row>
    <row r="436" spans="2:10" ht="12.75" hidden="1" customHeight="1">
      <c r="B436" s="34"/>
      <c r="C436" s="10"/>
      <c r="D436" s="33"/>
      <c r="E436" s="33"/>
      <c r="F436" s="33"/>
      <c r="G436" s="33"/>
      <c r="H436" s="72">
        <f t="shared" si="18"/>
        <v>0</v>
      </c>
      <c r="I436" s="12"/>
      <c r="J436" s="3" t="str">
        <f t="shared" si="17"/>
        <v>1</v>
      </c>
    </row>
    <row r="437" spans="2:10" ht="12.75" hidden="1" customHeight="1">
      <c r="B437" s="34"/>
      <c r="C437" s="10"/>
      <c r="D437" s="33"/>
      <c r="E437" s="33"/>
      <c r="F437" s="33"/>
      <c r="G437" s="33"/>
      <c r="H437" s="72">
        <f t="shared" si="18"/>
        <v>0</v>
      </c>
      <c r="I437" s="12"/>
      <c r="J437" s="3" t="str">
        <f t="shared" si="17"/>
        <v>1</v>
      </c>
    </row>
    <row r="438" spans="2:10" ht="12.75" hidden="1" customHeight="1">
      <c r="B438" s="34"/>
      <c r="C438" s="10"/>
      <c r="D438" s="33"/>
      <c r="E438" s="33"/>
      <c r="F438" s="33"/>
      <c r="G438" s="33"/>
      <c r="H438" s="72">
        <f t="shared" si="18"/>
        <v>0</v>
      </c>
      <c r="I438" s="12"/>
      <c r="J438" s="3" t="str">
        <f t="shared" si="17"/>
        <v>1</v>
      </c>
    </row>
    <row r="439" spans="2:10" ht="12.75" hidden="1" customHeight="1">
      <c r="B439" s="34"/>
      <c r="C439" s="10"/>
      <c r="D439" s="33"/>
      <c r="E439" s="33"/>
      <c r="F439" s="33"/>
      <c r="G439" s="33"/>
      <c r="H439" s="72">
        <f t="shared" si="18"/>
        <v>0</v>
      </c>
      <c r="I439" s="12"/>
      <c r="J439" s="3" t="str">
        <f t="shared" si="17"/>
        <v>1</v>
      </c>
    </row>
    <row r="440" spans="2:10" ht="12.75" hidden="1" customHeight="1">
      <c r="B440" s="34"/>
      <c r="C440" s="10"/>
      <c r="D440" s="33"/>
      <c r="E440" s="33"/>
      <c r="F440" s="33"/>
      <c r="G440" s="33"/>
      <c r="H440" s="72">
        <f t="shared" si="18"/>
        <v>0</v>
      </c>
      <c r="I440" s="12"/>
      <c r="J440" s="3" t="str">
        <f t="shared" si="17"/>
        <v>1</v>
      </c>
    </row>
    <row r="441" spans="2:10" ht="12.75" hidden="1" customHeight="1">
      <c r="B441" s="34"/>
      <c r="C441" s="10"/>
      <c r="D441" s="33"/>
      <c r="E441" s="33"/>
      <c r="F441" s="33"/>
      <c r="G441" s="33"/>
      <c r="H441" s="72">
        <f t="shared" si="18"/>
        <v>0</v>
      </c>
      <c r="I441" s="12"/>
      <c r="J441" s="3" t="str">
        <f t="shared" si="17"/>
        <v>1</v>
      </c>
    </row>
    <row r="442" spans="2:10" ht="12.75" hidden="1" customHeight="1">
      <c r="B442" s="34"/>
      <c r="C442" s="10"/>
      <c r="D442" s="33"/>
      <c r="E442" s="33"/>
      <c r="F442" s="33"/>
      <c r="G442" s="33"/>
      <c r="H442" s="72">
        <f t="shared" si="18"/>
        <v>0</v>
      </c>
      <c r="I442" s="12"/>
      <c r="J442" s="3" t="str">
        <f t="shared" si="17"/>
        <v>1</v>
      </c>
    </row>
    <row r="443" spans="2:10" ht="12.75" hidden="1" customHeight="1">
      <c r="B443" s="34"/>
      <c r="C443" s="10"/>
      <c r="D443" s="33"/>
      <c r="E443" s="33"/>
      <c r="F443" s="33"/>
      <c r="G443" s="33"/>
      <c r="H443" s="72">
        <f t="shared" si="18"/>
        <v>0</v>
      </c>
      <c r="I443" s="12"/>
      <c r="J443" s="3" t="str">
        <f t="shared" si="17"/>
        <v>1</v>
      </c>
    </row>
    <row r="444" spans="2:10" ht="12.75" hidden="1" customHeight="1">
      <c r="B444" s="34"/>
      <c r="C444" s="10"/>
      <c r="D444" s="33"/>
      <c r="E444" s="33"/>
      <c r="F444" s="33"/>
      <c r="G444" s="33"/>
      <c r="H444" s="72">
        <f t="shared" si="18"/>
        <v>0</v>
      </c>
      <c r="I444" s="12"/>
      <c r="J444" s="3" t="str">
        <f t="shared" si="17"/>
        <v>1</v>
      </c>
    </row>
    <row r="445" spans="2:10" ht="12.75" hidden="1" customHeight="1">
      <c r="B445" s="34"/>
      <c r="C445" s="10"/>
      <c r="D445" s="33"/>
      <c r="E445" s="33"/>
      <c r="F445" s="33"/>
      <c r="G445" s="33"/>
      <c r="H445" s="72">
        <f t="shared" si="18"/>
        <v>0</v>
      </c>
      <c r="I445" s="12"/>
      <c r="J445" s="3" t="str">
        <f t="shared" si="17"/>
        <v>1</v>
      </c>
    </row>
    <row r="446" spans="2:10" ht="12.75" hidden="1" customHeight="1">
      <c r="B446" s="34"/>
      <c r="C446" s="10"/>
      <c r="D446" s="33"/>
      <c r="E446" s="33"/>
      <c r="F446" s="33"/>
      <c r="G446" s="33"/>
      <c r="H446" s="72">
        <f t="shared" si="18"/>
        <v>0</v>
      </c>
      <c r="I446" s="12"/>
      <c r="J446" s="3" t="str">
        <f t="shared" si="17"/>
        <v>1</v>
      </c>
    </row>
    <row r="447" spans="2:10" ht="12.75" hidden="1" customHeight="1">
      <c r="B447" s="34"/>
      <c r="C447" s="10"/>
      <c r="D447" s="33"/>
      <c r="E447" s="33"/>
      <c r="F447" s="33"/>
      <c r="G447" s="33"/>
      <c r="H447" s="72">
        <f t="shared" si="18"/>
        <v>0</v>
      </c>
      <c r="I447" s="12"/>
      <c r="J447" s="3" t="str">
        <f t="shared" si="17"/>
        <v>1</v>
      </c>
    </row>
    <row r="448" spans="2:10" ht="12.75" hidden="1" customHeight="1">
      <c r="B448" s="34"/>
      <c r="C448" s="10"/>
      <c r="D448" s="33"/>
      <c r="E448" s="33"/>
      <c r="F448" s="33"/>
      <c r="G448" s="33"/>
      <c r="H448" s="72">
        <f t="shared" si="18"/>
        <v>0</v>
      </c>
      <c r="I448" s="12"/>
      <c r="J448" s="3" t="str">
        <f t="shared" si="17"/>
        <v>1</v>
      </c>
    </row>
    <row r="449" spans="2:10" ht="12.75" hidden="1" customHeight="1">
      <c r="B449" s="34"/>
      <c r="C449" s="10"/>
      <c r="D449" s="33"/>
      <c r="E449" s="33"/>
      <c r="F449" s="33"/>
      <c r="G449" s="33"/>
      <c r="H449" s="72">
        <f t="shared" si="18"/>
        <v>0</v>
      </c>
      <c r="I449" s="12"/>
      <c r="J449" s="3" t="str">
        <f t="shared" si="17"/>
        <v>1</v>
      </c>
    </row>
    <row r="450" spans="2:10" ht="12.75" hidden="1" customHeight="1">
      <c r="B450" s="34"/>
      <c r="C450" s="10"/>
      <c r="D450" s="33"/>
      <c r="E450" s="33"/>
      <c r="F450" s="33"/>
      <c r="G450" s="33"/>
      <c r="H450" s="72">
        <f t="shared" si="18"/>
        <v>0</v>
      </c>
      <c r="I450" s="12"/>
      <c r="J450" s="3" t="str">
        <f t="shared" si="17"/>
        <v>1</v>
      </c>
    </row>
    <row r="451" spans="2:10" ht="12.75" hidden="1" customHeight="1">
      <c r="B451" s="34"/>
      <c r="C451" s="10"/>
      <c r="D451" s="33"/>
      <c r="E451" s="33"/>
      <c r="F451" s="33"/>
      <c r="G451" s="33"/>
      <c r="H451" s="72">
        <f t="shared" si="18"/>
        <v>0</v>
      </c>
      <c r="I451" s="12"/>
      <c r="J451" s="3" t="str">
        <f t="shared" ref="J451:J514" si="19">TRIM(C451) &amp; (COUNTIFS($C$4:$C$123, C451, $I$4:$I$123, "&gt;"&amp;I451) + 1)</f>
        <v>1</v>
      </c>
    </row>
    <row r="452" spans="2:10" ht="12.75" hidden="1" customHeight="1">
      <c r="B452" s="34"/>
      <c r="C452" s="10"/>
      <c r="D452" s="33"/>
      <c r="E452" s="33"/>
      <c r="F452" s="33"/>
      <c r="G452" s="33"/>
      <c r="H452" s="72">
        <f t="shared" si="18"/>
        <v>0</v>
      </c>
      <c r="I452" s="12"/>
      <c r="J452" s="3" t="str">
        <f t="shared" si="19"/>
        <v>1</v>
      </c>
    </row>
    <row r="453" spans="2:10" ht="12.75" hidden="1" customHeight="1">
      <c r="B453" s="34"/>
      <c r="C453" s="10"/>
      <c r="D453" s="33"/>
      <c r="E453" s="33"/>
      <c r="F453" s="33"/>
      <c r="G453" s="33"/>
      <c r="H453" s="72">
        <f t="shared" ref="H453:H516" si="20">IF(D453=0, COUNTIFS($C$4:$C$123, C453, $B$4:$B$123, "&lt;&gt;"), COUNTIFS($C$4:$C$123, C453, $D$4:$D$123, "&gt;"&amp;D453) + 1)</f>
        <v>0</v>
      </c>
      <c r="I453" s="12"/>
      <c r="J453" s="3" t="str">
        <f t="shared" si="19"/>
        <v>1</v>
      </c>
    </row>
    <row r="454" spans="2:10" ht="12.75" hidden="1" customHeight="1">
      <c r="B454" s="34"/>
      <c r="C454" s="10"/>
      <c r="D454" s="33"/>
      <c r="E454" s="33"/>
      <c r="F454" s="33"/>
      <c r="G454" s="33"/>
      <c r="H454" s="72">
        <f t="shared" si="20"/>
        <v>0</v>
      </c>
      <c r="I454" s="12"/>
      <c r="J454" s="3" t="str">
        <f t="shared" si="19"/>
        <v>1</v>
      </c>
    </row>
    <row r="455" spans="2:10" ht="12.75" hidden="1" customHeight="1">
      <c r="B455" s="34"/>
      <c r="C455" s="10"/>
      <c r="D455" s="33"/>
      <c r="E455" s="33"/>
      <c r="F455" s="33"/>
      <c r="G455" s="33"/>
      <c r="H455" s="72">
        <f t="shared" si="20"/>
        <v>0</v>
      </c>
      <c r="I455" s="12"/>
      <c r="J455" s="3" t="str">
        <f t="shared" si="19"/>
        <v>1</v>
      </c>
    </row>
    <row r="456" spans="2:10" ht="12.75" hidden="1" customHeight="1">
      <c r="B456" s="34"/>
      <c r="C456" s="10"/>
      <c r="D456" s="33"/>
      <c r="E456" s="33"/>
      <c r="F456" s="33"/>
      <c r="G456" s="33"/>
      <c r="H456" s="72">
        <f t="shared" si="20"/>
        <v>0</v>
      </c>
      <c r="I456" s="12"/>
      <c r="J456" s="3" t="str">
        <f t="shared" si="19"/>
        <v>1</v>
      </c>
    </row>
    <row r="457" spans="2:10" ht="12.75" hidden="1" customHeight="1">
      <c r="B457" s="34"/>
      <c r="C457" s="10"/>
      <c r="D457" s="33"/>
      <c r="E457" s="33"/>
      <c r="F457" s="33"/>
      <c r="G457" s="33"/>
      <c r="H457" s="72">
        <f t="shared" si="20"/>
        <v>0</v>
      </c>
      <c r="I457" s="12"/>
      <c r="J457" s="3" t="str">
        <f t="shared" si="19"/>
        <v>1</v>
      </c>
    </row>
    <row r="458" spans="2:10" ht="12.75" hidden="1" customHeight="1">
      <c r="B458" s="34"/>
      <c r="C458" s="10"/>
      <c r="D458" s="33"/>
      <c r="E458" s="33"/>
      <c r="F458" s="33"/>
      <c r="G458" s="33"/>
      <c r="H458" s="72">
        <f t="shared" si="20"/>
        <v>0</v>
      </c>
      <c r="I458" s="12"/>
      <c r="J458" s="3" t="str">
        <f t="shared" si="19"/>
        <v>1</v>
      </c>
    </row>
    <row r="459" spans="2:10" ht="12.75" hidden="1" customHeight="1">
      <c r="B459" s="34"/>
      <c r="C459" s="10"/>
      <c r="D459" s="33"/>
      <c r="E459" s="33"/>
      <c r="F459" s="33"/>
      <c r="G459" s="33"/>
      <c r="H459" s="72">
        <f t="shared" si="20"/>
        <v>0</v>
      </c>
      <c r="I459" s="12"/>
      <c r="J459" s="3" t="str">
        <f t="shared" si="19"/>
        <v>1</v>
      </c>
    </row>
    <row r="460" spans="2:10" ht="12.75" hidden="1" customHeight="1">
      <c r="B460" s="34"/>
      <c r="C460" s="10"/>
      <c r="D460" s="33"/>
      <c r="E460" s="33"/>
      <c r="F460" s="33"/>
      <c r="G460" s="33"/>
      <c r="H460" s="72">
        <f t="shared" si="20"/>
        <v>0</v>
      </c>
      <c r="I460" s="12"/>
      <c r="J460" s="3" t="str">
        <f t="shared" si="19"/>
        <v>1</v>
      </c>
    </row>
    <row r="461" spans="2:10" ht="12.75" hidden="1" customHeight="1">
      <c r="B461" s="34"/>
      <c r="C461" s="10"/>
      <c r="D461" s="33"/>
      <c r="E461" s="33"/>
      <c r="F461" s="33"/>
      <c r="G461" s="33"/>
      <c r="H461" s="72">
        <f t="shared" si="20"/>
        <v>0</v>
      </c>
      <c r="I461" s="12"/>
      <c r="J461" s="3" t="str">
        <f t="shared" si="19"/>
        <v>1</v>
      </c>
    </row>
    <row r="462" spans="2:10" ht="12.75" hidden="1" customHeight="1">
      <c r="B462" s="34"/>
      <c r="C462" s="10"/>
      <c r="D462" s="33"/>
      <c r="E462" s="33"/>
      <c r="F462" s="33"/>
      <c r="G462" s="33"/>
      <c r="H462" s="72">
        <f t="shared" si="20"/>
        <v>0</v>
      </c>
      <c r="I462" s="12"/>
      <c r="J462" s="3" t="str">
        <f t="shared" si="19"/>
        <v>1</v>
      </c>
    </row>
    <row r="463" spans="2:10" ht="12.75" hidden="1" customHeight="1">
      <c r="B463" s="34"/>
      <c r="C463" s="10"/>
      <c r="D463" s="33"/>
      <c r="E463" s="33"/>
      <c r="F463" s="33"/>
      <c r="G463" s="33"/>
      <c r="H463" s="72">
        <f t="shared" si="20"/>
        <v>0</v>
      </c>
      <c r="I463" s="12"/>
      <c r="J463" s="3" t="str">
        <f t="shared" si="19"/>
        <v>1</v>
      </c>
    </row>
    <row r="464" spans="2:10" ht="12.75" hidden="1" customHeight="1">
      <c r="B464" s="34"/>
      <c r="C464" s="10"/>
      <c r="D464" s="33"/>
      <c r="E464" s="33"/>
      <c r="F464" s="33"/>
      <c r="G464" s="33"/>
      <c r="H464" s="72">
        <f t="shared" si="20"/>
        <v>0</v>
      </c>
      <c r="I464" s="12"/>
      <c r="J464" s="3" t="str">
        <f t="shared" si="19"/>
        <v>1</v>
      </c>
    </row>
    <row r="465" spans="2:10" ht="12.75" hidden="1" customHeight="1">
      <c r="B465" s="34"/>
      <c r="C465" s="10"/>
      <c r="D465" s="33"/>
      <c r="E465" s="33"/>
      <c r="F465" s="33"/>
      <c r="G465" s="33"/>
      <c r="H465" s="72">
        <f t="shared" si="20"/>
        <v>0</v>
      </c>
      <c r="I465" s="12"/>
      <c r="J465" s="3" t="str">
        <f t="shared" si="19"/>
        <v>1</v>
      </c>
    </row>
    <row r="466" spans="2:10" ht="12.75" hidden="1" customHeight="1">
      <c r="B466" s="34"/>
      <c r="C466" s="10"/>
      <c r="D466" s="33"/>
      <c r="E466" s="33"/>
      <c r="F466" s="33"/>
      <c r="G466" s="33"/>
      <c r="H466" s="72">
        <f t="shared" si="20"/>
        <v>0</v>
      </c>
      <c r="I466" s="12"/>
      <c r="J466" s="3" t="str">
        <f t="shared" si="19"/>
        <v>1</v>
      </c>
    </row>
    <row r="467" spans="2:10" ht="12.75" hidden="1" customHeight="1">
      <c r="B467" s="34"/>
      <c r="C467" s="10"/>
      <c r="D467" s="33"/>
      <c r="E467" s="33"/>
      <c r="F467" s="33"/>
      <c r="G467" s="33"/>
      <c r="H467" s="72">
        <f t="shared" si="20"/>
        <v>0</v>
      </c>
      <c r="I467" s="12"/>
      <c r="J467" s="3" t="str">
        <f t="shared" si="19"/>
        <v>1</v>
      </c>
    </row>
    <row r="468" spans="2:10" ht="12.75" hidden="1" customHeight="1">
      <c r="B468" s="34"/>
      <c r="C468" s="10"/>
      <c r="D468" s="33"/>
      <c r="E468" s="33"/>
      <c r="F468" s="33"/>
      <c r="G468" s="33"/>
      <c r="H468" s="72">
        <f t="shared" si="20"/>
        <v>0</v>
      </c>
      <c r="I468" s="12"/>
      <c r="J468" s="3" t="str">
        <f t="shared" si="19"/>
        <v>1</v>
      </c>
    </row>
    <row r="469" spans="2:10" ht="12.75" hidden="1" customHeight="1">
      <c r="B469" s="34"/>
      <c r="C469" s="10"/>
      <c r="D469" s="33"/>
      <c r="E469" s="33"/>
      <c r="F469" s="33"/>
      <c r="G469" s="33"/>
      <c r="H469" s="72">
        <f t="shared" si="20"/>
        <v>0</v>
      </c>
      <c r="I469" s="12"/>
      <c r="J469" s="3" t="str">
        <f t="shared" si="19"/>
        <v>1</v>
      </c>
    </row>
    <row r="470" spans="2:10" ht="12.75" hidden="1" customHeight="1">
      <c r="B470" s="34"/>
      <c r="C470" s="10"/>
      <c r="D470" s="33"/>
      <c r="E470" s="33"/>
      <c r="F470" s="33"/>
      <c r="G470" s="33"/>
      <c r="H470" s="72">
        <f t="shared" si="20"/>
        <v>0</v>
      </c>
      <c r="I470" s="12"/>
      <c r="J470" s="3" t="str">
        <f t="shared" si="19"/>
        <v>1</v>
      </c>
    </row>
    <row r="471" spans="2:10" ht="12.75" hidden="1" customHeight="1">
      <c r="B471" s="34"/>
      <c r="C471" s="10"/>
      <c r="D471" s="33"/>
      <c r="E471" s="33"/>
      <c r="F471" s="33"/>
      <c r="G471" s="33"/>
      <c r="H471" s="72">
        <f t="shared" si="20"/>
        <v>0</v>
      </c>
      <c r="I471" s="12"/>
      <c r="J471" s="3" t="str">
        <f t="shared" si="19"/>
        <v>1</v>
      </c>
    </row>
    <row r="472" spans="2:10" ht="12.75" hidden="1" customHeight="1">
      <c r="B472" s="34"/>
      <c r="C472" s="10"/>
      <c r="D472" s="33"/>
      <c r="E472" s="33"/>
      <c r="F472" s="33"/>
      <c r="G472" s="33"/>
      <c r="H472" s="72">
        <f t="shared" si="20"/>
        <v>0</v>
      </c>
      <c r="I472" s="12"/>
      <c r="J472" s="3" t="str">
        <f t="shared" si="19"/>
        <v>1</v>
      </c>
    </row>
    <row r="473" spans="2:10" ht="12.75" hidden="1" customHeight="1">
      <c r="B473" s="34"/>
      <c r="C473" s="10"/>
      <c r="D473" s="33"/>
      <c r="E473" s="33"/>
      <c r="F473" s="33"/>
      <c r="G473" s="33"/>
      <c r="H473" s="72">
        <f t="shared" si="20"/>
        <v>0</v>
      </c>
      <c r="I473" s="12"/>
      <c r="J473" s="3" t="str">
        <f t="shared" si="19"/>
        <v>1</v>
      </c>
    </row>
    <row r="474" spans="2:10" ht="12.75" hidden="1" customHeight="1">
      <c r="B474" s="34"/>
      <c r="C474" s="10"/>
      <c r="D474" s="33"/>
      <c r="E474" s="33"/>
      <c r="F474" s="33"/>
      <c r="G474" s="33"/>
      <c r="H474" s="72">
        <f t="shared" si="20"/>
        <v>0</v>
      </c>
      <c r="I474" s="12"/>
      <c r="J474" s="3" t="str">
        <f t="shared" si="19"/>
        <v>1</v>
      </c>
    </row>
    <row r="475" spans="2:10" ht="12.75" hidden="1" customHeight="1">
      <c r="B475" s="34"/>
      <c r="C475" s="10"/>
      <c r="D475" s="33"/>
      <c r="E475" s="33"/>
      <c r="F475" s="33"/>
      <c r="G475" s="33"/>
      <c r="H475" s="72">
        <f t="shared" si="20"/>
        <v>0</v>
      </c>
      <c r="I475" s="12"/>
      <c r="J475" s="3" t="str">
        <f t="shared" si="19"/>
        <v>1</v>
      </c>
    </row>
    <row r="476" spans="2:10" ht="12.75" hidden="1" customHeight="1">
      <c r="B476" s="34"/>
      <c r="C476" s="10"/>
      <c r="D476" s="33"/>
      <c r="E476" s="33"/>
      <c r="F476" s="33"/>
      <c r="G476" s="33"/>
      <c r="H476" s="72">
        <f t="shared" si="20"/>
        <v>0</v>
      </c>
      <c r="I476" s="12"/>
      <c r="J476" s="3" t="str">
        <f t="shared" si="19"/>
        <v>1</v>
      </c>
    </row>
    <row r="477" spans="2:10" ht="12.75" hidden="1" customHeight="1">
      <c r="B477" s="34"/>
      <c r="C477" s="10"/>
      <c r="D477" s="33"/>
      <c r="E477" s="33"/>
      <c r="F477" s="33"/>
      <c r="G477" s="33"/>
      <c r="H477" s="72">
        <f t="shared" si="20"/>
        <v>0</v>
      </c>
      <c r="I477" s="12"/>
      <c r="J477" s="3" t="str">
        <f t="shared" si="19"/>
        <v>1</v>
      </c>
    </row>
    <row r="478" spans="2:10" ht="12.75" hidden="1" customHeight="1">
      <c r="B478" s="34"/>
      <c r="C478" s="10"/>
      <c r="D478" s="33"/>
      <c r="E478" s="33"/>
      <c r="F478" s="33"/>
      <c r="G478" s="33"/>
      <c r="H478" s="72">
        <f t="shared" si="20"/>
        <v>0</v>
      </c>
      <c r="I478" s="12"/>
      <c r="J478" s="3" t="str">
        <f t="shared" si="19"/>
        <v>1</v>
      </c>
    </row>
    <row r="479" spans="2:10" ht="12.75" hidden="1" customHeight="1">
      <c r="B479" s="34"/>
      <c r="C479" s="10"/>
      <c r="D479" s="33"/>
      <c r="E479" s="33"/>
      <c r="F479" s="33"/>
      <c r="G479" s="33"/>
      <c r="H479" s="72">
        <f t="shared" si="20"/>
        <v>0</v>
      </c>
      <c r="I479" s="12"/>
      <c r="J479" s="3" t="str">
        <f t="shared" si="19"/>
        <v>1</v>
      </c>
    </row>
    <row r="480" spans="2:10" ht="12.75" hidden="1" customHeight="1">
      <c r="B480" s="34"/>
      <c r="C480" s="10"/>
      <c r="D480" s="33"/>
      <c r="E480" s="33"/>
      <c r="F480" s="33"/>
      <c r="G480" s="33"/>
      <c r="H480" s="72">
        <f t="shared" si="20"/>
        <v>0</v>
      </c>
      <c r="I480" s="12"/>
      <c r="J480" s="3" t="str">
        <f t="shared" si="19"/>
        <v>1</v>
      </c>
    </row>
    <row r="481" spans="2:10" ht="12.75" hidden="1" customHeight="1">
      <c r="B481" s="34"/>
      <c r="C481" s="10"/>
      <c r="D481" s="33"/>
      <c r="E481" s="33"/>
      <c r="F481" s="33"/>
      <c r="G481" s="33"/>
      <c r="H481" s="72">
        <f t="shared" si="20"/>
        <v>0</v>
      </c>
      <c r="I481" s="12"/>
      <c r="J481" s="3" t="str">
        <f t="shared" si="19"/>
        <v>1</v>
      </c>
    </row>
    <row r="482" spans="2:10" ht="12.75" hidden="1" customHeight="1">
      <c r="B482" s="34"/>
      <c r="C482" s="10"/>
      <c r="D482" s="33"/>
      <c r="E482" s="33"/>
      <c r="F482" s="33"/>
      <c r="G482" s="33"/>
      <c r="H482" s="72">
        <f t="shared" si="20"/>
        <v>0</v>
      </c>
      <c r="I482" s="12"/>
      <c r="J482" s="3" t="str">
        <f t="shared" si="19"/>
        <v>1</v>
      </c>
    </row>
    <row r="483" spans="2:10" ht="12.75" hidden="1" customHeight="1">
      <c r="B483" s="34"/>
      <c r="C483" s="10"/>
      <c r="D483" s="33"/>
      <c r="E483" s="33"/>
      <c r="F483" s="33"/>
      <c r="G483" s="33"/>
      <c r="H483" s="72">
        <f t="shared" si="20"/>
        <v>0</v>
      </c>
      <c r="I483" s="12"/>
      <c r="J483" s="3" t="str">
        <f t="shared" si="19"/>
        <v>1</v>
      </c>
    </row>
    <row r="484" spans="2:10" ht="12.75" hidden="1" customHeight="1">
      <c r="B484" s="34"/>
      <c r="C484" s="10"/>
      <c r="D484" s="33"/>
      <c r="E484" s="33"/>
      <c r="F484" s="33"/>
      <c r="G484" s="33"/>
      <c r="H484" s="72">
        <f t="shared" si="20"/>
        <v>0</v>
      </c>
      <c r="I484" s="12"/>
      <c r="J484" s="3" t="str">
        <f t="shared" si="19"/>
        <v>1</v>
      </c>
    </row>
    <row r="485" spans="2:10" ht="12.75" hidden="1" customHeight="1">
      <c r="B485" s="34"/>
      <c r="C485" s="10"/>
      <c r="D485" s="33"/>
      <c r="E485" s="33"/>
      <c r="F485" s="33"/>
      <c r="G485" s="33"/>
      <c r="H485" s="72">
        <f t="shared" si="20"/>
        <v>0</v>
      </c>
      <c r="I485" s="12"/>
      <c r="J485" s="3" t="str">
        <f t="shared" si="19"/>
        <v>1</v>
      </c>
    </row>
    <row r="486" spans="2:10" ht="12.75" hidden="1" customHeight="1">
      <c r="B486" s="34"/>
      <c r="C486" s="10"/>
      <c r="D486" s="33"/>
      <c r="E486" s="33"/>
      <c r="F486" s="33"/>
      <c r="G486" s="33"/>
      <c r="H486" s="72">
        <f t="shared" si="20"/>
        <v>0</v>
      </c>
      <c r="I486" s="12"/>
      <c r="J486" s="3" t="str">
        <f t="shared" si="19"/>
        <v>1</v>
      </c>
    </row>
    <row r="487" spans="2:10" ht="12.75" hidden="1" customHeight="1">
      <c r="B487" s="34"/>
      <c r="C487" s="10"/>
      <c r="D487" s="33"/>
      <c r="E487" s="33"/>
      <c r="F487" s="33"/>
      <c r="G487" s="33"/>
      <c r="H487" s="72">
        <f t="shared" si="20"/>
        <v>0</v>
      </c>
      <c r="I487" s="12"/>
      <c r="J487" s="3" t="str">
        <f t="shared" si="19"/>
        <v>1</v>
      </c>
    </row>
    <row r="488" spans="2:10" ht="12.75" hidden="1" customHeight="1">
      <c r="B488" s="34"/>
      <c r="C488" s="10"/>
      <c r="D488" s="33"/>
      <c r="E488" s="33"/>
      <c r="F488" s="33"/>
      <c r="G488" s="33"/>
      <c r="H488" s="72">
        <f t="shared" si="20"/>
        <v>0</v>
      </c>
      <c r="I488" s="12"/>
      <c r="J488" s="3" t="str">
        <f t="shared" si="19"/>
        <v>1</v>
      </c>
    </row>
    <row r="489" spans="2:10" ht="12.75" hidden="1" customHeight="1">
      <c r="B489" s="34"/>
      <c r="C489" s="10"/>
      <c r="D489" s="33"/>
      <c r="E489" s="33"/>
      <c r="F489" s="33"/>
      <c r="G489" s="33"/>
      <c r="H489" s="72">
        <f t="shared" si="20"/>
        <v>0</v>
      </c>
      <c r="I489" s="12"/>
      <c r="J489" s="3" t="str">
        <f t="shared" si="19"/>
        <v>1</v>
      </c>
    </row>
    <row r="490" spans="2:10" ht="12.75" hidden="1" customHeight="1">
      <c r="B490" s="34"/>
      <c r="C490" s="10"/>
      <c r="D490" s="33"/>
      <c r="E490" s="33"/>
      <c r="F490" s="33"/>
      <c r="G490" s="33"/>
      <c r="H490" s="72">
        <f t="shared" si="20"/>
        <v>0</v>
      </c>
      <c r="I490" s="12"/>
      <c r="J490" s="3" t="str">
        <f t="shared" si="19"/>
        <v>1</v>
      </c>
    </row>
    <row r="491" spans="2:10" ht="12.75" hidden="1" customHeight="1">
      <c r="B491" s="34"/>
      <c r="C491" s="10"/>
      <c r="D491" s="33"/>
      <c r="E491" s="33"/>
      <c r="F491" s="33"/>
      <c r="G491" s="33"/>
      <c r="H491" s="72">
        <f t="shared" si="20"/>
        <v>0</v>
      </c>
      <c r="I491" s="12"/>
      <c r="J491" s="3" t="str">
        <f t="shared" si="19"/>
        <v>1</v>
      </c>
    </row>
    <row r="492" spans="2:10" ht="12.75" hidden="1" customHeight="1">
      <c r="B492" s="34"/>
      <c r="C492" s="10"/>
      <c r="D492" s="33"/>
      <c r="E492" s="33"/>
      <c r="F492" s="33"/>
      <c r="G492" s="33"/>
      <c r="H492" s="72">
        <f t="shared" si="20"/>
        <v>0</v>
      </c>
      <c r="I492" s="12"/>
      <c r="J492" s="3" t="str">
        <f t="shared" si="19"/>
        <v>1</v>
      </c>
    </row>
    <row r="493" spans="2:10" ht="12.75" hidden="1" customHeight="1">
      <c r="B493" s="34"/>
      <c r="C493" s="10"/>
      <c r="D493" s="33"/>
      <c r="E493" s="33"/>
      <c r="F493" s="33"/>
      <c r="G493" s="33"/>
      <c r="H493" s="72">
        <f t="shared" si="20"/>
        <v>0</v>
      </c>
      <c r="I493" s="12"/>
      <c r="J493" s="3" t="str">
        <f t="shared" si="19"/>
        <v>1</v>
      </c>
    </row>
    <row r="494" spans="2:10" ht="12.75" hidden="1" customHeight="1">
      <c r="B494" s="34"/>
      <c r="C494" s="10"/>
      <c r="D494" s="33"/>
      <c r="E494" s="33"/>
      <c r="F494" s="33"/>
      <c r="G494" s="33"/>
      <c r="H494" s="72">
        <f t="shared" si="20"/>
        <v>0</v>
      </c>
      <c r="I494" s="12"/>
      <c r="J494" s="3" t="str">
        <f t="shared" si="19"/>
        <v>1</v>
      </c>
    </row>
    <row r="495" spans="2:10" ht="12.75" hidden="1" customHeight="1">
      <c r="B495" s="34"/>
      <c r="C495" s="10"/>
      <c r="D495" s="33"/>
      <c r="E495" s="33"/>
      <c r="F495" s="33"/>
      <c r="G495" s="33"/>
      <c r="H495" s="72">
        <f t="shared" si="20"/>
        <v>0</v>
      </c>
      <c r="I495" s="12"/>
      <c r="J495" s="3" t="str">
        <f t="shared" si="19"/>
        <v>1</v>
      </c>
    </row>
    <row r="496" spans="2:10" ht="12.75" hidden="1" customHeight="1">
      <c r="B496" s="34"/>
      <c r="C496" s="10"/>
      <c r="D496" s="33"/>
      <c r="E496" s="33"/>
      <c r="F496" s="33"/>
      <c r="G496" s="33"/>
      <c r="H496" s="72">
        <f t="shared" si="20"/>
        <v>0</v>
      </c>
      <c r="I496" s="12"/>
      <c r="J496" s="3" t="str">
        <f t="shared" si="19"/>
        <v>1</v>
      </c>
    </row>
    <row r="497" spans="2:10" ht="12.75" hidden="1" customHeight="1">
      <c r="B497" s="34"/>
      <c r="C497" s="10"/>
      <c r="D497" s="33"/>
      <c r="E497" s="33"/>
      <c r="F497" s="33"/>
      <c r="G497" s="33"/>
      <c r="H497" s="72">
        <f t="shared" si="20"/>
        <v>0</v>
      </c>
      <c r="I497" s="12"/>
      <c r="J497" s="3" t="str">
        <f t="shared" si="19"/>
        <v>1</v>
      </c>
    </row>
    <row r="498" spans="2:10" ht="12.75" hidden="1" customHeight="1">
      <c r="B498" s="34"/>
      <c r="C498" s="10"/>
      <c r="D498" s="33"/>
      <c r="E498" s="33"/>
      <c r="F498" s="33"/>
      <c r="G498" s="33"/>
      <c r="H498" s="72">
        <f t="shared" si="20"/>
        <v>0</v>
      </c>
      <c r="I498" s="12"/>
      <c r="J498" s="3" t="str">
        <f t="shared" si="19"/>
        <v>1</v>
      </c>
    </row>
    <row r="499" spans="2:10" ht="12.75" hidden="1" customHeight="1">
      <c r="B499" s="34"/>
      <c r="C499" s="10"/>
      <c r="D499" s="33"/>
      <c r="E499" s="33"/>
      <c r="F499" s="33"/>
      <c r="G499" s="33"/>
      <c r="H499" s="72">
        <f t="shared" si="20"/>
        <v>0</v>
      </c>
      <c r="I499" s="12"/>
      <c r="J499" s="3" t="str">
        <f t="shared" si="19"/>
        <v>1</v>
      </c>
    </row>
    <row r="500" spans="2:10" ht="12.75" hidden="1" customHeight="1">
      <c r="B500" s="34"/>
      <c r="C500" s="10"/>
      <c r="D500" s="33"/>
      <c r="E500" s="33"/>
      <c r="F500" s="33"/>
      <c r="G500" s="33"/>
      <c r="H500" s="72">
        <f t="shared" si="20"/>
        <v>0</v>
      </c>
      <c r="I500" s="12"/>
      <c r="J500" s="3" t="str">
        <f t="shared" si="19"/>
        <v>1</v>
      </c>
    </row>
    <row r="501" spans="2:10" ht="12.75" hidden="1" customHeight="1">
      <c r="B501" s="34"/>
      <c r="C501" s="10"/>
      <c r="D501" s="33"/>
      <c r="E501" s="33"/>
      <c r="F501" s="33"/>
      <c r="G501" s="33"/>
      <c r="H501" s="72">
        <f t="shared" si="20"/>
        <v>0</v>
      </c>
      <c r="I501" s="12"/>
      <c r="J501" s="3" t="str">
        <f t="shared" si="19"/>
        <v>1</v>
      </c>
    </row>
    <row r="502" spans="2:10" ht="12.75" hidden="1" customHeight="1">
      <c r="B502" s="34"/>
      <c r="C502" s="10"/>
      <c r="D502" s="33"/>
      <c r="E502" s="33"/>
      <c r="F502" s="33"/>
      <c r="G502" s="33"/>
      <c r="H502" s="72">
        <f t="shared" si="20"/>
        <v>0</v>
      </c>
      <c r="I502" s="12"/>
      <c r="J502" s="3" t="str">
        <f t="shared" si="19"/>
        <v>1</v>
      </c>
    </row>
    <row r="503" spans="2:10" ht="12.75" hidden="1" customHeight="1">
      <c r="B503" s="34"/>
      <c r="C503" s="10"/>
      <c r="D503" s="33"/>
      <c r="E503" s="33"/>
      <c r="F503" s="33"/>
      <c r="G503" s="33"/>
      <c r="H503" s="72">
        <f t="shared" si="20"/>
        <v>0</v>
      </c>
      <c r="I503" s="12"/>
      <c r="J503" s="3" t="str">
        <f t="shared" si="19"/>
        <v>1</v>
      </c>
    </row>
    <row r="504" spans="2:10" ht="12.75" hidden="1" customHeight="1">
      <c r="B504" s="34"/>
      <c r="C504" s="10"/>
      <c r="D504" s="33"/>
      <c r="E504" s="33"/>
      <c r="F504" s="33"/>
      <c r="G504" s="33"/>
      <c r="H504" s="72">
        <f t="shared" si="20"/>
        <v>0</v>
      </c>
      <c r="I504" s="12"/>
      <c r="J504" s="3" t="str">
        <f t="shared" si="19"/>
        <v>1</v>
      </c>
    </row>
    <row r="505" spans="2:10" ht="12.75" hidden="1" customHeight="1">
      <c r="B505" s="34"/>
      <c r="C505" s="10"/>
      <c r="D505" s="33"/>
      <c r="E505" s="33"/>
      <c r="F505" s="33"/>
      <c r="G505" s="33"/>
      <c r="H505" s="72">
        <f t="shared" si="20"/>
        <v>0</v>
      </c>
      <c r="I505" s="12"/>
      <c r="J505" s="3" t="str">
        <f t="shared" si="19"/>
        <v>1</v>
      </c>
    </row>
    <row r="506" spans="2:10" ht="12.75" hidden="1" customHeight="1">
      <c r="B506" s="34"/>
      <c r="C506" s="10"/>
      <c r="D506" s="33"/>
      <c r="E506" s="33"/>
      <c r="F506" s="33"/>
      <c r="G506" s="33"/>
      <c r="H506" s="72">
        <f t="shared" si="20"/>
        <v>0</v>
      </c>
      <c r="I506" s="12"/>
      <c r="J506" s="3" t="str">
        <f t="shared" si="19"/>
        <v>1</v>
      </c>
    </row>
    <row r="507" spans="2:10" ht="12.75" hidden="1" customHeight="1">
      <c r="B507" s="34"/>
      <c r="C507" s="10"/>
      <c r="D507" s="33"/>
      <c r="E507" s="33"/>
      <c r="F507" s="33"/>
      <c r="G507" s="33"/>
      <c r="H507" s="72">
        <f t="shared" si="20"/>
        <v>0</v>
      </c>
      <c r="I507" s="12"/>
      <c r="J507" s="3" t="str">
        <f t="shared" si="19"/>
        <v>1</v>
      </c>
    </row>
    <row r="508" spans="2:10" ht="12.75" hidden="1" customHeight="1">
      <c r="B508" s="34"/>
      <c r="C508" s="10"/>
      <c r="D508" s="33"/>
      <c r="E508" s="33"/>
      <c r="F508" s="33"/>
      <c r="G508" s="33"/>
      <c r="H508" s="72">
        <f t="shared" si="20"/>
        <v>0</v>
      </c>
      <c r="I508" s="12"/>
      <c r="J508" s="3" t="str">
        <f t="shared" si="19"/>
        <v>1</v>
      </c>
    </row>
    <row r="509" spans="2:10" ht="12.75" hidden="1" customHeight="1">
      <c r="B509" s="34"/>
      <c r="C509" s="10"/>
      <c r="D509" s="33"/>
      <c r="E509" s="33"/>
      <c r="F509" s="33"/>
      <c r="G509" s="33"/>
      <c r="H509" s="72">
        <f t="shared" si="20"/>
        <v>0</v>
      </c>
      <c r="I509" s="12"/>
      <c r="J509" s="3" t="str">
        <f t="shared" si="19"/>
        <v>1</v>
      </c>
    </row>
    <row r="510" spans="2:10" ht="12.75" hidden="1" customHeight="1">
      <c r="B510" s="34"/>
      <c r="C510" s="10"/>
      <c r="D510" s="33"/>
      <c r="E510" s="33"/>
      <c r="F510" s="33"/>
      <c r="G510" s="33"/>
      <c r="H510" s="72">
        <f t="shared" si="20"/>
        <v>0</v>
      </c>
      <c r="I510" s="12"/>
      <c r="J510" s="3" t="str">
        <f t="shared" si="19"/>
        <v>1</v>
      </c>
    </row>
    <row r="511" spans="2:10" ht="12.75" hidden="1" customHeight="1">
      <c r="B511" s="34"/>
      <c r="C511" s="10"/>
      <c r="D511" s="33"/>
      <c r="E511" s="33"/>
      <c r="F511" s="33"/>
      <c r="G511" s="33"/>
      <c r="H511" s="72">
        <f t="shared" si="20"/>
        <v>0</v>
      </c>
      <c r="I511" s="12"/>
      <c r="J511" s="3" t="str">
        <f t="shared" si="19"/>
        <v>1</v>
      </c>
    </row>
    <row r="512" spans="2:10" ht="12.75" hidden="1" customHeight="1">
      <c r="B512" s="34"/>
      <c r="C512" s="10"/>
      <c r="D512" s="33"/>
      <c r="E512" s="33"/>
      <c r="F512" s="33"/>
      <c r="G512" s="33"/>
      <c r="H512" s="72">
        <f t="shared" si="20"/>
        <v>0</v>
      </c>
      <c r="I512" s="12"/>
      <c r="J512" s="3" t="str">
        <f t="shared" si="19"/>
        <v>1</v>
      </c>
    </row>
    <row r="513" spans="2:10" ht="12.75" hidden="1" customHeight="1">
      <c r="B513" s="34"/>
      <c r="C513" s="10"/>
      <c r="D513" s="33"/>
      <c r="E513" s="33"/>
      <c r="F513" s="33"/>
      <c r="G513" s="33"/>
      <c r="H513" s="72">
        <f t="shared" si="20"/>
        <v>0</v>
      </c>
      <c r="I513" s="12"/>
      <c r="J513" s="3" t="str">
        <f t="shared" si="19"/>
        <v>1</v>
      </c>
    </row>
    <row r="514" spans="2:10" ht="12.75" hidden="1" customHeight="1">
      <c r="B514" s="34"/>
      <c r="C514" s="10"/>
      <c r="D514" s="33"/>
      <c r="E514" s="33"/>
      <c r="F514" s="33"/>
      <c r="G514" s="33"/>
      <c r="H514" s="72">
        <f t="shared" si="20"/>
        <v>0</v>
      </c>
      <c r="I514" s="12"/>
      <c r="J514" s="3" t="str">
        <f t="shared" si="19"/>
        <v>1</v>
      </c>
    </row>
    <row r="515" spans="2:10" ht="12.75" hidden="1" customHeight="1">
      <c r="B515" s="34"/>
      <c r="C515" s="10"/>
      <c r="D515" s="33"/>
      <c r="E515" s="33"/>
      <c r="F515" s="33"/>
      <c r="G515" s="33"/>
      <c r="H515" s="72">
        <f t="shared" si="20"/>
        <v>0</v>
      </c>
      <c r="I515" s="12"/>
      <c r="J515" s="3" t="str">
        <f t="shared" ref="J515:J578" si="21">TRIM(C515) &amp; (COUNTIFS($C$4:$C$123, C515, $I$4:$I$123, "&gt;"&amp;I515) + 1)</f>
        <v>1</v>
      </c>
    </row>
    <row r="516" spans="2:10" ht="12.75" hidden="1" customHeight="1">
      <c r="B516" s="34"/>
      <c r="C516" s="10"/>
      <c r="D516" s="33"/>
      <c r="E516" s="33"/>
      <c r="F516" s="33"/>
      <c r="G516" s="33"/>
      <c r="H516" s="72">
        <f t="shared" si="20"/>
        <v>0</v>
      </c>
      <c r="I516" s="12"/>
      <c r="J516" s="3" t="str">
        <f t="shared" si="21"/>
        <v>1</v>
      </c>
    </row>
    <row r="517" spans="2:10" ht="12.75" hidden="1" customHeight="1">
      <c r="B517" s="34"/>
      <c r="C517" s="10"/>
      <c r="D517" s="33"/>
      <c r="E517" s="33"/>
      <c r="F517" s="33"/>
      <c r="G517" s="33"/>
      <c r="H517" s="72">
        <f t="shared" ref="H517:H580" si="22">IF(D517=0, COUNTIFS($C$4:$C$123, C517, $B$4:$B$123, "&lt;&gt;"), COUNTIFS($C$4:$C$123, C517, $D$4:$D$123, "&gt;"&amp;D517) + 1)</f>
        <v>0</v>
      </c>
      <c r="I517" s="12"/>
      <c r="J517" s="3" t="str">
        <f t="shared" si="21"/>
        <v>1</v>
      </c>
    </row>
    <row r="518" spans="2:10" ht="12.75" hidden="1" customHeight="1">
      <c r="B518" s="34"/>
      <c r="C518" s="10"/>
      <c r="D518" s="33"/>
      <c r="E518" s="33"/>
      <c r="F518" s="33"/>
      <c r="G518" s="33"/>
      <c r="H518" s="72">
        <f t="shared" si="22"/>
        <v>0</v>
      </c>
      <c r="I518" s="12"/>
      <c r="J518" s="3" t="str">
        <f t="shared" si="21"/>
        <v>1</v>
      </c>
    </row>
    <row r="519" spans="2:10" ht="12.75" hidden="1" customHeight="1">
      <c r="B519" s="34"/>
      <c r="C519" s="10"/>
      <c r="D519" s="33"/>
      <c r="E519" s="33"/>
      <c r="F519" s="33"/>
      <c r="G519" s="33"/>
      <c r="H519" s="72">
        <f t="shared" si="22"/>
        <v>0</v>
      </c>
      <c r="I519" s="12"/>
      <c r="J519" s="3" t="str">
        <f t="shared" si="21"/>
        <v>1</v>
      </c>
    </row>
    <row r="520" spans="2:10" ht="12.75" hidden="1" customHeight="1">
      <c r="B520" s="34"/>
      <c r="C520" s="10"/>
      <c r="D520" s="33"/>
      <c r="E520" s="33"/>
      <c r="F520" s="33"/>
      <c r="G520" s="33"/>
      <c r="H520" s="72">
        <f t="shared" si="22"/>
        <v>0</v>
      </c>
      <c r="I520" s="12"/>
      <c r="J520" s="3" t="str">
        <f t="shared" si="21"/>
        <v>1</v>
      </c>
    </row>
    <row r="521" spans="2:10" ht="12.75" hidden="1" customHeight="1">
      <c r="B521" s="34"/>
      <c r="C521" s="10"/>
      <c r="D521" s="33"/>
      <c r="E521" s="33"/>
      <c r="F521" s="33"/>
      <c r="G521" s="33"/>
      <c r="H521" s="72">
        <f t="shared" si="22"/>
        <v>0</v>
      </c>
      <c r="I521" s="12"/>
      <c r="J521" s="3" t="str">
        <f t="shared" si="21"/>
        <v>1</v>
      </c>
    </row>
    <row r="522" spans="2:10" ht="12.75" hidden="1" customHeight="1">
      <c r="B522" s="34"/>
      <c r="C522" s="10"/>
      <c r="D522" s="33"/>
      <c r="E522" s="33"/>
      <c r="F522" s="33"/>
      <c r="G522" s="33"/>
      <c r="H522" s="72">
        <f t="shared" si="22"/>
        <v>0</v>
      </c>
      <c r="I522" s="12"/>
      <c r="J522" s="3" t="str">
        <f t="shared" si="21"/>
        <v>1</v>
      </c>
    </row>
    <row r="523" spans="2:10" ht="12.75" hidden="1" customHeight="1">
      <c r="B523" s="34"/>
      <c r="C523" s="10"/>
      <c r="D523" s="33"/>
      <c r="E523" s="33"/>
      <c r="F523" s="33"/>
      <c r="G523" s="33"/>
      <c r="H523" s="72">
        <f t="shared" si="22"/>
        <v>0</v>
      </c>
      <c r="I523" s="12"/>
      <c r="J523" s="3" t="str">
        <f t="shared" si="21"/>
        <v>1</v>
      </c>
    </row>
    <row r="524" spans="2:10" ht="12.75" hidden="1" customHeight="1">
      <c r="B524" s="34"/>
      <c r="C524" s="10"/>
      <c r="D524" s="33"/>
      <c r="E524" s="33"/>
      <c r="F524" s="33"/>
      <c r="G524" s="33"/>
      <c r="H524" s="72">
        <f t="shared" si="22"/>
        <v>0</v>
      </c>
      <c r="I524" s="12"/>
      <c r="J524" s="3" t="str">
        <f t="shared" si="21"/>
        <v>1</v>
      </c>
    </row>
    <row r="525" spans="2:10" ht="12.75" hidden="1" customHeight="1">
      <c r="B525" s="34"/>
      <c r="C525" s="10"/>
      <c r="D525" s="33"/>
      <c r="E525" s="33"/>
      <c r="F525" s="33"/>
      <c r="G525" s="33"/>
      <c r="H525" s="72">
        <f t="shared" si="22"/>
        <v>0</v>
      </c>
      <c r="I525" s="12"/>
      <c r="J525" s="3" t="str">
        <f t="shared" si="21"/>
        <v>1</v>
      </c>
    </row>
    <row r="526" spans="2:10" ht="12.75" hidden="1" customHeight="1">
      <c r="B526" s="34"/>
      <c r="C526" s="10"/>
      <c r="D526" s="33"/>
      <c r="E526" s="33"/>
      <c r="F526" s="33"/>
      <c r="G526" s="33"/>
      <c r="H526" s="72">
        <f t="shared" si="22"/>
        <v>0</v>
      </c>
      <c r="I526" s="12"/>
      <c r="J526" s="3" t="str">
        <f t="shared" si="21"/>
        <v>1</v>
      </c>
    </row>
    <row r="527" spans="2:10" ht="12.75" hidden="1" customHeight="1">
      <c r="B527" s="34"/>
      <c r="C527" s="10"/>
      <c r="D527" s="33"/>
      <c r="E527" s="33"/>
      <c r="F527" s="33"/>
      <c r="G527" s="33"/>
      <c r="H527" s="72">
        <f t="shared" si="22"/>
        <v>0</v>
      </c>
      <c r="I527" s="12"/>
      <c r="J527" s="3" t="str">
        <f t="shared" si="21"/>
        <v>1</v>
      </c>
    </row>
    <row r="528" spans="2:10" ht="12.75" hidden="1" customHeight="1">
      <c r="B528" s="34"/>
      <c r="C528" s="10"/>
      <c r="D528" s="33"/>
      <c r="E528" s="33"/>
      <c r="F528" s="33"/>
      <c r="G528" s="33"/>
      <c r="H528" s="72">
        <f t="shared" si="22"/>
        <v>0</v>
      </c>
      <c r="I528" s="12"/>
      <c r="J528" s="3" t="str">
        <f t="shared" si="21"/>
        <v>1</v>
      </c>
    </row>
    <row r="529" spans="2:10" ht="12.75" hidden="1" customHeight="1">
      <c r="B529" s="34"/>
      <c r="C529" s="10"/>
      <c r="D529" s="33"/>
      <c r="E529" s="33"/>
      <c r="F529" s="33"/>
      <c r="G529" s="33"/>
      <c r="H529" s="72">
        <f t="shared" si="22"/>
        <v>0</v>
      </c>
      <c r="I529" s="12"/>
      <c r="J529" s="3" t="str">
        <f t="shared" si="21"/>
        <v>1</v>
      </c>
    </row>
    <row r="530" spans="2:10" ht="12.75" hidden="1" customHeight="1">
      <c r="B530" s="34"/>
      <c r="C530" s="10"/>
      <c r="D530" s="33"/>
      <c r="E530" s="33"/>
      <c r="F530" s="33"/>
      <c r="G530" s="33"/>
      <c r="H530" s="72">
        <f t="shared" si="22"/>
        <v>0</v>
      </c>
      <c r="I530" s="12"/>
      <c r="J530" s="3" t="str">
        <f t="shared" si="21"/>
        <v>1</v>
      </c>
    </row>
    <row r="531" spans="2:10" ht="12.75" hidden="1" customHeight="1">
      <c r="B531" s="34"/>
      <c r="C531" s="10"/>
      <c r="D531" s="33"/>
      <c r="E531" s="33"/>
      <c r="F531" s="33"/>
      <c r="G531" s="33"/>
      <c r="H531" s="72">
        <f t="shared" si="22"/>
        <v>0</v>
      </c>
      <c r="I531" s="12"/>
      <c r="J531" s="3" t="str">
        <f t="shared" si="21"/>
        <v>1</v>
      </c>
    </row>
    <row r="532" spans="2:10" ht="12.75" hidden="1" customHeight="1">
      <c r="B532" s="34"/>
      <c r="C532" s="10"/>
      <c r="D532" s="33"/>
      <c r="E532" s="33"/>
      <c r="F532" s="33"/>
      <c r="G532" s="33"/>
      <c r="H532" s="72">
        <f t="shared" si="22"/>
        <v>0</v>
      </c>
      <c r="I532" s="12"/>
      <c r="J532" s="3" t="str">
        <f t="shared" si="21"/>
        <v>1</v>
      </c>
    </row>
    <row r="533" spans="2:10" ht="12.75" hidden="1" customHeight="1">
      <c r="B533" s="34"/>
      <c r="C533" s="10"/>
      <c r="D533" s="33"/>
      <c r="E533" s="33"/>
      <c r="F533" s="33"/>
      <c r="G533" s="33"/>
      <c r="H533" s="72">
        <f t="shared" si="22"/>
        <v>0</v>
      </c>
      <c r="I533" s="12"/>
      <c r="J533" s="3" t="str">
        <f t="shared" si="21"/>
        <v>1</v>
      </c>
    </row>
    <row r="534" spans="2:10" ht="12.75" hidden="1" customHeight="1">
      <c r="B534" s="34"/>
      <c r="C534" s="10"/>
      <c r="D534" s="33"/>
      <c r="E534" s="33"/>
      <c r="F534" s="33"/>
      <c r="G534" s="33"/>
      <c r="H534" s="72">
        <f t="shared" si="22"/>
        <v>0</v>
      </c>
      <c r="I534" s="12"/>
      <c r="J534" s="3" t="str">
        <f t="shared" si="21"/>
        <v>1</v>
      </c>
    </row>
    <row r="535" spans="2:10" ht="12.75" hidden="1" customHeight="1">
      <c r="B535" s="34"/>
      <c r="C535" s="10"/>
      <c r="D535" s="33"/>
      <c r="E535" s="33"/>
      <c r="F535" s="33"/>
      <c r="G535" s="33"/>
      <c r="H535" s="72">
        <f t="shared" si="22"/>
        <v>0</v>
      </c>
      <c r="I535" s="12"/>
      <c r="J535" s="3" t="str">
        <f t="shared" si="21"/>
        <v>1</v>
      </c>
    </row>
    <row r="536" spans="2:10" ht="12.75" hidden="1" customHeight="1">
      <c r="B536" s="34"/>
      <c r="C536" s="10"/>
      <c r="D536" s="33"/>
      <c r="E536" s="33"/>
      <c r="F536" s="33"/>
      <c r="G536" s="33"/>
      <c r="H536" s="72">
        <f t="shared" si="22"/>
        <v>0</v>
      </c>
      <c r="I536" s="12"/>
      <c r="J536" s="3" t="str">
        <f t="shared" si="21"/>
        <v>1</v>
      </c>
    </row>
    <row r="537" spans="2:10" ht="12.75" hidden="1" customHeight="1">
      <c r="B537" s="34"/>
      <c r="C537" s="10"/>
      <c r="D537" s="33"/>
      <c r="E537" s="33"/>
      <c r="F537" s="33"/>
      <c r="G537" s="33"/>
      <c r="H537" s="72">
        <f t="shared" si="22"/>
        <v>0</v>
      </c>
      <c r="I537" s="12"/>
      <c r="J537" s="3" t="str">
        <f t="shared" si="21"/>
        <v>1</v>
      </c>
    </row>
    <row r="538" spans="2:10" ht="12.75" hidden="1" customHeight="1">
      <c r="B538" s="34"/>
      <c r="C538" s="10"/>
      <c r="D538" s="33"/>
      <c r="E538" s="33"/>
      <c r="F538" s="33"/>
      <c r="G538" s="33"/>
      <c r="H538" s="72">
        <f t="shared" si="22"/>
        <v>0</v>
      </c>
      <c r="I538" s="12"/>
      <c r="J538" s="3" t="str">
        <f t="shared" si="21"/>
        <v>1</v>
      </c>
    </row>
    <row r="539" spans="2:10" ht="12.75" hidden="1" customHeight="1">
      <c r="B539" s="34"/>
      <c r="C539" s="10"/>
      <c r="D539" s="33"/>
      <c r="E539" s="33"/>
      <c r="F539" s="33"/>
      <c r="G539" s="33"/>
      <c r="H539" s="72">
        <f t="shared" si="22"/>
        <v>0</v>
      </c>
      <c r="I539" s="12"/>
      <c r="J539" s="3" t="str">
        <f t="shared" si="21"/>
        <v>1</v>
      </c>
    </row>
    <row r="540" spans="2:10" ht="12.75" hidden="1" customHeight="1">
      <c r="B540" s="34"/>
      <c r="C540" s="10"/>
      <c r="D540" s="33"/>
      <c r="E540" s="33"/>
      <c r="F540" s="33"/>
      <c r="G540" s="33"/>
      <c r="H540" s="72">
        <f t="shared" si="22"/>
        <v>0</v>
      </c>
      <c r="I540" s="12"/>
      <c r="J540" s="3" t="str">
        <f t="shared" si="21"/>
        <v>1</v>
      </c>
    </row>
    <row r="541" spans="2:10" ht="12.75" hidden="1" customHeight="1">
      <c r="B541" s="34"/>
      <c r="C541" s="10"/>
      <c r="D541" s="33"/>
      <c r="E541" s="33"/>
      <c r="F541" s="33"/>
      <c r="G541" s="33"/>
      <c r="H541" s="72">
        <f t="shared" si="22"/>
        <v>0</v>
      </c>
      <c r="I541" s="12"/>
      <c r="J541" s="3" t="str">
        <f t="shared" si="21"/>
        <v>1</v>
      </c>
    </row>
    <row r="542" spans="2:10" ht="12.75" hidden="1" customHeight="1">
      <c r="B542" s="34"/>
      <c r="C542" s="10"/>
      <c r="D542" s="33"/>
      <c r="E542" s="33"/>
      <c r="F542" s="33"/>
      <c r="G542" s="33"/>
      <c r="H542" s="72">
        <f t="shared" si="22"/>
        <v>0</v>
      </c>
      <c r="I542" s="12"/>
      <c r="J542" s="3" t="str">
        <f t="shared" si="21"/>
        <v>1</v>
      </c>
    </row>
    <row r="543" spans="2:10" ht="12.75" hidden="1" customHeight="1">
      <c r="B543" s="34"/>
      <c r="C543" s="10"/>
      <c r="D543" s="33"/>
      <c r="E543" s="33"/>
      <c r="F543" s="33"/>
      <c r="G543" s="33"/>
      <c r="H543" s="72">
        <f t="shared" si="22"/>
        <v>0</v>
      </c>
      <c r="I543" s="12"/>
      <c r="J543" s="3" t="str">
        <f t="shared" si="21"/>
        <v>1</v>
      </c>
    </row>
    <row r="544" spans="2:10" ht="12.75" hidden="1" customHeight="1">
      <c r="B544" s="34"/>
      <c r="C544" s="10"/>
      <c r="D544" s="33"/>
      <c r="E544" s="33"/>
      <c r="F544" s="33"/>
      <c r="G544" s="33"/>
      <c r="H544" s="72">
        <f t="shared" si="22"/>
        <v>0</v>
      </c>
      <c r="I544" s="12"/>
      <c r="J544" s="3" t="str">
        <f t="shared" si="21"/>
        <v>1</v>
      </c>
    </row>
    <row r="545" spans="2:10" ht="12.75" hidden="1" customHeight="1">
      <c r="B545" s="34"/>
      <c r="C545" s="10"/>
      <c r="D545" s="33"/>
      <c r="E545" s="33"/>
      <c r="F545" s="33"/>
      <c r="G545" s="33"/>
      <c r="H545" s="72">
        <f t="shared" si="22"/>
        <v>0</v>
      </c>
      <c r="I545" s="12"/>
      <c r="J545" s="3" t="str">
        <f t="shared" si="21"/>
        <v>1</v>
      </c>
    </row>
    <row r="546" spans="2:10" ht="12.75" hidden="1" customHeight="1">
      <c r="B546" s="34"/>
      <c r="C546" s="10"/>
      <c r="D546" s="33"/>
      <c r="E546" s="33"/>
      <c r="F546" s="33"/>
      <c r="G546" s="33"/>
      <c r="H546" s="72">
        <f t="shared" si="22"/>
        <v>0</v>
      </c>
      <c r="I546" s="12"/>
      <c r="J546" s="3" t="str">
        <f t="shared" si="21"/>
        <v>1</v>
      </c>
    </row>
    <row r="547" spans="2:10" ht="12.75" hidden="1" customHeight="1">
      <c r="B547" s="34"/>
      <c r="C547" s="10"/>
      <c r="D547" s="33"/>
      <c r="E547" s="33"/>
      <c r="F547" s="33"/>
      <c r="G547" s="33"/>
      <c r="H547" s="72">
        <f t="shared" si="22"/>
        <v>0</v>
      </c>
      <c r="I547" s="12"/>
      <c r="J547" s="3" t="str">
        <f t="shared" si="21"/>
        <v>1</v>
      </c>
    </row>
    <row r="548" spans="2:10" ht="12.75" hidden="1" customHeight="1">
      <c r="B548" s="34"/>
      <c r="C548" s="10"/>
      <c r="D548" s="33"/>
      <c r="E548" s="33"/>
      <c r="F548" s="33"/>
      <c r="G548" s="33"/>
      <c r="H548" s="72">
        <f t="shared" si="22"/>
        <v>0</v>
      </c>
      <c r="I548" s="12"/>
      <c r="J548" s="3" t="str">
        <f t="shared" si="21"/>
        <v>1</v>
      </c>
    </row>
    <row r="549" spans="2:10" ht="12.75" hidden="1" customHeight="1">
      <c r="B549" s="34"/>
      <c r="C549" s="10"/>
      <c r="D549" s="33"/>
      <c r="E549" s="33"/>
      <c r="F549" s="33"/>
      <c r="G549" s="33"/>
      <c r="H549" s="72">
        <f t="shared" si="22"/>
        <v>0</v>
      </c>
      <c r="I549" s="12"/>
      <c r="J549" s="3" t="str">
        <f t="shared" si="21"/>
        <v>1</v>
      </c>
    </row>
    <row r="550" spans="2:10" ht="12.75" hidden="1" customHeight="1">
      <c r="B550" s="34"/>
      <c r="C550" s="10"/>
      <c r="D550" s="33"/>
      <c r="E550" s="33"/>
      <c r="F550" s="33"/>
      <c r="G550" s="33"/>
      <c r="H550" s="72">
        <f t="shared" si="22"/>
        <v>0</v>
      </c>
      <c r="I550" s="12"/>
      <c r="J550" s="3" t="str">
        <f t="shared" si="21"/>
        <v>1</v>
      </c>
    </row>
    <row r="551" spans="2:10" ht="12.75" hidden="1" customHeight="1">
      <c r="B551" s="34"/>
      <c r="C551" s="10"/>
      <c r="D551" s="33"/>
      <c r="E551" s="33"/>
      <c r="F551" s="33"/>
      <c r="G551" s="33"/>
      <c r="H551" s="72">
        <f t="shared" si="22"/>
        <v>0</v>
      </c>
      <c r="I551" s="12"/>
      <c r="J551" s="3" t="str">
        <f t="shared" si="21"/>
        <v>1</v>
      </c>
    </row>
    <row r="552" spans="2:10" ht="12.75" hidden="1" customHeight="1">
      <c r="B552" s="34"/>
      <c r="C552" s="10"/>
      <c r="D552" s="33"/>
      <c r="E552" s="33"/>
      <c r="F552" s="33"/>
      <c r="G552" s="33"/>
      <c r="H552" s="72">
        <f t="shared" si="22"/>
        <v>0</v>
      </c>
      <c r="I552" s="12"/>
      <c r="J552" s="3" t="str">
        <f t="shared" si="21"/>
        <v>1</v>
      </c>
    </row>
    <row r="553" spans="2:10" ht="12.75" hidden="1" customHeight="1">
      <c r="B553" s="34"/>
      <c r="C553" s="10"/>
      <c r="D553" s="33"/>
      <c r="E553" s="33"/>
      <c r="F553" s="33"/>
      <c r="G553" s="33"/>
      <c r="H553" s="72">
        <f t="shared" si="22"/>
        <v>0</v>
      </c>
      <c r="I553" s="12"/>
      <c r="J553" s="3" t="str">
        <f t="shared" si="21"/>
        <v>1</v>
      </c>
    </row>
    <row r="554" spans="2:10" ht="12.75" hidden="1" customHeight="1">
      <c r="B554" s="34"/>
      <c r="C554" s="10"/>
      <c r="D554" s="33"/>
      <c r="E554" s="33"/>
      <c r="F554" s="33"/>
      <c r="G554" s="33"/>
      <c r="H554" s="72">
        <f t="shared" si="22"/>
        <v>0</v>
      </c>
      <c r="I554" s="12"/>
      <c r="J554" s="3" t="str">
        <f t="shared" si="21"/>
        <v>1</v>
      </c>
    </row>
    <row r="555" spans="2:10" ht="12.75" hidden="1" customHeight="1">
      <c r="B555" s="34"/>
      <c r="C555" s="10"/>
      <c r="D555" s="33"/>
      <c r="E555" s="33"/>
      <c r="F555" s="33"/>
      <c r="G555" s="33"/>
      <c r="H555" s="72">
        <f t="shared" si="22"/>
        <v>0</v>
      </c>
      <c r="I555" s="12"/>
      <c r="J555" s="3" t="str">
        <f t="shared" si="21"/>
        <v>1</v>
      </c>
    </row>
    <row r="556" spans="2:10" ht="12.75" hidden="1" customHeight="1">
      <c r="B556" s="34"/>
      <c r="C556" s="10"/>
      <c r="D556" s="33"/>
      <c r="E556" s="33"/>
      <c r="F556" s="33"/>
      <c r="G556" s="33"/>
      <c r="H556" s="72">
        <f t="shared" si="22"/>
        <v>0</v>
      </c>
      <c r="I556" s="12"/>
      <c r="J556" s="3" t="str">
        <f t="shared" si="21"/>
        <v>1</v>
      </c>
    </row>
    <row r="557" spans="2:10" ht="12.75" hidden="1" customHeight="1">
      <c r="B557" s="34"/>
      <c r="C557" s="10"/>
      <c r="D557" s="33"/>
      <c r="E557" s="33"/>
      <c r="F557" s="33"/>
      <c r="G557" s="33"/>
      <c r="H557" s="72">
        <f t="shared" si="22"/>
        <v>0</v>
      </c>
      <c r="I557" s="12"/>
      <c r="J557" s="3" t="str">
        <f t="shared" si="21"/>
        <v>1</v>
      </c>
    </row>
    <row r="558" spans="2:10" ht="12.75" hidden="1" customHeight="1">
      <c r="B558" s="34"/>
      <c r="C558" s="10"/>
      <c r="D558" s="33"/>
      <c r="E558" s="33"/>
      <c r="F558" s="33"/>
      <c r="G558" s="33"/>
      <c r="H558" s="72">
        <f t="shared" si="22"/>
        <v>0</v>
      </c>
      <c r="I558" s="12"/>
      <c r="J558" s="3" t="str">
        <f t="shared" si="21"/>
        <v>1</v>
      </c>
    </row>
    <row r="559" spans="2:10" ht="12.75" hidden="1" customHeight="1">
      <c r="B559" s="34"/>
      <c r="C559" s="10"/>
      <c r="D559" s="33"/>
      <c r="E559" s="33"/>
      <c r="F559" s="33"/>
      <c r="G559" s="33"/>
      <c r="H559" s="72">
        <f t="shared" si="22"/>
        <v>0</v>
      </c>
      <c r="I559" s="12"/>
      <c r="J559" s="3" t="str">
        <f t="shared" si="21"/>
        <v>1</v>
      </c>
    </row>
    <row r="560" spans="2:10" ht="12.75" hidden="1" customHeight="1">
      <c r="B560" s="34"/>
      <c r="C560" s="10"/>
      <c r="D560" s="33"/>
      <c r="E560" s="33"/>
      <c r="F560" s="33"/>
      <c r="G560" s="33"/>
      <c r="H560" s="72">
        <f t="shared" si="22"/>
        <v>0</v>
      </c>
      <c r="I560" s="12"/>
      <c r="J560" s="3" t="str">
        <f t="shared" si="21"/>
        <v>1</v>
      </c>
    </row>
    <row r="561" spans="2:10" ht="12.75" hidden="1" customHeight="1">
      <c r="B561" s="34"/>
      <c r="C561" s="10"/>
      <c r="D561" s="33"/>
      <c r="E561" s="33"/>
      <c r="F561" s="33"/>
      <c r="G561" s="33"/>
      <c r="H561" s="72">
        <f t="shared" si="22"/>
        <v>0</v>
      </c>
      <c r="I561" s="12"/>
      <c r="J561" s="3" t="str">
        <f t="shared" si="21"/>
        <v>1</v>
      </c>
    </row>
    <row r="562" spans="2:10" ht="12.75" hidden="1" customHeight="1">
      <c r="B562" s="34"/>
      <c r="C562" s="10"/>
      <c r="D562" s="33"/>
      <c r="E562" s="33"/>
      <c r="F562" s="33"/>
      <c r="G562" s="33"/>
      <c r="H562" s="72">
        <f t="shared" si="22"/>
        <v>0</v>
      </c>
      <c r="I562" s="12"/>
      <c r="J562" s="3" t="str">
        <f t="shared" si="21"/>
        <v>1</v>
      </c>
    </row>
    <row r="563" spans="2:10" ht="12.75" hidden="1" customHeight="1">
      <c r="B563" s="34"/>
      <c r="C563" s="10"/>
      <c r="D563" s="33"/>
      <c r="E563" s="33"/>
      <c r="F563" s="33"/>
      <c r="G563" s="33"/>
      <c r="H563" s="72">
        <f t="shared" si="22"/>
        <v>0</v>
      </c>
      <c r="I563" s="12"/>
      <c r="J563" s="3" t="str">
        <f t="shared" si="21"/>
        <v>1</v>
      </c>
    </row>
    <row r="564" spans="2:10" ht="12.75" hidden="1" customHeight="1">
      <c r="B564" s="34"/>
      <c r="C564" s="10"/>
      <c r="D564" s="33"/>
      <c r="E564" s="33"/>
      <c r="F564" s="33"/>
      <c r="G564" s="33"/>
      <c r="H564" s="72">
        <f t="shared" si="22"/>
        <v>0</v>
      </c>
      <c r="I564" s="12"/>
      <c r="J564" s="3" t="str">
        <f t="shared" si="21"/>
        <v>1</v>
      </c>
    </row>
    <row r="565" spans="2:10" ht="12.75" hidden="1" customHeight="1">
      <c r="B565" s="34"/>
      <c r="C565" s="10"/>
      <c r="D565" s="33"/>
      <c r="E565" s="33"/>
      <c r="F565" s="33"/>
      <c r="G565" s="33"/>
      <c r="H565" s="72">
        <f t="shared" si="22"/>
        <v>0</v>
      </c>
      <c r="I565" s="12"/>
      <c r="J565" s="3" t="str">
        <f t="shared" si="21"/>
        <v>1</v>
      </c>
    </row>
    <row r="566" spans="2:10" ht="12.75" hidden="1" customHeight="1">
      <c r="B566" s="34"/>
      <c r="C566" s="10"/>
      <c r="D566" s="33"/>
      <c r="E566" s="33"/>
      <c r="F566" s="33"/>
      <c r="G566" s="33"/>
      <c r="H566" s="72">
        <f t="shared" si="22"/>
        <v>0</v>
      </c>
      <c r="I566" s="12"/>
      <c r="J566" s="3" t="str">
        <f t="shared" si="21"/>
        <v>1</v>
      </c>
    </row>
    <row r="567" spans="2:10" ht="12.75" hidden="1" customHeight="1">
      <c r="B567" s="34"/>
      <c r="C567" s="10"/>
      <c r="D567" s="33"/>
      <c r="E567" s="33"/>
      <c r="F567" s="33"/>
      <c r="G567" s="33"/>
      <c r="H567" s="72">
        <f t="shared" si="22"/>
        <v>0</v>
      </c>
      <c r="I567" s="12"/>
      <c r="J567" s="3" t="str">
        <f t="shared" si="21"/>
        <v>1</v>
      </c>
    </row>
    <row r="568" spans="2:10" ht="12.75" hidden="1" customHeight="1">
      <c r="B568" s="34"/>
      <c r="C568" s="10"/>
      <c r="D568" s="33"/>
      <c r="E568" s="33"/>
      <c r="F568" s="33"/>
      <c r="G568" s="33"/>
      <c r="H568" s="72">
        <f t="shared" si="22"/>
        <v>0</v>
      </c>
      <c r="I568" s="12"/>
      <c r="J568" s="3" t="str">
        <f t="shared" si="21"/>
        <v>1</v>
      </c>
    </row>
    <row r="569" spans="2:10" ht="12.75" hidden="1" customHeight="1">
      <c r="B569" s="34"/>
      <c r="C569" s="10"/>
      <c r="D569" s="33"/>
      <c r="E569" s="33"/>
      <c r="F569" s="33"/>
      <c r="G569" s="33"/>
      <c r="H569" s="72">
        <f t="shared" si="22"/>
        <v>0</v>
      </c>
      <c r="I569" s="12"/>
      <c r="J569" s="3" t="str">
        <f t="shared" si="21"/>
        <v>1</v>
      </c>
    </row>
    <row r="570" spans="2:10" ht="12.75" hidden="1" customHeight="1">
      <c r="B570" s="34"/>
      <c r="C570" s="10"/>
      <c r="D570" s="33"/>
      <c r="E570" s="33"/>
      <c r="F570" s="33"/>
      <c r="G570" s="33"/>
      <c r="H570" s="72">
        <f t="shared" si="22"/>
        <v>0</v>
      </c>
      <c r="I570" s="12"/>
      <c r="J570" s="3" t="str">
        <f t="shared" si="21"/>
        <v>1</v>
      </c>
    </row>
    <row r="571" spans="2:10" ht="12.75" hidden="1" customHeight="1">
      <c r="B571" s="34"/>
      <c r="C571" s="10"/>
      <c r="D571" s="33"/>
      <c r="E571" s="33"/>
      <c r="F571" s="33"/>
      <c r="G571" s="33"/>
      <c r="H571" s="72">
        <f t="shared" si="22"/>
        <v>0</v>
      </c>
      <c r="I571" s="12"/>
      <c r="J571" s="3" t="str">
        <f t="shared" si="21"/>
        <v>1</v>
      </c>
    </row>
    <row r="572" spans="2:10" ht="12.75" hidden="1" customHeight="1">
      <c r="B572" s="34"/>
      <c r="C572" s="10"/>
      <c r="D572" s="33"/>
      <c r="E572" s="33"/>
      <c r="F572" s="33"/>
      <c r="G572" s="33"/>
      <c r="H572" s="72">
        <f t="shared" si="22"/>
        <v>0</v>
      </c>
      <c r="I572" s="12"/>
      <c r="J572" s="3" t="str">
        <f t="shared" si="21"/>
        <v>1</v>
      </c>
    </row>
    <row r="573" spans="2:10" ht="12.75" hidden="1" customHeight="1">
      <c r="B573" s="34"/>
      <c r="C573" s="10"/>
      <c r="D573" s="33"/>
      <c r="E573" s="33"/>
      <c r="F573" s="33"/>
      <c r="G573" s="33"/>
      <c r="H573" s="72">
        <f t="shared" si="22"/>
        <v>0</v>
      </c>
      <c r="I573" s="12"/>
      <c r="J573" s="3" t="str">
        <f t="shared" si="21"/>
        <v>1</v>
      </c>
    </row>
    <row r="574" spans="2:10" ht="12.75" hidden="1" customHeight="1">
      <c r="B574" s="34"/>
      <c r="C574" s="10"/>
      <c r="D574" s="33"/>
      <c r="E574" s="33"/>
      <c r="F574" s="33"/>
      <c r="G574" s="33"/>
      <c r="H574" s="72">
        <f t="shared" si="22"/>
        <v>0</v>
      </c>
      <c r="I574" s="12"/>
      <c r="J574" s="3" t="str">
        <f t="shared" si="21"/>
        <v>1</v>
      </c>
    </row>
    <row r="575" spans="2:10" ht="12.75" hidden="1" customHeight="1">
      <c r="B575" s="34"/>
      <c r="C575" s="10"/>
      <c r="D575" s="33"/>
      <c r="E575" s="33"/>
      <c r="F575" s="33"/>
      <c r="G575" s="33"/>
      <c r="H575" s="72">
        <f t="shared" si="22"/>
        <v>0</v>
      </c>
      <c r="I575" s="12"/>
      <c r="J575" s="3" t="str">
        <f t="shared" si="21"/>
        <v>1</v>
      </c>
    </row>
    <row r="576" spans="2:10" ht="12.75" hidden="1" customHeight="1">
      <c r="B576" s="34"/>
      <c r="C576" s="10"/>
      <c r="D576" s="33"/>
      <c r="E576" s="33"/>
      <c r="F576" s="33"/>
      <c r="G576" s="33"/>
      <c r="H576" s="72">
        <f t="shared" si="22"/>
        <v>0</v>
      </c>
      <c r="I576" s="12"/>
      <c r="J576" s="3" t="str">
        <f t="shared" si="21"/>
        <v>1</v>
      </c>
    </row>
    <row r="577" spans="2:10" ht="12.75" hidden="1" customHeight="1">
      <c r="B577" s="34"/>
      <c r="C577" s="10"/>
      <c r="D577" s="33"/>
      <c r="E577" s="33"/>
      <c r="F577" s="33"/>
      <c r="G577" s="33"/>
      <c r="H577" s="72">
        <f t="shared" si="22"/>
        <v>0</v>
      </c>
      <c r="I577" s="12"/>
      <c r="J577" s="3" t="str">
        <f t="shared" si="21"/>
        <v>1</v>
      </c>
    </row>
    <row r="578" spans="2:10" ht="12.75" hidden="1" customHeight="1">
      <c r="B578" s="34"/>
      <c r="C578" s="10"/>
      <c r="D578" s="33"/>
      <c r="E578" s="33"/>
      <c r="F578" s="33"/>
      <c r="G578" s="33"/>
      <c r="H578" s="72">
        <f t="shared" si="22"/>
        <v>0</v>
      </c>
      <c r="I578" s="12"/>
      <c r="J578" s="3" t="str">
        <f t="shared" si="21"/>
        <v>1</v>
      </c>
    </row>
    <row r="579" spans="2:10" ht="12.75" hidden="1" customHeight="1">
      <c r="B579" s="34"/>
      <c r="C579" s="10"/>
      <c r="D579" s="33"/>
      <c r="E579" s="33"/>
      <c r="F579" s="33"/>
      <c r="G579" s="33"/>
      <c r="H579" s="72">
        <f t="shared" si="22"/>
        <v>0</v>
      </c>
      <c r="I579" s="12"/>
      <c r="J579" s="3" t="str">
        <f t="shared" ref="J579:J642" si="23">TRIM(C579) &amp; (COUNTIFS($C$4:$C$123, C579, $I$4:$I$123, "&gt;"&amp;I579) + 1)</f>
        <v>1</v>
      </c>
    </row>
    <row r="580" spans="2:10" ht="12.75" hidden="1" customHeight="1">
      <c r="B580" s="34"/>
      <c r="C580" s="10"/>
      <c r="D580" s="33"/>
      <c r="E580" s="33"/>
      <c r="F580" s="33"/>
      <c r="G580" s="33"/>
      <c r="H580" s="72">
        <f t="shared" si="22"/>
        <v>0</v>
      </c>
      <c r="I580" s="12"/>
      <c r="J580" s="3" t="str">
        <f t="shared" si="23"/>
        <v>1</v>
      </c>
    </row>
    <row r="581" spans="2:10" ht="12.75" hidden="1" customHeight="1">
      <c r="B581" s="34"/>
      <c r="C581" s="10"/>
      <c r="D581" s="33"/>
      <c r="E581" s="33"/>
      <c r="F581" s="33"/>
      <c r="G581" s="33"/>
      <c r="H581" s="72">
        <f t="shared" ref="H581:H644" si="24">IF(D581=0, COUNTIFS($C$4:$C$123, C581, $B$4:$B$123, "&lt;&gt;"), COUNTIFS($C$4:$C$123, C581, $D$4:$D$123, "&gt;"&amp;D581) + 1)</f>
        <v>0</v>
      </c>
      <c r="I581" s="12"/>
      <c r="J581" s="3" t="str">
        <f t="shared" si="23"/>
        <v>1</v>
      </c>
    </row>
    <row r="582" spans="2:10" ht="12.75" hidden="1" customHeight="1">
      <c r="B582" s="34"/>
      <c r="C582" s="10"/>
      <c r="D582" s="33"/>
      <c r="E582" s="33"/>
      <c r="F582" s="33"/>
      <c r="G582" s="33"/>
      <c r="H582" s="72">
        <f t="shared" si="24"/>
        <v>0</v>
      </c>
      <c r="I582" s="12"/>
      <c r="J582" s="3" t="str">
        <f t="shared" si="23"/>
        <v>1</v>
      </c>
    </row>
    <row r="583" spans="2:10" ht="12.75" hidden="1" customHeight="1">
      <c r="B583" s="34"/>
      <c r="C583" s="10"/>
      <c r="D583" s="33"/>
      <c r="E583" s="33"/>
      <c r="F583" s="33"/>
      <c r="G583" s="33"/>
      <c r="H583" s="72">
        <f t="shared" si="24"/>
        <v>0</v>
      </c>
      <c r="I583" s="12"/>
      <c r="J583" s="3" t="str">
        <f t="shared" si="23"/>
        <v>1</v>
      </c>
    </row>
    <row r="584" spans="2:10" ht="12.75" hidden="1" customHeight="1">
      <c r="B584" s="34"/>
      <c r="C584" s="10"/>
      <c r="D584" s="33"/>
      <c r="E584" s="33"/>
      <c r="F584" s="33"/>
      <c r="G584" s="33"/>
      <c r="H584" s="72">
        <f t="shared" si="24"/>
        <v>0</v>
      </c>
      <c r="I584" s="12"/>
      <c r="J584" s="3" t="str">
        <f t="shared" si="23"/>
        <v>1</v>
      </c>
    </row>
    <row r="585" spans="2:10" ht="12.75" hidden="1" customHeight="1">
      <c r="B585" s="34"/>
      <c r="C585" s="10"/>
      <c r="D585" s="33"/>
      <c r="E585" s="33"/>
      <c r="F585" s="33"/>
      <c r="G585" s="33"/>
      <c r="H585" s="72">
        <f t="shared" si="24"/>
        <v>0</v>
      </c>
      <c r="I585" s="12"/>
      <c r="J585" s="3" t="str">
        <f t="shared" si="23"/>
        <v>1</v>
      </c>
    </row>
    <row r="586" spans="2:10" ht="12.75" hidden="1" customHeight="1">
      <c r="B586" s="34"/>
      <c r="C586" s="10"/>
      <c r="D586" s="33"/>
      <c r="E586" s="33"/>
      <c r="F586" s="33"/>
      <c r="G586" s="33"/>
      <c r="H586" s="72">
        <f t="shared" si="24"/>
        <v>0</v>
      </c>
      <c r="I586" s="12"/>
      <c r="J586" s="3" t="str">
        <f t="shared" si="23"/>
        <v>1</v>
      </c>
    </row>
    <row r="587" spans="2:10" ht="12.75" hidden="1" customHeight="1">
      <c r="B587" s="34"/>
      <c r="C587" s="10"/>
      <c r="D587" s="33"/>
      <c r="E587" s="33"/>
      <c r="F587" s="33"/>
      <c r="G587" s="33"/>
      <c r="H587" s="72">
        <f t="shared" si="24"/>
        <v>0</v>
      </c>
      <c r="I587" s="12"/>
      <c r="J587" s="3" t="str">
        <f t="shared" si="23"/>
        <v>1</v>
      </c>
    </row>
    <row r="588" spans="2:10" ht="12.75" hidden="1" customHeight="1">
      <c r="B588" s="34"/>
      <c r="C588" s="10"/>
      <c r="D588" s="33"/>
      <c r="E588" s="33"/>
      <c r="F588" s="33"/>
      <c r="G588" s="33"/>
      <c r="H588" s="72">
        <f t="shared" si="24"/>
        <v>0</v>
      </c>
      <c r="I588" s="12"/>
      <c r="J588" s="3" t="str">
        <f t="shared" si="23"/>
        <v>1</v>
      </c>
    </row>
    <row r="589" spans="2:10" ht="12.75" hidden="1" customHeight="1">
      <c r="B589" s="34"/>
      <c r="C589" s="10"/>
      <c r="D589" s="33"/>
      <c r="E589" s="33"/>
      <c r="F589" s="33"/>
      <c r="G589" s="33"/>
      <c r="H589" s="72">
        <f t="shared" si="24"/>
        <v>0</v>
      </c>
      <c r="I589" s="12"/>
      <c r="J589" s="3" t="str">
        <f t="shared" si="23"/>
        <v>1</v>
      </c>
    </row>
    <row r="590" spans="2:10" ht="12.75" hidden="1" customHeight="1">
      <c r="B590" s="34"/>
      <c r="C590" s="10"/>
      <c r="D590" s="33"/>
      <c r="E590" s="33"/>
      <c r="F590" s="33"/>
      <c r="G590" s="33"/>
      <c r="H590" s="72">
        <f t="shared" si="24"/>
        <v>0</v>
      </c>
      <c r="I590" s="12"/>
      <c r="J590" s="3" t="str">
        <f t="shared" si="23"/>
        <v>1</v>
      </c>
    </row>
    <row r="591" spans="2:10" ht="12.75" hidden="1" customHeight="1">
      <c r="B591" s="34"/>
      <c r="C591" s="10"/>
      <c r="D591" s="33"/>
      <c r="E591" s="33"/>
      <c r="F591" s="33"/>
      <c r="G591" s="33"/>
      <c r="H591" s="72">
        <f t="shared" si="24"/>
        <v>0</v>
      </c>
      <c r="I591" s="12"/>
      <c r="J591" s="3" t="str">
        <f t="shared" si="23"/>
        <v>1</v>
      </c>
    </row>
    <row r="592" spans="2:10" ht="12.75" hidden="1" customHeight="1">
      <c r="B592" s="34"/>
      <c r="C592" s="10"/>
      <c r="D592" s="33"/>
      <c r="E592" s="33"/>
      <c r="F592" s="33"/>
      <c r="G592" s="33"/>
      <c r="H592" s="72">
        <f t="shared" si="24"/>
        <v>0</v>
      </c>
      <c r="I592" s="12"/>
      <c r="J592" s="3" t="str">
        <f t="shared" si="23"/>
        <v>1</v>
      </c>
    </row>
    <row r="593" spans="2:10" ht="12.75" hidden="1" customHeight="1">
      <c r="B593" s="34"/>
      <c r="C593" s="10"/>
      <c r="D593" s="33"/>
      <c r="E593" s="33"/>
      <c r="F593" s="33"/>
      <c r="G593" s="33"/>
      <c r="H593" s="72">
        <f t="shared" si="24"/>
        <v>0</v>
      </c>
      <c r="I593" s="12"/>
      <c r="J593" s="3" t="str">
        <f t="shared" si="23"/>
        <v>1</v>
      </c>
    </row>
    <row r="594" spans="2:10" ht="12.75" hidden="1" customHeight="1">
      <c r="B594" s="34"/>
      <c r="C594" s="10"/>
      <c r="D594" s="33"/>
      <c r="E594" s="33"/>
      <c r="F594" s="33"/>
      <c r="G594" s="33"/>
      <c r="H594" s="72">
        <f t="shared" si="24"/>
        <v>0</v>
      </c>
      <c r="I594" s="12"/>
      <c r="J594" s="3" t="str">
        <f t="shared" si="23"/>
        <v>1</v>
      </c>
    </row>
    <row r="595" spans="2:10" ht="12.75" hidden="1" customHeight="1">
      <c r="B595" s="34"/>
      <c r="C595" s="10"/>
      <c r="D595" s="33"/>
      <c r="E595" s="33"/>
      <c r="F595" s="33"/>
      <c r="G595" s="33"/>
      <c r="H595" s="72">
        <f t="shared" si="24"/>
        <v>0</v>
      </c>
      <c r="I595" s="12"/>
      <c r="J595" s="3" t="str">
        <f t="shared" si="23"/>
        <v>1</v>
      </c>
    </row>
    <row r="596" spans="2:10" ht="12.75" hidden="1" customHeight="1">
      <c r="B596" s="34"/>
      <c r="C596" s="10"/>
      <c r="D596" s="33"/>
      <c r="E596" s="33"/>
      <c r="F596" s="33"/>
      <c r="G596" s="33"/>
      <c r="H596" s="72">
        <f t="shared" si="24"/>
        <v>0</v>
      </c>
      <c r="I596" s="12"/>
      <c r="J596" s="3" t="str">
        <f t="shared" si="23"/>
        <v>1</v>
      </c>
    </row>
    <row r="597" spans="2:10" ht="12.75" hidden="1" customHeight="1">
      <c r="B597" s="34"/>
      <c r="C597" s="10"/>
      <c r="D597" s="33"/>
      <c r="E597" s="33"/>
      <c r="F597" s="33"/>
      <c r="G597" s="33"/>
      <c r="H597" s="72">
        <f t="shared" si="24"/>
        <v>0</v>
      </c>
      <c r="I597" s="12"/>
      <c r="J597" s="3" t="str">
        <f t="shared" si="23"/>
        <v>1</v>
      </c>
    </row>
    <row r="598" spans="2:10" ht="12.75" hidden="1" customHeight="1">
      <c r="B598" s="34"/>
      <c r="C598" s="10"/>
      <c r="D598" s="33"/>
      <c r="E598" s="33"/>
      <c r="F598" s="33"/>
      <c r="G598" s="33"/>
      <c r="H598" s="72">
        <f t="shared" si="24"/>
        <v>0</v>
      </c>
      <c r="I598" s="12"/>
      <c r="J598" s="3" t="str">
        <f t="shared" si="23"/>
        <v>1</v>
      </c>
    </row>
    <row r="599" spans="2:10" ht="12.75" hidden="1" customHeight="1">
      <c r="B599" s="34"/>
      <c r="C599" s="10"/>
      <c r="D599" s="33"/>
      <c r="E599" s="33"/>
      <c r="F599" s="33"/>
      <c r="G599" s="33"/>
      <c r="H599" s="72">
        <f t="shared" si="24"/>
        <v>0</v>
      </c>
      <c r="I599" s="12"/>
      <c r="J599" s="3" t="str">
        <f t="shared" si="23"/>
        <v>1</v>
      </c>
    </row>
    <row r="600" spans="2:10" ht="12.75" hidden="1" customHeight="1">
      <c r="B600" s="34"/>
      <c r="C600" s="10"/>
      <c r="D600" s="33"/>
      <c r="E600" s="33"/>
      <c r="F600" s="33"/>
      <c r="G600" s="33"/>
      <c r="H600" s="72">
        <f t="shared" si="24"/>
        <v>0</v>
      </c>
      <c r="I600" s="12"/>
      <c r="J600" s="3" t="str">
        <f t="shared" si="23"/>
        <v>1</v>
      </c>
    </row>
    <row r="601" spans="2:10" ht="12.75" hidden="1" customHeight="1">
      <c r="B601" s="34"/>
      <c r="C601" s="10"/>
      <c r="D601" s="33"/>
      <c r="E601" s="33"/>
      <c r="F601" s="33"/>
      <c r="G601" s="33"/>
      <c r="H601" s="72">
        <f t="shared" si="24"/>
        <v>0</v>
      </c>
      <c r="I601" s="12"/>
      <c r="J601" s="3" t="str">
        <f t="shared" si="23"/>
        <v>1</v>
      </c>
    </row>
    <row r="602" spans="2:10" ht="12.75" hidden="1" customHeight="1">
      <c r="B602" s="34"/>
      <c r="C602" s="10"/>
      <c r="D602" s="33"/>
      <c r="E602" s="33"/>
      <c r="F602" s="33"/>
      <c r="G602" s="33"/>
      <c r="H602" s="72">
        <f t="shared" si="24"/>
        <v>0</v>
      </c>
      <c r="I602" s="12"/>
      <c r="J602" s="3" t="str">
        <f t="shared" si="23"/>
        <v>1</v>
      </c>
    </row>
    <row r="603" spans="2:10" ht="12.75" hidden="1" customHeight="1">
      <c r="B603" s="34"/>
      <c r="C603" s="10"/>
      <c r="D603" s="33"/>
      <c r="E603" s="33"/>
      <c r="F603" s="33"/>
      <c r="G603" s="33"/>
      <c r="H603" s="72">
        <f t="shared" si="24"/>
        <v>0</v>
      </c>
      <c r="I603" s="12"/>
      <c r="J603" s="3" t="str">
        <f t="shared" si="23"/>
        <v>1</v>
      </c>
    </row>
    <row r="604" spans="2:10" ht="12.75" hidden="1" customHeight="1">
      <c r="B604" s="34"/>
      <c r="C604" s="10"/>
      <c r="D604" s="33"/>
      <c r="E604" s="33"/>
      <c r="F604" s="33"/>
      <c r="G604" s="33"/>
      <c r="H604" s="72">
        <f t="shared" si="24"/>
        <v>0</v>
      </c>
      <c r="I604" s="12"/>
      <c r="J604" s="3" t="str">
        <f t="shared" si="23"/>
        <v>1</v>
      </c>
    </row>
    <row r="605" spans="2:10" ht="12.75" hidden="1" customHeight="1">
      <c r="B605" s="34"/>
      <c r="C605" s="10"/>
      <c r="D605" s="33"/>
      <c r="E605" s="33"/>
      <c r="F605" s="33"/>
      <c r="G605" s="33"/>
      <c r="H605" s="72">
        <f t="shared" si="24"/>
        <v>0</v>
      </c>
      <c r="I605" s="12"/>
      <c r="J605" s="3" t="str">
        <f t="shared" si="23"/>
        <v>1</v>
      </c>
    </row>
    <row r="606" spans="2:10" ht="12.75" hidden="1" customHeight="1">
      <c r="B606" s="34"/>
      <c r="C606" s="10"/>
      <c r="D606" s="33"/>
      <c r="E606" s="33"/>
      <c r="F606" s="33"/>
      <c r="G606" s="33"/>
      <c r="H606" s="72">
        <f t="shared" si="24"/>
        <v>0</v>
      </c>
      <c r="I606" s="12"/>
      <c r="J606" s="3" t="str">
        <f t="shared" si="23"/>
        <v>1</v>
      </c>
    </row>
    <row r="607" spans="2:10" ht="12.75" hidden="1" customHeight="1">
      <c r="B607" s="34"/>
      <c r="C607" s="10"/>
      <c r="D607" s="33"/>
      <c r="E607" s="33"/>
      <c r="F607" s="33"/>
      <c r="G607" s="33"/>
      <c r="H607" s="72">
        <f t="shared" si="24"/>
        <v>0</v>
      </c>
      <c r="I607" s="12"/>
      <c r="J607" s="3" t="str">
        <f t="shared" si="23"/>
        <v>1</v>
      </c>
    </row>
    <row r="608" spans="2:10" ht="12.75" hidden="1" customHeight="1">
      <c r="B608" s="34"/>
      <c r="C608" s="10"/>
      <c r="D608" s="33"/>
      <c r="E608" s="33"/>
      <c r="F608" s="33"/>
      <c r="G608" s="33"/>
      <c r="H608" s="72">
        <f t="shared" si="24"/>
        <v>0</v>
      </c>
      <c r="I608" s="12"/>
      <c r="J608" s="3" t="str">
        <f t="shared" si="23"/>
        <v>1</v>
      </c>
    </row>
    <row r="609" spans="2:10" ht="12.75" hidden="1" customHeight="1">
      <c r="B609" s="34"/>
      <c r="C609" s="10"/>
      <c r="D609" s="33"/>
      <c r="E609" s="33"/>
      <c r="F609" s="33"/>
      <c r="G609" s="33"/>
      <c r="H609" s="72">
        <f t="shared" si="24"/>
        <v>0</v>
      </c>
      <c r="I609" s="12"/>
      <c r="J609" s="3" t="str">
        <f t="shared" si="23"/>
        <v>1</v>
      </c>
    </row>
    <row r="610" spans="2:10" ht="12.75" hidden="1" customHeight="1">
      <c r="B610" s="34"/>
      <c r="C610" s="10"/>
      <c r="D610" s="33"/>
      <c r="E610" s="33"/>
      <c r="F610" s="33"/>
      <c r="G610" s="33"/>
      <c r="H610" s="72">
        <f t="shared" si="24"/>
        <v>0</v>
      </c>
      <c r="I610" s="12"/>
      <c r="J610" s="3" t="str">
        <f t="shared" si="23"/>
        <v>1</v>
      </c>
    </row>
    <row r="611" spans="2:10" ht="12.75" hidden="1" customHeight="1">
      <c r="B611" s="34"/>
      <c r="C611" s="10"/>
      <c r="D611" s="33"/>
      <c r="E611" s="33"/>
      <c r="F611" s="33"/>
      <c r="G611" s="33"/>
      <c r="H611" s="72">
        <f t="shared" si="24"/>
        <v>0</v>
      </c>
      <c r="I611" s="12"/>
      <c r="J611" s="3" t="str">
        <f t="shared" si="23"/>
        <v>1</v>
      </c>
    </row>
    <row r="612" spans="2:10" ht="12.75" hidden="1" customHeight="1">
      <c r="B612" s="34"/>
      <c r="C612" s="10"/>
      <c r="D612" s="33"/>
      <c r="E612" s="33"/>
      <c r="F612" s="33"/>
      <c r="G612" s="33"/>
      <c r="H612" s="72">
        <f t="shared" si="24"/>
        <v>0</v>
      </c>
      <c r="I612" s="12"/>
      <c r="J612" s="3" t="str">
        <f t="shared" si="23"/>
        <v>1</v>
      </c>
    </row>
    <row r="613" spans="2:10" ht="12.75" hidden="1" customHeight="1">
      <c r="B613" s="34"/>
      <c r="C613" s="10"/>
      <c r="D613" s="33"/>
      <c r="E613" s="33"/>
      <c r="F613" s="33"/>
      <c r="G613" s="33"/>
      <c r="H613" s="72">
        <f t="shared" si="24"/>
        <v>0</v>
      </c>
      <c r="I613" s="12"/>
      <c r="J613" s="3" t="str">
        <f t="shared" si="23"/>
        <v>1</v>
      </c>
    </row>
    <row r="614" spans="2:10" ht="12.75" hidden="1" customHeight="1">
      <c r="B614" s="34"/>
      <c r="C614" s="10"/>
      <c r="D614" s="33"/>
      <c r="E614" s="33"/>
      <c r="F614" s="33"/>
      <c r="G614" s="33"/>
      <c r="H614" s="72">
        <f t="shared" si="24"/>
        <v>0</v>
      </c>
      <c r="I614" s="12"/>
      <c r="J614" s="3" t="str">
        <f t="shared" si="23"/>
        <v>1</v>
      </c>
    </row>
    <row r="615" spans="2:10" ht="12.75" hidden="1" customHeight="1">
      <c r="B615" s="34"/>
      <c r="C615" s="10"/>
      <c r="D615" s="33"/>
      <c r="E615" s="33"/>
      <c r="F615" s="33"/>
      <c r="G615" s="33"/>
      <c r="H615" s="72">
        <f t="shared" si="24"/>
        <v>0</v>
      </c>
      <c r="I615" s="12"/>
      <c r="J615" s="3" t="str">
        <f t="shared" si="23"/>
        <v>1</v>
      </c>
    </row>
    <row r="616" spans="2:10" ht="12.75" hidden="1" customHeight="1">
      <c r="B616" s="34"/>
      <c r="C616" s="10"/>
      <c r="D616" s="33"/>
      <c r="E616" s="33"/>
      <c r="F616" s="33"/>
      <c r="G616" s="33"/>
      <c r="H616" s="72">
        <f t="shared" si="24"/>
        <v>0</v>
      </c>
      <c r="I616" s="12"/>
      <c r="J616" s="3" t="str">
        <f t="shared" si="23"/>
        <v>1</v>
      </c>
    </row>
    <row r="617" spans="2:10" ht="12.75" hidden="1" customHeight="1">
      <c r="B617" s="34"/>
      <c r="C617" s="10"/>
      <c r="D617" s="33"/>
      <c r="E617" s="33"/>
      <c r="F617" s="33"/>
      <c r="G617" s="33"/>
      <c r="H617" s="72">
        <f t="shared" si="24"/>
        <v>0</v>
      </c>
      <c r="I617" s="12"/>
      <c r="J617" s="3" t="str">
        <f t="shared" si="23"/>
        <v>1</v>
      </c>
    </row>
    <row r="618" spans="2:10" ht="12.75" hidden="1" customHeight="1">
      <c r="B618" s="34"/>
      <c r="C618" s="10"/>
      <c r="D618" s="33"/>
      <c r="E618" s="33"/>
      <c r="F618" s="33"/>
      <c r="G618" s="33"/>
      <c r="H618" s="72">
        <f t="shared" si="24"/>
        <v>0</v>
      </c>
      <c r="I618" s="12"/>
      <c r="J618" s="3" t="str">
        <f t="shared" si="23"/>
        <v>1</v>
      </c>
    </row>
    <row r="619" spans="2:10" ht="12.75" hidden="1" customHeight="1">
      <c r="B619" s="34"/>
      <c r="C619" s="10"/>
      <c r="D619" s="33"/>
      <c r="E619" s="33"/>
      <c r="F619" s="33"/>
      <c r="G619" s="33"/>
      <c r="H619" s="72">
        <f t="shared" si="24"/>
        <v>0</v>
      </c>
      <c r="I619" s="12"/>
      <c r="J619" s="3" t="str">
        <f t="shared" si="23"/>
        <v>1</v>
      </c>
    </row>
    <row r="620" spans="2:10" ht="12.75" hidden="1" customHeight="1">
      <c r="B620" s="34"/>
      <c r="C620" s="10"/>
      <c r="D620" s="33"/>
      <c r="E620" s="33"/>
      <c r="F620" s="33"/>
      <c r="G620" s="33"/>
      <c r="H620" s="72">
        <f t="shared" si="24"/>
        <v>0</v>
      </c>
      <c r="I620" s="12"/>
      <c r="J620" s="3" t="str">
        <f t="shared" si="23"/>
        <v>1</v>
      </c>
    </row>
    <row r="621" spans="2:10" ht="12.75" hidden="1" customHeight="1">
      <c r="B621" s="34"/>
      <c r="C621" s="10"/>
      <c r="D621" s="33"/>
      <c r="E621" s="33"/>
      <c r="F621" s="33"/>
      <c r="G621" s="33"/>
      <c r="H621" s="72">
        <f t="shared" si="24"/>
        <v>0</v>
      </c>
      <c r="I621" s="12"/>
      <c r="J621" s="3" t="str">
        <f t="shared" si="23"/>
        <v>1</v>
      </c>
    </row>
    <row r="622" spans="2:10" ht="12.75" hidden="1" customHeight="1">
      <c r="B622" s="34"/>
      <c r="C622" s="10"/>
      <c r="D622" s="33"/>
      <c r="E622" s="33"/>
      <c r="F622" s="33"/>
      <c r="G622" s="33"/>
      <c r="H622" s="72">
        <f t="shared" si="24"/>
        <v>0</v>
      </c>
      <c r="I622" s="12"/>
      <c r="J622" s="3" t="str">
        <f t="shared" si="23"/>
        <v>1</v>
      </c>
    </row>
    <row r="623" spans="2:10" ht="12.75" hidden="1" customHeight="1">
      <c r="B623" s="34"/>
      <c r="C623" s="10"/>
      <c r="D623" s="33"/>
      <c r="E623" s="33"/>
      <c r="F623" s="33"/>
      <c r="G623" s="33"/>
      <c r="H623" s="72">
        <f t="shared" si="24"/>
        <v>0</v>
      </c>
      <c r="I623" s="12"/>
      <c r="J623" s="3" t="str">
        <f t="shared" si="23"/>
        <v>1</v>
      </c>
    </row>
    <row r="624" spans="2:10" ht="12.75" hidden="1" customHeight="1">
      <c r="B624" s="34"/>
      <c r="C624" s="10"/>
      <c r="D624" s="33"/>
      <c r="E624" s="33"/>
      <c r="F624" s="33"/>
      <c r="G624" s="33"/>
      <c r="H624" s="72">
        <f t="shared" si="24"/>
        <v>0</v>
      </c>
      <c r="I624" s="12"/>
      <c r="J624" s="3" t="str">
        <f t="shared" si="23"/>
        <v>1</v>
      </c>
    </row>
    <row r="625" spans="2:10" ht="12.75" hidden="1" customHeight="1">
      <c r="B625" s="34"/>
      <c r="C625" s="10"/>
      <c r="D625" s="33"/>
      <c r="E625" s="33"/>
      <c r="F625" s="33"/>
      <c r="G625" s="33"/>
      <c r="H625" s="72">
        <f t="shared" si="24"/>
        <v>0</v>
      </c>
      <c r="I625" s="12"/>
      <c r="J625" s="3" t="str">
        <f t="shared" si="23"/>
        <v>1</v>
      </c>
    </row>
    <row r="626" spans="2:10" ht="12.75" hidden="1" customHeight="1">
      <c r="B626" s="34"/>
      <c r="C626" s="10"/>
      <c r="D626" s="33"/>
      <c r="E626" s="33"/>
      <c r="F626" s="33"/>
      <c r="G626" s="33"/>
      <c r="H626" s="72">
        <f t="shared" si="24"/>
        <v>0</v>
      </c>
      <c r="I626" s="12"/>
      <c r="J626" s="3" t="str">
        <f t="shared" si="23"/>
        <v>1</v>
      </c>
    </row>
    <row r="627" spans="2:10" ht="12.75" hidden="1" customHeight="1">
      <c r="B627" s="34"/>
      <c r="C627" s="10"/>
      <c r="D627" s="33"/>
      <c r="E627" s="33"/>
      <c r="F627" s="33"/>
      <c r="G627" s="33"/>
      <c r="H627" s="72">
        <f t="shared" si="24"/>
        <v>0</v>
      </c>
      <c r="I627" s="12"/>
      <c r="J627" s="3" t="str">
        <f t="shared" si="23"/>
        <v>1</v>
      </c>
    </row>
    <row r="628" spans="2:10" ht="12.75" hidden="1" customHeight="1">
      <c r="B628" s="34"/>
      <c r="C628" s="10"/>
      <c r="D628" s="33"/>
      <c r="E628" s="33"/>
      <c r="F628" s="33"/>
      <c r="G628" s="33"/>
      <c r="H628" s="72">
        <f t="shared" si="24"/>
        <v>0</v>
      </c>
      <c r="I628" s="12"/>
      <c r="J628" s="3" t="str">
        <f t="shared" si="23"/>
        <v>1</v>
      </c>
    </row>
    <row r="629" spans="2:10" ht="12.75" hidden="1" customHeight="1">
      <c r="B629" s="34"/>
      <c r="C629" s="10"/>
      <c r="D629" s="33"/>
      <c r="E629" s="33"/>
      <c r="F629" s="33"/>
      <c r="G629" s="33"/>
      <c r="H629" s="72">
        <f t="shared" si="24"/>
        <v>0</v>
      </c>
      <c r="I629" s="12"/>
      <c r="J629" s="3" t="str">
        <f t="shared" si="23"/>
        <v>1</v>
      </c>
    </row>
    <row r="630" spans="2:10" ht="12.75" hidden="1" customHeight="1">
      <c r="B630" s="34"/>
      <c r="C630" s="10"/>
      <c r="D630" s="33"/>
      <c r="E630" s="33"/>
      <c r="F630" s="33"/>
      <c r="G630" s="33"/>
      <c r="H630" s="72">
        <f t="shared" si="24"/>
        <v>0</v>
      </c>
      <c r="I630" s="12"/>
      <c r="J630" s="3" t="str">
        <f t="shared" si="23"/>
        <v>1</v>
      </c>
    </row>
    <row r="631" spans="2:10" ht="12.75" hidden="1" customHeight="1">
      <c r="B631" s="34"/>
      <c r="C631" s="10"/>
      <c r="D631" s="33"/>
      <c r="E631" s="33"/>
      <c r="F631" s="33"/>
      <c r="G631" s="33"/>
      <c r="H631" s="72">
        <f t="shared" si="24"/>
        <v>0</v>
      </c>
      <c r="I631" s="12"/>
      <c r="J631" s="3" t="str">
        <f t="shared" si="23"/>
        <v>1</v>
      </c>
    </row>
    <row r="632" spans="2:10" ht="12.75" hidden="1" customHeight="1">
      <c r="B632" s="34"/>
      <c r="C632" s="10"/>
      <c r="D632" s="33"/>
      <c r="E632" s="33"/>
      <c r="F632" s="33"/>
      <c r="G632" s="33"/>
      <c r="H632" s="72">
        <f t="shared" si="24"/>
        <v>0</v>
      </c>
      <c r="I632" s="12"/>
      <c r="J632" s="3" t="str">
        <f t="shared" si="23"/>
        <v>1</v>
      </c>
    </row>
    <row r="633" spans="2:10" ht="12.75" hidden="1" customHeight="1">
      <c r="B633" s="34"/>
      <c r="C633" s="10"/>
      <c r="D633" s="33"/>
      <c r="E633" s="33"/>
      <c r="F633" s="33"/>
      <c r="G633" s="33"/>
      <c r="H633" s="72">
        <f t="shared" si="24"/>
        <v>0</v>
      </c>
      <c r="I633" s="12"/>
      <c r="J633" s="3" t="str">
        <f t="shared" si="23"/>
        <v>1</v>
      </c>
    </row>
    <row r="634" spans="2:10" ht="12.75" hidden="1" customHeight="1">
      <c r="B634" s="34"/>
      <c r="C634" s="10"/>
      <c r="D634" s="33"/>
      <c r="E634" s="33"/>
      <c r="F634" s="33"/>
      <c r="G634" s="33"/>
      <c r="H634" s="72">
        <f t="shared" si="24"/>
        <v>0</v>
      </c>
      <c r="I634" s="12"/>
      <c r="J634" s="3" t="str">
        <f t="shared" si="23"/>
        <v>1</v>
      </c>
    </row>
    <row r="635" spans="2:10" ht="12.75" hidden="1" customHeight="1">
      <c r="B635" s="34"/>
      <c r="C635" s="10"/>
      <c r="D635" s="33"/>
      <c r="E635" s="33"/>
      <c r="F635" s="33"/>
      <c r="G635" s="33"/>
      <c r="H635" s="72">
        <f t="shared" si="24"/>
        <v>0</v>
      </c>
      <c r="I635" s="12"/>
      <c r="J635" s="3" t="str">
        <f t="shared" si="23"/>
        <v>1</v>
      </c>
    </row>
    <row r="636" spans="2:10" ht="12.75" hidden="1" customHeight="1">
      <c r="B636" s="34"/>
      <c r="C636" s="10"/>
      <c r="D636" s="33"/>
      <c r="E636" s="33"/>
      <c r="F636" s="33"/>
      <c r="G636" s="33"/>
      <c r="H636" s="72">
        <f t="shared" si="24"/>
        <v>0</v>
      </c>
      <c r="I636" s="12"/>
      <c r="J636" s="3" t="str">
        <f t="shared" si="23"/>
        <v>1</v>
      </c>
    </row>
    <row r="637" spans="2:10" ht="12.75" hidden="1" customHeight="1">
      <c r="B637" s="34"/>
      <c r="C637" s="10"/>
      <c r="D637" s="33"/>
      <c r="E637" s="33"/>
      <c r="F637" s="33"/>
      <c r="G637" s="33"/>
      <c r="H637" s="72">
        <f t="shared" si="24"/>
        <v>0</v>
      </c>
      <c r="I637" s="12"/>
      <c r="J637" s="3" t="str">
        <f t="shared" si="23"/>
        <v>1</v>
      </c>
    </row>
    <row r="638" spans="2:10" ht="12.75" hidden="1" customHeight="1">
      <c r="B638" s="34"/>
      <c r="C638" s="10"/>
      <c r="D638" s="33"/>
      <c r="E638" s="33"/>
      <c r="F638" s="33"/>
      <c r="G638" s="33"/>
      <c r="H638" s="72">
        <f t="shared" si="24"/>
        <v>0</v>
      </c>
      <c r="I638" s="12"/>
      <c r="J638" s="3" t="str">
        <f t="shared" si="23"/>
        <v>1</v>
      </c>
    </row>
    <row r="639" spans="2:10" ht="12.75" hidden="1" customHeight="1">
      <c r="B639" s="34"/>
      <c r="C639" s="10"/>
      <c r="D639" s="33"/>
      <c r="E639" s="33"/>
      <c r="F639" s="33"/>
      <c r="G639" s="33"/>
      <c r="H639" s="72">
        <f t="shared" si="24"/>
        <v>0</v>
      </c>
      <c r="I639" s="12"/>
      <c r="J639" s="3" t="str">
        <f t="shared" si="23"/>
        <v>1</v>
      </c>
    </row>
    <row r="640" spans="2:10" ht="12.75" hidden="1" customHeight="1">
      <c r="B640" s="34"/>
      <c r="C640" s="10"/>
      <c r="D640" s="33"/>
      <c r="E640" s="33"/>
      <c r="F640" s="33"/>
      <c r="G640" s="33"/>
      <c r="H640" s="72">
        <f t="shared" si="24"/>
        <v>0</v>
      </c>
      <c r="I640" s="12"/>
      <c r="J640" s="3" t="str">
        <f t="shared" si="23"/>
        <v>1</v>
      </c>
    </row>
    <row r="641" spans="2:10" ht="12.75" hidden="1" customHeight="1">
      <c r="B641" s="34"/>
      <c r="C641" s="10"/>
      <c r="D641" s="33"/>
      <c r="E641" s="33"/>
      <c r="F641" s="33"/>
      <c r="G641" s="33"/>
      <c r="H641" s="72">
        <f t="shared" si="24"/>
        <v>0</v>
      </c>
      <c r="I641" s="12"/>
      <c r="J641" s="3" t="str">
        <f t="shared" si="23"/>
        <v>1</v>
      </c>
    </row>
    <row r="642" spans="2:10" ht="12.75" hidden="1" customHeight="1">
      <c r="B642" s="34"/>
      <c r="C642" s="10"/>
      <c r="D642" s="33"/>
      <c r="E642" s="33"/>
      <c r="F642" s="33"/>
      <c r="G642" s="33"/>
      <c r="H642" s="72">
        <f t="shared" si="24"/>
        <v>0</v>
      </c>
      <c r="I642" s="12"/>
      <c r="J642" s="3" t="str">
        <f t="shared" si="23"/>
        <v>1</v>
      </c>
    </row>
    <row r="643" spans="2:10" ht="12.75" hidden="1" customHeight="1">
      <c r="B643" s="34"/>
      <c r="C643" s="10"/>
      <c r="D643" s="33"/>
      <c r="E643" s="33"/>
      <c r="F643" s="33"/>
      <c r="G643" s="33"/>
      <c r="H643" s="72">
        <f t="shared" si="24"/>
        <v>0</v>
      </c>
      <c r="I643" s="12"/>
      <c r="J643" s="3" t="str">
        <f t="shared" ref="J643:J706" si="25">TRIM(C643) &amp; (COUNTIFS($C$4:$C$123, C643, $I$4:$I$123, "&gt;"&amp;I643) + 1)</f>
        <v>1</v>
      </c>
    </row>
    <row r="644" spans="2:10" ht="12.75" hidden="1" customHeight="1">
      <c r="B644" s="34"/>
      <c r="C644" s="10"/>
      <c r="D644" s="33"/>
      <c r="E644" s="33"/>
      <c r="F644" s="33"/>
      <c r="G644" s="33"/>
      <c r="H644" s="72">
        <f t="shared" si="24"/>
        <v>0</v>
      </c>
      <c r="I644" s="12"/>
      <c r="J644" s="3" t="str">
        <f t="shared" si="25"/>
        <v>1</v>
      </c>
    </row>
    <row r="645" spans="2:10" ht="12.75" hidden="1" customHeight="1">
      <c r="B645" s="34"/>
      <c r="C645" s="10"/>
      <c r="D645" s="33"/>
      <c r="E645" s="33"/>
      <c r="F645" s="33"/>
      <c r="G645" s="33"/>
      <c r="H645" s="72">
        <f t="shared" ref="H645:H708" si="26">IF(D645=0, COUNTIFS($C$4:$C$123, C645, $B$4:$B$123, "&lt;&gt;"), COUNTIFS($C$4:$C$123, C645, $D$4:$D$123, "&gt;"&amp;D645) + 1)</f>
        <v>0</v>
      </c>
      <c r="I645" s="12"/>
      <c r="J645" s="3" t="str">
        <f t="shared" si="25"/>
        <v>1</v>
      </c>
    </row>
    <row r="646" spans="2:10" ht="12.75" hidden="1" customHeight="1">
      <c r="B646" s="34"/>
      <c r="C646" s="10"/>
      <c r="D646" s="33"/>
      <c r="E646" s="33"/>
      <c r="F646" s="33"/>
      <c r="G646" s="33"/>
      <c r="H646" s="72">
        <f t="shared" si="26"/>
        <v>0</v>
      </c>
      <c r="I646" s="12"/>
      <c r="J646" s="3" t="str">
        <f t="shared" si="25"/>
        <v>1</v>
      </c>
    </row>
    <row r="647" spans="2:10" ht="12.75" hidden="1" customHeight="1">
      <c r="B647" s="34"/>
      <c r="C647" s="10"/>
      <c r="D647" s="33"/>
      <c r="E647" s="33"/>
      <c r="F647" s="33"/>
      <c r="G647" s="33"/>
      <c r="H647" s="72">
        <f t="shared" si="26"/>
        <v>0</v>
      </c>
      <c r="I647" s="12"/>
      <c r="J647" s="3" t="str">
        <f t="shared" si="25"/>
        <v>1</v>
      </c>
    </row>
    <row r="648" spans="2:10" ht="12.75" hidden="1" customHeight="1">
      <c r="B648" s="34"/>
      <c r="C648" s="10"/>
      <c r="D648" s="33"/>
      <c r="E648" s="33"/>
      <c r="F648" s="33"/>
      <c r="G648" s="33"/>
      <c r="H648" s="72">
        <f t="shared" si="26"/>
        <v>0</v>
      </c>
      <c r="I648" s="12"/>
      <c r="J648" s="3" t="str">
        <f t="shared" si="25"/>
        <v>1</v>
      </c>
    </row>
    <row r="649" spans="2:10" ht="12.75" hidden="1" customHeight="1">
      <c r="B649" s="34"/>
      <c r="C649" s="10"/>
      <c r="D649" s="33"/>
      <c r="E649" s="33"/>
      <c r="F649" s="33"/>
      <c r="G649" s="33"/>
      <c r="H649" s="72">
        <f t="shared" si="26"/>
        <v>0</v>
      </c>
      <c r="I649" s="12"/>
      <c r="J649" s="3" t="str">
        <f t="shared" si="25"/>
        <v>1</v>
      </c>
    </row>
    <row r="650" spans="2:10" ht="12.75" hidden="1" customHeight="1">
      <c r="B650" s="34"/>
      <c r="C650" s="10"/>
      <c r="D650" s="33"/>
      <c r="E650" s="33"/>
      <c r="F650" s="33"/>
      <c r="G650" s="33"/>
      <c r="H650" s="72">
        <f t="shared" si="26"/>
        <v>0</v>
      </c>
      <c r="I650" s="12"/>
      <c r="J650" s="3" t="str">
        <f t="shared" si="25"/>
        <v>1</v>
      </c>
    </row>
    <row r="651" spans="2:10" ht="12.75" hidden="1" customHeight="1">
      <c r="B651" s="34"/>
      <c r="C651" s="10"/>
      <c r="D651" s="33"/>
      <c r="E651" s="33"/>
      <c r="F651" s="33"/>
      <c r="G651" s="33"/>
      <c r="H651" s="72">
        <f t="shared" si="26"/>
        <v>0</v>
      </c>
      <c r="I651" s="12"/>
      <c r="J651" s="3" t="str">
        <f t="shared" si="25"/>
        <v>1</v>
      </c>
    </row>
    <row r="652" spans="2:10" ht="12.75" hidden="1" customHeight="1">
      <c r="B652" s="34"/>
      <c r="C652" s="10"/>
      <c r="D652" s="33"/>
      <c r="E652" s="33"/>
      <c r="F652" s="33"/>
      <c r="G652" s="33"/>
      <c r="H652" s="72">
        <f t="shared" si="26"/>
        <v>0</v>
      </c>
      <c r="I652" s="12"/>
      <c r="J652" s="3" t="str">
        <f t="shared" si="25"/>
        <v>1</v>
      </c>
    </row>
    <row r="653" spans="2:10" ht="12.75" hidden="1" customHeight="1">
      <c r="B653" s="34"/>
      <c r="C653" s="10"/>
      <c r="D653" s="33"/>
      <c r="E653" s="33"/>
      <c r="F653" s="33"/>
      <c r="G653" s="33"/>
      <c r="H653" s="72">
        <f t="shared" si="26"/>
        <v>0</v>
      </c>
      <c r="I653" s="12"/>
      <c r="J653" s="3" t="str">
        <f t="shared" si="25"/>
        <v>1</v>
      </c>
    </row>
    <row r="654" spans="2:10" ht="12.75" hidden="1" customHeight="1">
      <c r="B654" s="34"/>
      <c r="C654" s="10"/>
      <c r="D654" s="33"/>
      <c r="E654" s="33"/>
      <c r="F654" s="33"/>
      <c r="G654" s="33"/>
      <c r="H654" s="72">
        <f t="shared" si="26"/>
        <v>0</v>
      </c>
      <c r="I654" s="12"/>
      <c r="J654" s="3" t="str">
        <f t="shared" si="25"/>
        <v>1</v>
      </c>
    </row>
    <row r="655" spans="2:10" ht="12.75" hidden="1" customHeight="1">
      <c r="B655" s="34"/>
      <c r="C655" s="10"/>
      <c r="D655" s="33"/>
      <c r="E655" s="33"/>
      <c r="F655" s="33"/>
      <c r="G655" s="33"/>
      <c r="H655" s="72">
        <f t="shared" si="26"/>
        <v>0</v>
      </c>
      <c r="I655" s="12"/>
      <c r="J655" s="3" t="str">
        <f t="shared" si="25"/>
        <v>1</v>
      </c>
    </row>
    <row r="656" spans="2:10" ht="12.75" hidden="1" customHeight="1">
      <c r="B656" s="34"/>
      <c r="C656" s="10"/>
      <c r="D656" s="33"/>
      <c r="E656" s="33"/>
      <c r="F656" s="33"/>
      <c r="G656" s="33"/>
      <c r="H656" s="72">
        <f t="shared" si="26"/>
        <v>0</v>
      </c>
      <c r="I656" s="12"/>
      <c r="J656" s="3" t="str">
        <f t="shared" si="25"/>
        <v>1</v>
      </c>
    </row>
    <row r="657" spans="2:10" ht="12.75" hidden="1" customHeight="1">
      <c r="B657" s="34"/>
      <c r="C657" s="10"/>
      <c r="D657" s="33"/>
      <c r="E657" s="33"/>
      <c r="F657" s="33"/>
      <c r="G657" s="33"/>
      <c r="H657" s="72">
        <f t="shared" si="26"/>
        <v>0</v>
      </c>
      <c r="I657" s="12"/>
      <c r="J657" s="3" t="str">
        <f t="shared" si="25"/>
        <v>1</v>
      </c>
    </row>
    <row r="658" spans="2:10" ht="12.75" hidden="1" customHeight="1">
      <c r="B658" s="34"/>
      <c r="C658" s="10"/>
      <c r="D658" s="33"/>
      <c r="E658" s="33"/>
      <c r="F658" s="33"/>
      <c r="G658" s="33"/>
      <c r="H658" s="72">
        <f t="shared" si="26"/>
        <v>0</v>
      </c>
      <c r="I658" s="12"/>
      <c r="J658" s="3" t="str">
        <f t="shared" si="25"/>
        <v>1</v>
      </c>
    </row>
    <row r="659" spans="2:10" ht="12.75" hidden="1" customHeight="1">
      <c r="B659" s="34"/>
      <c r="C659" s="10"/>
      <c r="D659" s="33"/>
      <c r="E659" s="33"/>
      <c r="F659" s="33"/>
      <c r="G659" s="33"/>
      <c r="H659" s="72">
        <f t="shared" si="26"/>
        <v>0</v>
      </c>
      <c r="I659" s="12"/>
      <c r="J659" s="3" t="str">
        <f t="shared" si="25"/>
        <v>1</v>
      </c>
    </row>
    <row r="660" spans="2:10" ht="12.75" hidden="1" customHeight="1">
      <c r="B660" s="34"/>
      <c r="C660" s="10"/>
      <c r="D660" s="33"/>
      <c r="E660" s="33"/>
      <c r="F660" s="33"/>
      <c r="G660" s="33"/>
      <c r="H660" s="72">
        <f t="shared" si="26"/>
        <v>0</v>
      </c>
      <c r="I660" s="12"/>
      <c r="J660" s="3" t="str">
        <f t="shared" si="25"/>
        <v>1</v>
      </c>
    </row>
    <row r="661" spans="2:10" ht="12.75" hidden="1" customHeight="1">
      <c r="B661" s="34"/>
      <c r="C661" s="10"/>
      <c r="D661" s="33"/>
      <c r="E661" s="33"/>
      <c r="F661" s="33"/>
      <c r="G661" s="33"/>
      <c r="H661" s="72">
        <f t="shared" si="26"/>
        <v>0</v>
      </c>
      <c r="I661" s="12"/>
      <c r="J661" s="3" t="str">
        <f t="shared" si="25"/>
        <v>1</v>
      </c>
    </row>
    <row r="662" spans="2:10" ht="12.75" hidden="1" customHeight="1">
      <c r="B662" s="34"/>
      <c r="C662" s="10"/>
      <c r="D662" s="33"/>
      <c r="E662" s="33"/>
      <c r="F662" s="33"/>
      <c r="G662" s="33"/>
      <c r="H662" s="72">
        <f t="shared" si="26"/>
        <v>0</v>
      </c>
      <c r="I662" s="12"/>
      <c r="J662" s="3" t="str">
        <f t="shared" si="25"/>
        <v>1</v>
      </c>
    </row>
    <row r="663" spans="2:10" ht="12.75" hidden="1" customHeight="1">
      <c r="B663" s="34"/>
      <c r="C663" s="10"/>
      <c r="D663" s="33"/>
      <c r="E663" s="33"/>
      <c r="F663" s="33"/>
      <c r="G663" s="33"/>
      <c r="H663" s="72">
        <f t="shared" si="26"/>
        <v>0</v>
      </c>
      <c r="I663" s="12"/>
      <c r="J663" s="3" t="str">
        <f t="shared" si="25"/>
        <v>1</v>
      </c>
    </row>
    <row r="664" spans="2:10" ht="12.75" hidden="1" customHeight="1">
      <c r="B664" s="34"/>
      <c r="C664" s="10"/>
      <c r="D664" s="33"/>
      <c r="E664" s="33"/>
      <c r="F664" s="33"/>
      <c r="G664" s="33"/>
      <c r="H664" s="72">
        <f t="shared" si="26"/>
        <v>0</v>
      </c>
      <c r="I664" s="12"/>
      <c r="J664" s="3" t="str">
        <f t="shared" si="25"/>
        <v>1</v>
      </c>
    </row>
    <row r="665" spans="2:10" ht="12.75" hidden="1" customHeight="1">
      <c r="B665" s="34"/>
      <c r="C665" s="10"/>
      <c r="D665" s="33"/>
      <c r="E665" s="33"/>
      <c r="F665" s="33"/>
      <c r="G665" s="33"/>
      <c r="H665" s="72">
        <f t="shared" si="26"/>
        <v>0</v>
      </c>
      <c r="I665" s="12"/>
      <c r="J665" s="3" t="str">
        <f t="shared" si="25"/>
        <v>1</v>
      </c>
    </row>
    <row r="666" spans="2:10" ht="12.75" hidden="1" customHeight="1">
      <c r="B666" s="34"/>
      <c r="C666" s="10"/>
      <c r="D666" s="33"/>
      <c r="E666" s="33"/>
      <c r="F666" s="33"/>
      <c r="G666" s="33"/>
      <c r="H666" s="72">
        <f t="shared" si="26"/>
        <v>0</v>
      </c>
      <c r="I666" s="12"/>
      <c r="J666" s="3" t="str">
        <f t="shared" si="25"/>
        <v>1</v>
      </c>
    </row>
    <row r="667" spans="2:10" ht="12.75" hidden="1" customHeight="1">
      <c r="B667" s="34"/>
      <c r="C667" s="10"/>
      <c r="D667" s="33"/>
      <c r="E667" s="33"/>
      <c r="F667" s="33"/>
      <c r="G667" s="33"/>
      <c r="H667" s="72">
        <f t="shared" si="26"/>
        <v>0</v>
      </c>
      <c r="I667" s="12"/>
      <c r="J667" s="3" t="str">
        <f t="shared" si="25"/>
        <v>1</v>
      </c>
    </row>
    <row r="668" spans="2:10" ht="12.75" hidden="1" customHeight="1">
      <c r="B668" s="34"/>
      <c r="C668" s="10"/>
      <c r="D668" s="33"/>
      <c r="E668" s="33"/>
      <c r="F668" s="33"/>
      <c r="G668" s="33"/>
      <c r="H668" s="72">
        <f t="shared" si="26"/>
        <v>0</v>
      </c>
      <c r="I668" s="12"/>
      <c r="J668" s="3" t="str">
        <f t="shared" si="25"/>
        <v>1</v>
      </c>
    </row>
    <row r="669" spans="2:10" ht="12.75" hidden="1" customHeight="1">
      <c r="B669" s="34"/>
      <c r="C669" s="10"/>
      <c r="D669" s="33"/>
      <c r="E669" s="33"/>
      <c r="F669" s="33"/>
      <c r="G669" s="33"/>
      <c r="H669" s="72">
        <f t="shared" si="26"/>
        <v>0</v>
      </c>
      <c r="I669" s="12"/>
      <c r="J669" s="3" t="str">
        <f t="shared" si="25"/>
        <v>1</v>
      </c>
    </row>
    <row r="670" spans="2:10" ht="12.75" hidden="1" customHeight="1">
      <c r="B670" s="34"/>
      <c r="C670" s="10"/>
      <c r="D670" s="33"/>
      <c r="E670" s="33"/>
      <c r="F670" s="33"/>
      <c r="G670" s="33"/>
      <c r="H670" s="72">
        <f t="shared" si="26"/>
        <v>0</v>
      </c>
      <c r="I670" s="12"/>
      <c r="J670" s="3" t="str">
        <f t="shared" si="25"/>
        <v>1</v>
      </c>
    </row>
    <row r="671" spans="2:10" ht="12.75" hidden="1" customHeight="1">
      <c r="B671" s="34"/>
      <c r="C671" s="10"/>
      <c r="D671" s="33"/>
      <c r="E671" s="33"/>
      <c r="F671" s="33"/>
      <c r="G671" s="33"/>
      <c r="H671" s="72">
        <f t="shared" si="26"/>
        <v>0</v>
      </c>
      <c r="I671" s="12"/>
      <c r="J671" s="3" t="str">
        <f t="shared" si="25"/>
        <v>1</v>
      </c>
    </row>
    <row r="672" spans="2:10" ht="12.75" hidden="1" customHeight="1">
      <c r="B672" s="34"/>
      <c r="C672" s="10"/>
      <c r="D672" s="33"/>
      <c r="E672" s="33"/>
      <c r="F672" s="33"/>
      <c r="G672" s="33"/>
      <c r="H672" s="72">
        <f t="shared" si="26"/>
        <v>0</v>
      </c>
      <c r="I672" s="12"/>
      <c r="J672" s="3" t="str">
        <f t="shared" si="25"/>
        <v>1</v>
      </c>
    </row>
    <row r="673" spans="2:10" ht="12.75" hidden="1" customHeight="1">
      <c r="B673" s="34"/>
      <c r="C673" s="10"/>
      <c r="D673" s="33"/>
      <c r="E673" s="33"/>
      <c r="F673" s="33"/>
      <c r="G673" s="33"/>
      <c r="H673" s="72">
        <f t="shared" si="26"/>
        <v>0</v>
      </c>
      <c r="I673" s="12"/>
      <c r="J673" s="3" t="str">
        <f t="shared" si="25"/>
        <v>1</v>
      </c>
    </row>
    <row r="674" spans="2:10" ht="12.75" hidden="1" customHeight="1">
      <c r="B674" s="34"/>
      <c r="C674" s="10"/>
      <c r="D674" s="33"/>
      <c r="E674" s="33"/>
      <c r="F674" s="33"/>
      <c r="G674" s="33"/>
      <c r="H674" s="72">
        <f t="shared" si="26"/>
        <v>0</v>
      </c>
      <c r="I674" s="12"/>
      <c r="J674" s="3" t="str">
        <f t="shared" si="25"/>
        <v>1</v>
      </c>
    </row>
    <row r="675" spans="2:10" ht="12.75" hidden="1" customHeight="1">
      <c r="B675" s="34"/>
      <c r="C675" s="10"/>
      <c r="D675" s="33"/>
      <c r="E675" s="33"/>
      <c r="F675" s="33"/>
      <c r="G675" s="33"/>
      <c r="H675" s="72">
        <f t="shared" si="26"/>
        <v>0</v>
      </c>
      <c r="I675" s="12"/>
      <c r="J675" s="3" t="str">
        <f t="shared" si="25"/>
        <v>1</v>
      </c>
    </row>
    <row r="676" spans="2:10" ht="12.75" hidden="1" customHeight="1">
      <c r="B676" s="34"/>
      <c r="C676" s="10"/>
      <c r="D676" s="33"/>
      <c r="E676" s="33"/>
      <c r="F676" s="33"/>
      <c r="G676" s="33"/>
      <c r="H676" s="72">
        <f t="shared" si="26"/>
        <v>0</v>
      </c>
      <c r="I676" s="12"/>
      <c r="J676" s="3" t="str">
        <f t="shared" si="25"/>
        <v>1</v>
      </c>
    </row>
    <row r="677" spans="2:10" ht="12.75" hidden="1" customHeight="1">
      <c r="B677" s="34"/>
      <c r="C677" s="10"/>
      <c r="D677" s="33"/>
      <c r="E677" s="33"/>
      <c r="F677" s="33"/>
      <c r="G677" s="33"/>
      <c r="H677" s="72">
        <f t="shared" si="26"/>
        <v>0</v>
      </c>
      <c r="I677" s="12"/>
      <c r="J677" s="3" t="str">
        <f t="shared" si="25"/>
        <v>1</v>
      </c>
    </row>
    <row r="678" spans="2:10" ht="12.75" hidden="1" customHeight="1">
      <c r="B678" s="34"/>
      <c r="C678" s="10"/>
      <c r="D678" s="33"/>
      <c r="E678" s="33"/>
      <c r="F678" s="33"/>
      <c r="G678" s="33"/>
      <c r="H678" s="72">
        <f t="shared" si="26"/>
        <v>0</v>
      </c>
      <c r="I678" s="12"/>
      <c r="J678" s="3" t="str">
        <f t="shared" si="25"/>
        <v>1</v>
      </c>
    </row>
    <row r="679" spans="2:10" ht="12.75" hidden="1" customHeight="1">
      <c r="B679" s="34"/>
      <c r="C679" s="10"/>
      <c r="D679" s="33"/>
      <c r="E679" s="33"/>
      <c r="F679" s="33"/>
      <c r="G679" s="33"/>
      <c r="H679" s="72">
        <f t="shared" si="26"/>
        <v>0</v>
      </c>
      <c r="I679" s="12"/>
      <c r="J679" s="3" t="str">
        <f t="shared" si="25"/>
        <v>1</v>
      </c>
    </row>
    <row r="680" spans="2:10" ht="12.75" hidden="1" customHeight="1">
      <c r="B680" s="34"/>
      <c r="C680" s="10"/>
      <c r="D680" s="33"/>
      <c r="E680" s="33"/>
      <c r="F680" s="33"/>
      <c r="G680" s="33"/>
      <c r="H680" s="72">
        <f t="shared" si="26"/>
        <v>0</v>
      </c>
      <c r="I680" s="12"/>
      <c r="J680" s="3" t="str">
        <f t="shared" si="25"/>
        <v>1</v>
      </c>
    </row>
    <row r="681" spans="2:10" ht="12.75" hidden="1" customHeight="1">
      <c r="B681" s="34"/>
      <c r="C681" s="10"/>
      <c r="D681" s="33"/>
      <c r="E681" s="33"/>
      <c r="F681" s="33"/>
      <c r="G681" s="33"/>
      <c r="H681" s="72">
        <f t="shared" si="26"/>
        <v>0</v>
      </c>
      <c r="I681" s="12"/>
      <c r="J681" s="3" t="str">
        <f t="shared" si="25"/>
        <v>1</v>
      </c>
    </row>
    <row r="682" spans="2:10" ht="12.75" hidden="1" customHeight="1">
      <c r="B682" s="34"/>
      <c r="C682" s="10"/>
      <c r="D682" s="33"/>
      <c r="E682" s="33"/>
      <c r="F682" s="33"/>
      <c r="G682" s="33"/>
      <c r="H682" s="72">
        <f t="shared" si="26"/>
        <v>0</v>
      </c>
      <c r="I682" s="12"/>
      <c r="J682" s="3" t="str">
        <f t="shared" si="25"/>
        <v>1</v>
      </c>
    </row>
    <row r="683" spans="2:10" ht="12.75" hidden="1" customHeight="1">
      <c r="B683" s="34"/>
      <c r="C683" s="10"/>
      <c r="D683" s="33"/>
      <c r="E683" s="33"/>
      <c r="F683" s="33"/>
      <c r="G683" s="33"/>
      <c r="H683" s="72">
        <f t="shared" si="26"/>
        <v>0</v>
      </c>
      <c r="I683" s="12"/>
      <c r="J683" s="3" t="str">
        <f t="shared" si="25"/>
        <v>1</v>
      </c>
    </row>
    <row r="684" spans="2:10" ht="12.75" hidden="1" customHeight="1">
      <c r="B684" s="34"/>
      <c r="C684" s="10"/>
      <c r="D684" s="33"/>
      <c r="E684" s="33"/>
      <c r="F684" s="33"/>
      <c r="G684" s="33"/>
      <c r="H684" s="72">
        <f t="shared" si="26"/>
        <v>0</v>
      </c>
      <c r="I684" s="12"/>
      <c r="J684" s="3" t="str">
        <f t="shared" si="25"/>
        <v>1</v>
      </c>
    </row>
    <row r="685" spans="2:10" ht="12.75" hidden="1" customHeight="1">
      <c r="B685" s="34"/>
      <c r="C685" s="10"/>
      <c r="D685" s="33"/>
      <c r="E685" s="33"/>
      <c r="F685" s="33"/>
      <c r="G685" s="33"/>
      <c r="H685" s="72">
        <f t="shared" si="26"/>
        <v>0</v>
      </c>
      <c r="I685" s="12"/>
      <c r="J685" s="3" t="str">
        <f t="shared" si="25"/>
        <v>1</v>
      </c>
    </row>
    <row r="686" spans="2:10" ht="12.75" hidden="1" customHeight="1">
      <c r="B686" s="34"/>
      <c r="C686" s="10"/>
      <c r="D686" s="33"/>
      <c r="E686" s="33"/>
      <c r="F686" s="33"/>
      <c r="G686" s="33"/>
      <c r="H686" s="72">
        <f t="shared" si="26"/>
        <v>0</v>
      </c>
      <c r="I686" s="12"/>
      <c r="J686" s="3" t="str">
        <f t="shared" si="25"/>
        <v>1</v>
      </c>
    </row>
    <row r="687" spans="2:10" ht="12.75" hidden="1" customHeight="1">
      <c r="B687" s="34"/>
      <c r="C687" s="10"/>
      <c r="D687" s="33"/>
      <c r="E687" s="33"/>
      <c r="F687" s="33"/>
      <c r="G687" s="33"/>
      <c r="H687" s="72">
        <f t="shared" si="26"/>
        <v>0</v>
      </c>
      <c r="I687" s="12"/>
      <c r="J687" s="3" t="str">
        <f t="shared" si="25"/>
        <v>1</v>
      </c>
    </row>
    <row r="688" spans="2:10" ht="12.75" hidden="1" customHeight="1">
      <c r="B688" s="34"/>
      <c r="C688" s="10"/>
      <c r="D688" s="33"/>
      <c r="E688" s="33"/>
      <c r="F688" s="33"/>
      <c r="G688" s="33"/>
      <c r="H688" s="72">
        <f t="shared" si="26"/>
        <v>0</v>
      </c>
      <c r="I688" s="12"/>
      <c r="J688" s="3" t="str">
        <f t="shared" si="25"/>
        <v>1</v>
      </c>
    </row>
    <row r="689" spans="2:10" ht="12.75" hidden="1" customHeight="1">
      <c r="B689" s="34"/>
      <c r="C689" s="10"/>
      <c r="D689" s="33"/>
      <c r="E689" s="33"/>
      <c r="F689" s="33"/>
      <c r="G689" s="33"/>
      <c r="H689" s="72">
        <f t="shared" si="26"/>
        <v>0</v>
      </c>
      <c r="I689" s="12"/>
      <c r="J689" s="3" t="str">
        <f t="shared" si="25"/>
        <v>1</v>
      </c>
    </row>
    <row r="690" spans="2:10" ht="12.75" hidden="1" customHeight="1">
      <c r="B690" s="34"/>
      <c r="C690" s="10"/>
      <c r="D690" s="33"/>
      <c r="E690" s="33"/>
      <c r="F690" s="33"/>
      <c r="G690" s="33"/>
      <c r="H690" s="72">
        <f t="shared" si="26"/>
        <v>0</v>
      </c>
      <c r="I690" s="12"/>
      <c r="J690" s="3" t="str">
        <f t="shared" si="25"/>
        <v>1</v>
      </c>
    </row>
    <row r="691" spans="2:10" ht="12.75" hidden="1" customHeight="1">
      <c r="B691" s="34"/>
      <c r="C691" s="10"/>
      <c r="D691" s="33"/>
      <c r="E691" s="33"/>
      <c r="F691" s="33"/>
      <c r="G691" s="33"/>
      <c r="H691" s="72">
        <f t="shared" si="26"/>
        <v>0</v>
      </c>
      <c r="I691" s="12"/>
      <c r="J691" s="3" t="str">
        <f t="shared" si="25"/>
        <v>1</v>
      </c>
    </row>
    <row r="692" spans="2:10" ht="12.75" hidden="1" customHeight="1">
      <c r="B692" s="34"/>
      <c r="C692" s="10"/>
      <c r="D692" s="33"/>
      <c r="E692" s="33"/>
      <c r="F692" s="33"/>
      <c r="G692" s="33"/>
      <c r="H692" s="72">
        <f t="shared" si="26"/>
        <v>0</v>
      </c>
      <c r="I692" s="12"/>
      <c r="J692" s="3" t="str">
        <f t="shared" si="25"/>
        <v>1</v>
      </c>
    </row>
    <row r="693" spans="2:10" ht="12.75" hidden="1" customHeight="1">
      <c r="B693" s="34"/>
      <c r="C693" s="10"/>
      <c r="D693" s="33"/>
      <c r="E693" s="33"/>
      <c r="F693" s="33"/>
      <c r="G693" s="33"/>
      <c r="H693" s="72">
        <f t="shared" si="26"/>
        <v>0</v>
      </c>
      <c r="I693" s="12"/>
      <c r="J693" s="3" t="str">
        <f t="shared" si="25"/>
        <v>1</v>
      </c>
    </row>
    <row r="694" spans="2:10" ht="12.75" hidden="1" customHeight="1">
      <c r="B694" s="34"/>
      <c r="C694" s="10"/>
      <c r="D694" s="33"/>
      <c r="E694" s="33"/>
      <c r="F694" s="33"/>
      <c r="G694" s="33"/>
      <c r="H694" s="72">
        <f t="shared" si="26"/>
        <v>0</v>
      </c>
      <c r="I694" s="12"/>
      <c r="J694" s="3" t="str">
        <f t="shared" si="25"/>
        <v>1</v>
      </c>
    </row>
    <row r="695" spans="2:10" ht="12.75" hidden="1" customHeight="1">
      <c r="B695" s="34"/>
      <c r="C695" s="10"/>
      <c r="D695" s="33"/>
      <c r="E695" s="33"/>
      <c r="F695" s="33"/>
      <c r="G695" s="33"/>
      <c r="H695" s="72">
        <f t="shared" si="26"/>
        <v>0</v>
      </c>
      <c r="I695" s="12"/>
      <c r="J695" s="3" t="str">
        <f t="shared" si="25"/>
        <v>1</v>
      </c>
    </row>
    <row r="696" spans="2:10" ht="12.75" hidden="1" customHeight="1">
      <c r="B696" s="34"/>
      <c r="C696" s="10"/>
      <c r="D696" s="33"/>
      <c r="E696" s="33"/>
      <c r="F696" s="33"/>
      <c r="G696" s="33"/>
      <c r="H696" s="72">
        <f t="shared" si="26"/>
        <v>0</v>
      </c>
      <c r="I696" s="12"/>
      <c r="J696" s="3" t="str">
        <f t="shared" si="25"/>
        <v>1</v>
      </c>
    </row>
    <row r="697" spans="2:10" ht="12.75" hidden="1" customHeight="1">
      <c r="B697" s="34"/>
      <c r="C697" s="10"/>
      <c r="D697" s="33"/>
      <c r="E697" s="33"/>
      <c r="F697" s="33"/>
      <c r="G697" s="33"/>
      <c r="H697" s="72">
        <f t="shared" si="26"/>
        <v>0</v>
      </c>
      <c r="I697" s="12"/>
      <c r="J697" s="3" t="str">
        <f t="shared" si="25"/>
        <v>1</v>
      </c>
    </row>
    <row r="698" spans="2:10" ht="12.75" hidden="1" customHeight="1">
      <c r="B698" s="34"/>
      <c r="C698" s="10"/>
      <c r="D698" s="33"/>
      <c r="E698" s="33"/>
      <c r="F698" s="33"/>
      <c r="G698" s="33"/>
      <c r="H698" s="72">
        <f t="shared" si="26"/>
        <v>0</v>
      </c>
      <c r="I698" s="12"/>
      <c r="J698" s="3" t="str">
        <f t="shared" si="25"/>
        <v>1</v>
      </c>
    </row>
    <row r="699" spans="2:10" ht="12.75" hidden="1" customHeight="1">
      <c r="B699" s="34"/>
      <c r="C699" s="10"/>
      <c r="D699" s="33"/>
      <c r="E699" s="33"/>
      <c r="F699" s="33"/>
      <c r="G699" s="33"/>
      <c r="H699" s="72">
        <f t="shared" si="26"/>
        <v>0</v>
      </c>
      <c r="I699" s="12"/>
      <c r="J699" s="3" t="str">
        <f t="shared" si="25"/>
        <v>1</v>
      </c>
    </row>
    <row r="700" spans="2:10" ht="12.75" hidden="1" customHeight="1">
      <c r="B700" s="34"/>
      <c r="C700" s="10"/>
      <c r="D700" s="33"/>
      <c r="E700" s="33"/>
      <c r="F700" s="33"/>
      <c r="G700" s="33"/>
      <c r="H700" s="72">
        <f t="shared" si="26"/>
        <v>0</v>
      </c>
      <c r="I700" s="12"/>
      <c r="J700" s="3" t="str">
        <f t="shared" si="25"/>
        <v>1</v>
      </c>
    </row>
    <row r="701" spans="2:10" ht="12.75" hidden="1" customHeight="1">
      <c r="B701" s="34"/>
      <c r="C701" s="10"/>
      <c r="D701" s="33"/>
      <c r="E701" s="33"/>
      <c r="F701" s="33"/>
      <c r="G701" s="33"/>
      <c r="H701" s="72">
        <f t="shared" si="26"/>
        <v>0</v>
      </c>
      <c r="I701" s="12"/>
      <c r="J701" s="3" t="str">
        <f t="shared" si="25"/>
        <v>1</v>
      </c>
    </row>
    <row r="702" spans="2:10" ht="12.75" hidden="1" customHeight="1">
      <c r="B702" s="34"/>
      <c r="C702" s="10"/>
      <c r="D702" s="33"/>
      <c r="E702" s="33"/>
      <c r="F702" s="33"/>
      <c r="G702" s="33"/>
      <c r="H702" s="72">
        <f t="shared" si="26"/>
        <v>0</v>
      </c>
      <c r="I702" s="12"/>
      <c r="J702" s="3" t="str">
        <f t="shared" si="25"/>
        <v>1</v>
      </c>
    </row>
    <row r="703" spans="2:10" ht="12.75" hidden="1" customHeight="1">
      <c r="B703" s="34"/>
      <c r="C703" s="10"/>
      <c r="D703" s="33"/>
      <c r="E703" s="33"/>
      <c r="F703" s="33"/>
      <c r="G703" s="33"/>
      <c r="H703" s="72">
        <f t="shared" si="26"/>
        <v>0</v>
      </c>
      <c r="I703" s="12"/>
      <c r="J703" s="3" t="str">
        <f t="shared" si="25"/>
        <v>1</v>
      </c>
    </row>
    <row r="704" spans="2:10" ht="12.75" hidden="1" customHeight="1">
      <c r="B704" s="34"/>
      <c r="C704" s="10"/>
      <c r="D704" s="33"/>
      <c r="E704" s="33"/>
      <c r="F704" s="33"/>
      <c r="G704" s="33"/>
      <c r="H704" s="72">
        <f t="shared" si="26"/>
        <v>0</v>
      </c>
      <c r="I704" s="12"/>
      <c r="J704" s="3" t="str">
        <f t="shared" si="25"/>
        <v>1</v>
      </c>
    </row>
    <row r="705" spans="2:10" ht="12.75" hidden="1" customHeight="1">
      <c r="B705" s="34"/>
      <c r="C705" s="10"/>
      <c r="D705" s="33"/>
      <c r="E705" s="33"/>
      <c r="F705" s="33"/>
      <c r="G705" s="33"/>
      <c r="H705" s="72">
        <f t="shared" si="26"/>
        <v>0</v>
      </c>
      <c r="I705" s="12"/>
      <c r="J705" s="3" t="str">
        <f t="shared" si="25"/>
        <v>1</v>
      </c>
    </row>
    <row r="706" spans="2:10" ht="12.75" hidden="1" customHeight="1">
      <c r="B706" s="34"/>
      <c r="C706" s="10"/>
      <c r="D706" s="33"/>
      <c r="E706" s="33"/>
      <c r="F706" s="33"/>
      <c r="G706" s="33"/>
      <c r="H706" s="72">
        <f t="shared" si="26"/>
        <v>0</v>
      </c>
      <c r="I706" s="12"/>
      <c r="J706" s="3" t="str">
        <f t="shared" si="25"/>
        <v>1</v>
      </c>
    </row>
    <row r="707" spans="2:10" ht="12.75" hidden="1" customHeight="1">
      <c r="B707" s="34"/>
      <c r="C707" s="10"/>
      <c r="D707" s="33"/>
      <c r="E707" s="33"/>
      <c r="F707" s="33"/>
      <c r="G707" s="33"/>
      <c r="H707" s="72">
        <f t="shared" si="26"/>
        <v>0</v>
      </c>
      <c r="I707" s="12"/>
      <c r="J707" s="3" t="str">
        <f t="shared" ref="J707:J770" si="27">TRIM(C707) &amp; (COUNTIFS($C$4:$C$123, C707, $I$4:$I$123, "&gt;"&amp;I707) + 1)</f>
        <v>1</v>
      </c>
    </row>
    <row r="708" spans="2:10" ht="12.75" hidden="1" customHeight="1">
      <c r="B708" s="34"/>
      <c r="C708" s="10"/>
      <c r="D708" s="33"/>
      <c r="E708" s="33"/>
      <c r="F708" s="33"/>
      <c r="G708" s="33"/>
      <c r="H708" s="72">
        <f t="shared" si="26"/>
        <v>0</v>
      </c>
      <c r="I708" s="12"/>
      <c r="J708" s="3" t="str">
        <f t="shared" si="27"/>
        <v>1</v>
      </c>
    </row>
    <row r="709" spans="2:10" ht="12.75" hidden="1" customHeight="1">
      <c r="B709" s="34"/>
      <c r="C709" s="10"/>
      <c r="D709" s="33"/>
      <c r="E709" s="33"/>
      <c r="F709" s="33"/>
      <c r="G709" s="33"/>
      <c r="H709" s="72">
        <f t="shared" ref="H709:H772" si="28">IF(D709=0, COUNTIFS($C$4:$C$123, C709, $B$4:$B$123, "&lt;&gt;"), COUNTIFS($C$4:$C$123, C709, $D$4:$D$123, "&gt;"&amp;D709) + 1)</f>
        <v>0</v>
      </c>
      <c r="I709" s="12"/>
      <c r="J709" s="3" t="str">
        <f t="shared" si="27"/>
        <v>1</v>
      </c>
    </row>
    <row r="710" spans="2:10" ht="12.75" hidden="1" customHeight="1">
      <c r="B710" s="34"/>
      <c r="C710" s="10"/>
      <c r="D710" s="33"/>
      <c r="E710" s="33"/>
      <c r="F710" s="33"/>
      <c r="G710" s="33"/>
      <c r="H710" s="72">
        <f t="shared" si="28"/>
        <v>0</v>
      </c>
      <c r="I710" s="12"/>
      <c r="J710" s="3" t="str">
        <f t="shared" si="27"/>
        <v>1</v>
      </c>
    </row>
    <row r="711" spans="2:10" ht="12.75" hidden="1" customHeight="1">
      <c r="B711" s="34"/>
      <c r="C711" s="10"/>
      <c r="D711" s="33"/>
      <c r="E711" s="33"/>
      <c r="F711" s="33"/>
      <c r="G711" s="33"/>
      <c r="H711" s="72">
        <f t="shared" si="28"/>
        <v>0</v>
      </c>
      <c r="I711" s="12"/>
      <c r="J711" s="3" t="str">
        <f t="shared" si="27"/>
        <v>1</v>
      </c>
    </row>
    <row r="712" spans="2:10" ht="12.75" hidden="1" customHeight="1">
      <c r="B712" s="34"/>
      <c r="C712" s="10"/>
      <c r="D712" s="33"/>
      <c r="E712" s="33"/>
      <c r="F712" s="33"/>
      <c r="G712" s="33"/>
      <c r="H712" s="72">
        <f t="shared" si="28"/>
        <v>0</v>
      </c>
      <c r="I712" s="12"/>
      <c r="J712" s="3" t="str">
        <f t="shared" si="27"/>
        <v>1</v>
      </c>
    </row>
    <row r="713" spans="2:10" ht="12.75" hidden="1" customHeight="1">
      <c r="B713" s="34"/>
      <c r="C713" s="10"/>
      <c r="D713" s="33"/>
      <c r="E713" s="33"/>
      <c r="F713" s="33"/>
      <c r="G713" s="33"/>
      <c r="H713" s="72">
        <f t="shared" si="28"/>
        <v>0</v>
      </c>
      <c r="I713" s="12"/>
      <c r="J713" s="3" t="str">
        <f t="shared" si="27"/>
        <v>1</v>
      </c>
    </row>
    <row r="714" spans="2:10" ht="12.75" hidden="1" customHeight="1">
      <c r="B714" s="34"/>
      <c r="C714" s="10"/>
      <c r="D714" s="33"/>
      <c r="E714" s="33"/>
      <c r="F714" s="33"/>
      <c r="G714" s="33"/>
      <c r="H714" s="72">
        <f t="shared" si="28"/>
        <v>0</v>
      </c>
      <c r="I714" s="12"/>
      <c r="J714" s="3" t="str">
        <f t="shared" si="27"/>
        <v>1</v>
      </c>
    </row>
    <row r="715" spans="2:10" ht="12.75" hidden="1" customHeight="1">
      <c r="B715" s="34"/>
      <c r="C715" s="10"/>
      <c r="D715" s="33"/>
      <c r="E715" s="33"/>
      <c r="F715" s="33"/>
      <c r="G715" s="33"/>
      <c r="H715" s="72">
        <f t="shared" si="28"/>
        <v>0</v>
      </c>
      <c r="I715" s="12"/>
      <c r="J715" s="3" t="str">
        <f t="shared" si="27"/>
        <v>1</v>
      </c>
    </row>
    <row r="716" spans="2:10" ht="12.75" hidden="1" customHeight="1">
      <c r="B716" s="34"/>
      <c r="C716" s="10"/>
      <c r="D716" s="33"/>
      <c r="E716" s="33"/>
      <c r="F716" s="33"/>
      <c r="G716" s="33"/>
      <c r="H716" s="72">
        <f t="shared" si="28"/>
        <v>0</v>
      </c>
      <c r="I716" s="12"/>
      <c r="J716" s="3" t="str">
        <f t="shared" si="27"/>
        <v>1</v>
      </c>
    </row>
    <row r="717" spans="2:10" ht="12.75" hidden="1" customHeight="1">
      <c r="B717" s="34"/>
      <c r="C717" s="10"/>
      <c r="D717" s="33"/>
      <c r="E717" s="33"/>
      <c r="F717" s="33"/>
      <c r="G717" s="33"/>
      <c r="H717" s="72">
        <f t="shared" si="28"/>
        <v>0</v>
      </c>
      <c r="I717" s="12"/>
      <c r="J717" s="3" t="str">
        <f t="shared" si="27"/>
        <v>1</v>
      </c>
    </row>
    <row r="718" spans="2:10" ht="12.75" hidden="1" customHeight="1">
      <c r="B718" s="34"/>
      <c r="C718" s="10"/>
      <c r="D718" s="33"/>
      <c r="E718" s="33"/>
      <c r="F718" s="33"/>
      <c r="G718" s="33"/>
      <c r="H718" s="72">
        <f t="shared" si="28"/>
        <v>0</v>
      </c>
      <c r="I718" s="12"/>
      <c r="J718" s="3" t="str">
        <f t="shared" si="27"/>
        <v>1</v>
      </c>
    </row>
    <row r="719" spans="2:10" ht="12.75" hidden="1" customHeight="1">
      <c r="B719" s="34"/>
      <c r="C719" s="10"/>
      <c r="D719" s="33"/>
      <c r="E719" s="33"/>
      <c r="F719" s="33"/>
      <c r="G719" s="33"/>
      <c r="H719" s="72">
        <f t="shared" si="28"/>
        <v>0</v>
      </c>
      <c r="I719" s="12"/>
      <c r="J719" s="3" t="str">
        <f t="shared" si="27"/>
        <v>1</v>
      </c>
    </row>
    <row r="720" spans="2:10" ht="12.75" hidden="1" customHeight="1">
      <c r="B720" s="34"/>
      <c r="C720" s="10"/>
      <c r="D720" s="33"/>
      <c r="E720" s="33"/>
      <c r="F720" s="33"/>
      <c r="G720" s="33"/>
      <c r="H720" s="72">
        <f t="shared" si="28"/>
        <v>0</v>
      </c>
      <c r="I720" s="12"/>
      <c r="J720" s="3" t="str">
        <f t="shared" si="27"/>
        <v>1</v>
      </c>
    </row>
    <row r="721" spans="2:10" ht="12.75" hidden="1" customHeight="1">
      <c r="B721" s="34"/>
      <c r="C721" s="10"/>
      <c r="D721" s="33"/>
      <c r="E721" s="33"/>
      <c r="F721" s="33"/>
      <c r="G721" s="33"/>
      <c r="H721" s="72">
        <f t="shared" si="28"/>
        <v>0</v>
      </c>
      <c r="I721" s="12"/>
      <c r="J721" s="3" t="str">
        <f t="shared" si="27"/>
        <v>1</v>
      </c>
    </row>
    <row r="722" spans="2:10" ht="12.75" hidden="1" customHeight="1">
      <c r="B722" s="34"/>
      <c r="C722" s="10"/>
      <c r="D722" s="33"/>
      <c r="E722" s="33"/>
      <c r="F722" s="33"/>
      <c r="G722" s="33"/>
      <c r="H722" s="72">
        <f t="shared" si="28"/>
        <v>0</v>
      </c>
      <c r="I722" s="12"/>
      <c r="J722" s="3" t="str">
        <f t="shared" si="27"/>
        <v>1</v>
      </c>
    </row>
    <row r="723" spans="2:10" ht="12.75" hidden="1" customHeight="1">
      <c r="B723" s="34"/>
      <c r="C723" s="10"/>
      <c r="D723" s="33"/>
      <c r="E723" s="33"/>
      <c r="F723" s="33"/>
      <c r="G723" s="33"/>
      <c r="H723" s="72">
        <f t="shared" si="28"/>
        <v>0</v>
      </c>
      <c r="I723" s="12"/>
      <c r="J723" s="3" t="str">
        <f t="shared" si="27"/>
        <v>1</v>
      </c>
    </row>
    <row r="724" spans="2:10" ht="12.75" hidden="1" customHeight="1">
      <c r="B724" s="34"/>
      <c r="C724" s="10"/>
      <c r="D724" s="33"/>
      <c r="E724" s="33"/>
      <c r="F724" s="33"/>
      <c r="G724" s="33"/>
      <c r="H724" s="72">
        <f t="shared" si="28"/>
        <v>0</v>
      </c>
      <c r="I724" s="12"/>
      <c r="J724" s="3" t="str">
        <f t="shared" si="27"/>
        <v>1</v>
      </c>
    </row>
    <row r="725" spans="2:10" ht="12.75" hidden="1" customHeight="1">
      <c r="B725" s="34"/>
      <c r="C725" s="10"/>
      <c r="D725" s="33"/>
      <c r="E725" s="33"/>
      <c r="F725" s="33"/>
      <c r="G725" s="33"/>
      <c r="H725" s="72">
        <f t="shared" si="28"/>
        <v>0</v>
      </c>
      <c r="I725" s="12"/>
      <c r="J725" s="3" t="str">
        <f t="shared" si="27"/>
        <v>1</v>
      </c>
    </row>
    <row r="726" spans="2:10" ht="12.75" hidden="1" customHeight="1">
      <c r="B726" s="34"/>
      <c r="C726" s="10"/>
      <c r="D726" s="33"/>
      <c r="E726" s="33"/>
      <c r="F726" s="33"/>
      <c r="G726" s="33"/>
      <c r="H726" s="72">
        <f t="shared" si="28"/>
        <v>0</v>
      </c>
      <c r="I726" s="12"/>
      <c r="J726" s="3" t="str">
        <f t="shared" si="27"/>
        <v>1</v>
      </c>
    </row>
    <row r="727" spans="2:10" ht="12.75" hidden="1" customHeight="1">
      <c r="B727" s="34"/>
      <c r="C727" s="10"/>
      <c r="D727" s="33"/>
      <c r="E727" s="33"/>
      <c r="F727" s="33"/>
      <c r="G727" s="33"/>
      <c r="H727" s="72">
        <f t="shared" si="28"/>
        <v>0</v>
      </c>
      <c r="I727" s="12"/>
      <c r="J727" s="3" t="str">
        <f t="shared" si="27"/>
        <v>1</v>
      </c>
    </row>
    <row r="728" spans="2:10" ht="12.75" hidden="1" customHeight="1">
      <c r="B728" s="34"/>
      <c r="C728" s="10"/>
      <c r="D728" s="33"/>
      <c r="E728" s="33"/>
      <c r="F728" s="33"/>
      <c r="G728" s="33"/>
      <c r="H728" s="72">
        <f t="shared" si="28"/>
        <v>0</v>
      </c>
      <c r="I728" s="12"/>
      <c r="J728" s="3" t="str">
        <f t="shared" si="27"/>
        <v>1</v>
      </c>
    </row>
    <row r="729" spans="2:10" ht="12.75" hidden="1" customHeight="1">
      <c r="B729" s="34"/>
      <c r="C729" s="10"/>
      <c r="D729" s="33"/>
      <c r="E729" s="33"/>
      <c r="F729" s="33"/>
      <c r="G729" s="33"/>
      <c r="H729" s="72">
        <f t="shared" si="28"/>
        <v>0</v>
      </c>
      <c r="I729" s="12"/>
      <c r="J729" s="3" t="str">
        <f t="shared" si="27"/>
        <v>1</v>
      </c>
    </row>
    <row r="730" spans="2:10" ht="12.75" hidden="1" customHeight="1">
      <c r="B730" s="34"/>
      <c r="C730" s="10"/>
      <c r="D730" s="33"/>
      <c r="E730" s="33"/>
      <c r="F730" s="33"/>
      <c r="G730" s="33"/>
      <c r="H730" s="72">
        <f t="shared" si="28"/>
        <v>0</v>
      </c>
      <c r="I730" s="12"/>
      <c r="J730" s="3" t="str">
        <f t="shared" si="27"/>
        <v>1</v>
      </c>
    </row>
    <row r="731" spans="2:10" ht="12.75" hidden="1" customHeight="1">
      <c r="B731" s="34"/>
      <c r="C731" s="10"/>
      <c r="D731" s="33"/>
      <c r="E731" s="33"/>
      <c r="F731" s="33"/>
      <c r="G731" s="33"/>
      <c r="H731" s="72">
        <f t="shared" si="28"/>
        <v>0</v>
      </c>
      <c r="I731" s="12"/>
      <c r="J731" s="3" t="str">
        <f t="shared" si="27"/>
        <v>1</v>
      </c>
    </row>
    <row r="732" spans="2:10" ht="12.75" hidden="1" customHeight="1">
      <c r="B732" s="34"/>
      <c r="C732" s="10"/>
      <c r="D732" s="33"/>
      <c r="E732" s="33"/>
      <c r="F732" s="33"/>
      <c r="G732" s="33"/>
      <c r="H732" s="72">
        <f t="shared" si="28"/>
        <v>0</v>
      </c>
      <c r="I732" s="12"/>
      <c r="J732" s="3" t="str">
        <f t="shared" si="27"/>
        <v>1</v>
      </c>
    </row>
    <row r="733" spans="2:10" ht="12.75" hidden="1" customHeight="1">
      <c r="B733" s="34"/>
      <c r="C733" s="10"/>
      <c r="D733" s="33"/>
      <c r="E733" s="33"/>
      <c r="F733" s="33"/>
      <c r="G733" s="33"/>
      <c r="H733" s="72">
        <f t="shared" si="28"/>
        <v>0</v>
      </c>
      <c r="I733" s="12"/>
      <c r="J733" s="3" t="str">
        <f t="shared" si="27"/>
        <v>1</v>
      </c>
    </row>
    <row r="734" spans="2:10" ht="12.75" hidden="1" customHeight="1">
      <c r="B734" s="34"/>
      <c r="C734" s="10"/>
      <c r="D734" s="33"/>
      <c r="E734" s="33"/>
      <c r="F734" s="33"/>
      <c r="G734" s="33"/>
      <c r="H734" s="72">
        <f t="shared" si="28"/>
        <v>0</v>
      </c>
      <c r="I734" s="12"/>
      <c r="J734" s="3" t="str">
        <f t="shared" si="27"/>
        <v>1</v>
      </c>
    </row>
    <row r="735" spans="2:10" ht="12.75" hidden="1" customHeight="1">
      <c r="B735" s="34"/>
      <c r="C735" s="10"/>
      <c r="D735" s="33"/>
      <c r="E735" s="33"/>
      <c r="F735" s="33"/>
      <c r="G735" s="33"/>
      <c r="H735" s="72">
        <f t="shared" si="28"/>
        <v>0</v>
      </c>
      <c r="I735" s="12"/>
      <c r="J735" s="3" t="str">
        <f t="shared" si="27"/>
        <v>1</v>
      </c>
    </row>
    <row r="736" spans="2:10" ht="12.75" hidden="1" customHeight="1">
      <c r="B736" s="34"/>
      <c r="C736" s="10"/>
      <c r="D736" s="33"/>
      <c r="E736" s="33"/>
      <c r="F736" s="33"/>
      <c r="G736" s="33"/>
      <c r="H736" s="72">
        <f t="shared" si="28"/>
        <v>0</v>
      </c>
      <c r="I736" s="12"/>
      <c r="J736" s="3" t="str">
        <f t="shared" si="27"/>
        <v>1</v>
      </c>
    </row>
    <row r="737" spans="2:10" ht="12.75" hidden="1" customHeight="1">
      <c r="B737" s="34"/>
      <c r="C737" s="10"/>
      <c r="D737" s="33"/>
      <c r="E737" s="33"/>
      <c r="F737" s="33"/>
      <c r="G737" s="33"/>
      <c r="H737" s="72">
        <f t="shared" si="28"/>
        <v>0</v>
      </c>
      <c r="I737" s="12"/>
      <c r="J737" s="3" t="str">
        <f t="shared" si="27"/>
        <v>1</v>
      </c>
    </row>
    <row r="738" spans="2:10" ht="12.75" hidden="1" customHeight="1">
      <c r="B738" s="34"/>
      <c r="C738" s="10"/>
      <c r="D738" s="33"/>
      <c r="E738" s="33"/>
      <c r="F738" s="33"/>
      <c r="G738" s="33"/>
      <c r="H738" s="72">
        <f t="shared" si="28"/>
        <v>0</v>
      </c>
      <c r="I738" s="12"/>
      <c r="J738" s="3" t="str">
        <f t="shared" si="27"/>
        <v>1</v>
      </c>
    </row>
    <row r="739" spans="2:10" ht="12.75" hidden="1" customHeight="1">
      <c r="B739" s="34"/>
      <c r="C739" s="10"/>
      <c r="D739" s="33"/>
      <c r="E739" s="33"/>
      <c r="F739" s="33"/>
      <c r="G739" s="33"/>
      <c r="H739" s="72">
        <f t="shared" si="28"/>
        <v>0</v>
      </c>
      <c r="I739" s="12"/>
      <c r="J739" s="3" t="str">
        <f t="shared" si="27"/>
        <v>1</v>
      </c>
    </row>
    <row r="740" spans="2:10" ht="12.75" hidden="1" customHeight="1">
      <c r="B740" s="34"/>
      <c r="C740" s="10"/>
      <c r="D740" s="33"/>
      <c r="E740" s="33"/>
      <c r="F740" s="33"/>
      <c r="G740" s="33"/>
      <c r="H740" s="72">
        <f t="shared" si="28"/>
        <v>0</v>
      </c>
      <c r="I740" s="12"/>
      <c r="J740" s="3" t="str">
        <f t="shared" si="27"/>
        <v>1</v>
      </c>
    </row>
    <row r="741" spans="2:10" ht="12.75" hidden="1" customHeight="1">
      <c r="B741" s="34"/>
      <c r="C741" s="10"/>
      <c r="D741" s="33"/>
      <c r="E741" s="33"/>
      <c r="F741" s="33"/>
      <c r="G741" s="33"/>
      <c r="H741" s="72">
        <f t="shared" si="28"/>
        <v>0</v>
      </c>
      <c r="I741" s="12"/>
      <c r="J741" s="3" t="str">
        <f t="shared" si="27"/>
        <v>1</v>
      </c>
    </row>
    <row r="742" spans="2:10" ht="12.75" hidden="1" customHeight="1">
      <c r="B742" s="34"/>
      <c r="C742" s="10"/>
      <c r="D742" s="33"/>
      <c r="E742" s="33"/>
      <c r="F742" s="33"/>
      <c r="G742" s="33"/>
      <c r="H742" s="72">
        <f t="shared" si="28"/>
        <v>0</v>
      </c>
      <c r="I742" s="12"/>
      <c r="J742" s="3" t="str">
        <f t="shared" si="27"/>
        <v>1</v>
      </c>
    </row>
    <row r="743" spans="2:10" ht="12.75" hidden="1" customHeight="1">
      <c r="B743" s="34"/>
      <c r="C743" s="10"/>
      <c r="D743" s="33"/>
      <c r="E743" s="33"/>
      <c r="F743" s="33"/>
      <c r="G743" s="33"/>
      <c r="H743" s="72">
        <f t="shared" si="28"/>
        <v>0</v>
      </c>
      <c r="I743" s="12"/>
      <c r="J743" s="3" t="str">
        <f t="shared" si="27"/>
        <v>1</v>
      </c>
    </row>
    <row r="744" spans="2:10" ht="12.75" hidden="1" customHeight="1">
      <c r="B744" s="34"/>
      <c r="C744" s="10"/>
      <c r="D744" s="33"/>
      <c r="E744" s="33"/>
      <c r="F744" s="33"/>
      <c r="G744" s="33"/>
      <c r="H744" s="72">
        <f t="shared" si="28"/>
        <v>0</v>
      </c>
      <c r="I744" s="12"/>
      <c r="J744" s="3" t="str">
        <f t="shared" si="27"/>
        <v>1</v>
      </c>
    </row>
    <row r="745" spans="2:10" ht="12.75" hidden="1" customHeight="1">
      <c r="B745" s="34"/>
      <c r="C745" s="10"/>
      <c r="D745" s="33"/>
      <c r="E745" s="33"/>
      <c r="F745" s="33"/>
      <c r="G745" s="33"/>
      <c r="H745" s="72">
        <f t="shared" si="28"/>
        <v>0</v>
      </c>
      <c r="I745" s="12"/>
      <c r="J745" s="3" t="str">
        <f t="shared" si="27"/>
        <v>1</v>
      </c>
    </row>
    <row r="746" spans="2:10" ht="12.75" hidden="1" customHeight="1">
      <c r="B746" s="34"/>
      <c r="C746" s="10"/>
      <c r="D746" s="33"/>
      <c r="E746" s="33"/>
      <c r="F746" s="33"/>
      <c r="G746" s="33"/>
      <c r="H746" s="72">
        <f t="shared" si="28"/>
        <v>0</v>
      </c>
      <c r="I746" s="12"/>
      <c r="J746" s="3" t="str">
        <f t="shared" si="27"/>
        <v>1</v>
      </c>
    </row>
    <row r="747" spans="2:10" ht="12.75" hidden="1" customHeight="1">
      <c r="B747" s="34"/>
      <c r="C747" s="10"/>
      <c r="D747" s="33"/>
      <c r="E747" s="33"/>
      <c r="F747" s="33"/>
      <c r="G747" s="33"/>
      <c r="H747" s="72">
        <f t="shared" si="28"/>
        <v>0</v>
      </c>
      <c r="I747" s="12"/>
      <c r="J747" s="3" t="str">
        <f t="shared" si="27"/>
        <v>1</v>
      </c>
    </row>
    <row r="748" spans="2:10" ht="12.75" hidden="1" customHeight="1">
      <c r="B748" s="34"/>
      <c r="C748" s="10"/>
      <c r="D748" s="33"/>
      <c r="E748" s="33"/>
      <c r="F748" s="33"/>
      <c r="G748" s="33"/>
      <c r="H748" s="72">
        <f t="shared" si="28"/>
        <v>0</v>
      </c>
      <c r="I748" s="12"/>
      <c r="J748" s="3" t="str">
        <f t="shared" si="27"/>
        <v>1</v>
      </c>
    </row>
    <row r="749" spans="2:10" ht="12.75" hidden="1" customHeight="1">
      <c r="B749" s="34"/>
      <c r="C749" s="10"/>
      <c r="D749" s="33"/>
      <c r="E749" s="33"/>
      <c r="F749" s="33"/>
      <c r="G749" s="33"/>
      <c r="H749" s="72">
        <f t="shared" si="28"/>
        <v>0</v>
      </c>
      <c r="I749" s="12"/>
      <c r="J749" s="3" t="str">
        <f t="shared" si="27"/>
        <v>1</v>
      </c>
    </row>
    <row r="750" spans="2:10" ht="12.75" hidden="1" customHeight="1">
      <c r="B750" s="34"/>
      <c r="C750" s="10"/>
      <c r="D750" s="33"/>
      <c r="E750" s="33"/>
      <c r="F750" s="33"/>
      <c r="G750" s="33"/>
      <c r="H750" s="72">
        <f t="shared" si="28"/>
        <v>0</v>
      </c>
      <c r="I750" s="12"/>
      <c r="J750" s="3" t="str">
        <f t="shared" si="27"/>
        <v>1</v>
      </c>
    </row>
    <row r="751" spans="2:10" ht="12.75" hidden="1" customHeight="1">
      <c r="B751" s="34"/>
      <c r="C751" s="10"/>
      <c r="D751" s="33"/>
      <c r="E751" s="33"/>
      <c r="F751" s="33"/>
      <c r="G751" s="33"/>
      <c r="H751" s="72">
        <f t="shared" si="28"/>
        <v>0</v>
      </c>
      <c r="I751" s="12"/>
      <c r="J751" s="3" t="str">
        <f t="shared" si="27"/>
        <v>1</v>
      </c>
    </row>
    <row r="752" spans="2:10" ht="12.75" hidden="1" customHeight="1">
      <c r="B752" s="34"/>
      <c r="C752" s="10"/>
      <c r="D752" s="33"/>
      <c r="E752" s="33"/>
      <c r="F752" s="33"/>
      <c r="G752" s="33"/>
      <c r="H752" s="72">
        <f t="shared" si="28"/>
        <v>0</v>
      </c>
      <c r="I752" s="12"/>
      <c r="J752" s="3" t="str">
        <f t="shared" si="27"/>
        <v>1</v>
      </c>
    </row>
    <row r="753" spans="2:10" ht="12.75" hidden="1" customHeight="1">
      <c r="B753" s="34"/>
      <c r="C753" s="10"/>
      <c r="D753" s="33"/>
      <c r="E753" s="33"/>
      <c r="F753" s="33"/>
      <c r="G753" s="33"/>
      <c r="H753" s="72">
        <f t="shared" si="28"/>
        <v>0</v>
      </c>
      <c r="I753" s="12"/>
      <c r="J753" s="3" t="str">
        <f t="shared" si="27"/>
        <v>1</v>
      </c>
    </row>
    <row r="754" spans="2:10" ht="12.75" hidden="1" customHeight="1">
      <c r="B754" s="34"/>
      <c r="C754" s="10"/>
      <c r="D754" s="33"/>
      <c r="E754" s="33"/>
      <c r="F754" s="33"/>
      <c r="G754" s="33"/>
      <c r="H754" s="72">
        <f t="shared" si="28"/>
        <v>0</v>
      </c>
      <c r="I754" s="12"/>
      <c r="J754" s="3" t="str">
        <f t="shared" si="27"/>
        <v>1</v>
      </c>
    </row>
    <row r="755" spans="2:10" ht="12.75" hidden="1" customHeight="1">
      <c r="B755" s="34"/>
      <c r="C755" s="10"/>
      <c r="D755" s="33"/>
      <c r="E755" s="33"/>
      <c r="F755" s="33"/>
      <c r="G755" s="33"/>
      <c r="H755" s="72">
        <f t="shared" si="28"/>
        <v>0</v>
      </c>
      <c r="I755" s="12"/>
      <c r="J755" s="3" t="str">
        <f t="shared" si="27"/>
        <v>1</v>
      </c>
    </row>
    <row r="756" spans="2:10" ht="12.75" hidden="1" customHeight="1">
      <c r="B756" s="34"/>
      <c r="C756" s="10"/>
      <c r="D756" s="33"/>
      <c r="E756" s="33"/>
      <c r="F756" s="33"/>
      <c r="G756" s="33"/>
      <c r="H756" s="72">
        <f t="shared" si="28"/>
        <v>0</v>
      </c>
      <c r="I756" s="12"/>
      <c r="J756" s="3" t="str">
        <f t="shared" si="27"/>
        <v>1</v>
      </c>
    </row>
    <row r="757" spans="2:10" ht="12.75" hidden="1" customHeight="1">
      <c r="B757" s="34"/>
      <c r="C757" s="10"/>
      <c r="D757" s="33"/>
      <c r="E757" s="33"/>
      <c r="F757" s="33"/>
      <c r="G757" s="33"/>
      <c r="H757" s="72">
        <f t="shared" si="28"/>
        <v>0</v>
      </c>
      <c r="I757" s="12"/>
      <c r="J757" s="3" t="str">
        <f t="shared" si="27"/>
        <v>1</v>
      </c>
    </row>
    <row r="758" spans="2:10" ht="12.75" hidden="1" customHeight="1">
      <c r="B758" s="34"/>
      <c r="C758" s="10"/>
      <c r="D758" s="33"/>
      <c r="E758" s="33"/>
      <c r="F758" s="33"/>
      <c r="G758" s="33"/>
      <c r="H758" s="72">
        <f t="shared" si="28"/>
        <v>0</v>
      </c>
      <c r="I758" s="12"/>
      <c r="J758" s="3" t="str">
        <f t="shared" si="27"/>
        <v>1</v>
      </c>
    </row>
    <row r="759" spans="2:10" ht="12.75" hidden="1" customHeight="1">
      <c r="B759" s="34"/>
      <c r="C759" s="10"/>
      <c r="D759" s="33"/>
      <c r="E759" s="33"/>
      <c r="F759" s="33"/>
      <c r="G759" s="33"/>
      <c r="H759" s="72">
        <f t="shared" si="28"/>
        <v>0</v>
      </c>
      <c r="I759" s="12"/>
      <c r="J759" s="3" t="str">
        <f t="shared" si="27"/>
        <v>1</v>
      </c>
    </row>
    <row r="760" spans="2:10" ht="12.75" hidden="1" customHeight="1">
      <c r="B760" s="34"/>
      <c r="C760" s="10"/>
      <c r="D760" s="33"/>
      <c r="E760" s="33"/>
      <c r="F760" s="33"/>
      <c r="G760" s="33"/>
      <c r="H760" s="72">
        <f t="shared" si="28"/>
        <v>0</v>
      </c>
      <c r="I760" s="12"/>
      <c r="J760" s="3" t="str">
        <f t="shared" si="27"/>
        <v>1</v>
      </c>
    </row>
    <row r="761" spans="2:10" ht="12.75" hidden="1" customHeight="1">
      <c r="B761" s="34"/>
      <c r="C761" s="10"/>
      <c r="D761" s="33"/>
      <c r="E761" s="33"/>
      <c r="F761" s="33"/>
      <c r="G761" s="33"/>
      <c r="H761" s="72">
        <f t="shared" si="28"/>
        <v>0</v>
      </c>
      <c r="I761" s="12"/>
      <c r="J761" s="3" t="str">
        <f t="shared" si="27"/>
        <v>1</v>
      </c>
    </row>
    <row r="762" spans="2:10" ht="12.75" hidden="1" customHeight="1">
      <c r="B762" s="34"/>
      <c r="C762" s="10"/>
      <c r="D762" s="33"/>
      <c r="E762" s="33"/>
      <c r="F762" s="33"/>
      <c r="G762" s="33"/>
      <c r="H762" s="72">
        <f t="shared" si="28"/>
        <v>0</v>
      </c>
      <c r="I762" s="12"/>
      <c r="J762" s="3" t="str">
        <f t="shared" si="27"/>
        <v>1</v>
      </c>
    </row>
    <row r="763" spans="2:10" ht="12.75" hidden="1" customHeight="1">
      <c r="B763" s="34"/>
      <c r="C763" s="10"/>
      <c r="D763" s="33"/>
      <c r="E763" s="33"/>
      <c r="F763" s="33"/>
      <c r="G763" s="33"/>
      <c r="H763" s="72">
        <f t="shared" si="28"/>
        <v>0</v>
      </c>
      <c r="I763" s="12"/>
      <c r="J763" s="3" t="str">
        <f t="shared" si="27"/>
        <v>1</v>
      </c>
    </row>
    <row r="764" spans="2:10" ht="12.75" hidden="1" customHeight="1">
      <c r="B764" s="34"/>
      <c r="C764" s="10"/>
      <c r="D764" s="33"/>
      <c r="E764" s="33"/>
      <c r="F764" s="33"/>
      <c r="G764" s="33"/>
      <c r="H764" s="72">
        <f t="shared" si="28"/>
        <v>0</v>
      </c>
      <c r="I764" s="12"/>
      <c r="J764" s="3" t="str">
        <f t="shared" si="27"/>
        <v>1</v>
      </c>
    </row>
    <row r="765" spans="2:10" ht="12.75" hidden="1" customHeight="1">
      <c r="B765" s="34"/>
      <c r="C765" s="10"/>
      <c r="D765" s="33"/>
      <c r="E765" s="33"/>
      <c r="F765" s="33"/>
      <c r="G765" s="33"/>
      <c r="H765" s="72">
        <f t="shared" si="28"/>
        <v>0</v>
      </c>
      <c r="I765" s="12"/>
      <c r="J765" s="3" t="str">
        <f t="shared" si="27"/>
        <v>1</v>
      </c>
    </row>
    <row r="766" spans="2:10" ht="12.75" hidden="1" customHeight="1">
      <c r="B766" s="34"/>
      <c r="C766" s="10"/>
      <c r="D766" s="33"/>
      <c r="E766" s="33"/>
      <c r="F766" s="33"/>
      <c r="G766" s="33"/>
      <c r="H766" s="72">
        <f t="shared" si="28"/>
        <v>0</v>
      </c>
      <c r="I766" s="12"/>
      <c r="J766" s="3" t="str">
        <f t="shared" si="27"/>
        <v>1</v>
      </c>
    </row>
    <row r="767" spans="2:10" ht="12.75" hidden="1" customHeight="1">
      <c r="B767" s="34"/>
      <c r="C767" s="10"/>
      <c r="D767" s="33"/>
      <c r="E767" s="33"/>
      <c r="F767" s="33"/>
      <c r="G767" s="33"/>
      <c r="H767" s="72">
        <f t="shared" si="28"/>
        <v>0</v>
      </c>
      <c r="I767" s="12"/>
      <c r="J767" s="3" t="str">
        <f t="shared" si="27"/>
        <v>1</v>
      </c>
    </row>
    <row r="768" spans="2:10" ht="12.75" hidden="1" customHeight="1">
      <c r="B768" s="34"/>
      <c r="C768" s="10"/>
      <c r="D768" s="33"/>
      <c r="E768" s="33"/>
      <c r="F768" s="33"/>
      <c r="G768" s="33"/>
      <c r="H768" s="72">
        <f t="shared" si="28"/>
        <v>0</v>
      </c>
      <c r="I768" s="12"/>
      <c r="J768" s="3" t="str">
        <f t="shared" si="27"/>
        <v>1</v>
      </c>
    </row>
    <row r="769" spans="2:10" ht="12.75" hidden="1" customHeight="1">
      <c r="B769" s="34"/>
      <c r="C769" s="10"/>
      <c r="D769" s="33"/>
      <c r="E769" s="33"/>
      <c r="F769" s="33"/>
      <c r="G769" s="33"/>
      <c r="H769" s="72">
        <f t="shared" si="28"/>
        <v>0</v>
      </c>
      <c r="I769" s="12"/>
      <c r="J769" s="3" t="str">
        <f t="shared" si="27"/>
        <v>1</v>
      </c>
    </row>
    <row r="770" spans="2:10" ht="12.75" hidden="1" customHeight="1">
      <c r="B770" s="34"/>
      <c r="C770" s="10"/>
      <c r="D770" s="33"/>
      <c r="E770" s="33"/>
      <c r="F770" s="33"/>
      <c r="G770" s="33"/>
      <c r="H770" s="72">
        <f t="shared" si="28"/>
        <v>0</v>
      </c>
      <c r="I770" s="12"/>
      <c r="J770" s="3" t="str">
        <f t="shared" si="27"/>
        <v>1</v>
      </c>
    </row>
    <row r="771" spans="2:10" ht="12.75" hidden="1" customHeight="1">
      <c r="B771" s="34"/>
      <c r="C771" s="10"/>
      <c r="D771" s="33"/>
      <c r="E771" s="33"/>
      <c r="F771" s="33"/>
      <c r="G771" s="33"/>
      <c r="H771" s="72">
        <f t="shared" si="28"/>
        <v>0</v>
      </c>
      <c r="I771" s="12"/>
      <c r="J771" s="3" t="str">
        <f t="shared" ref="J771:J834" si="29">TRIM(C771) &amp; (COUNTIFS($C$4:$C$123, C771, $I$4:$I$123, "&gt;"&amp;I771) + 1)</f>
        <v>1</v>
      </c>
    </row>
    <row r="772" spans="2:10" ht="12.75" hidden="1" customHeight="1">
      <c r="B772" s="34"/>
      <c r="C772" s="10"/>
      <c r="D772" s="33"/>
      <c r="E772" s="33"/>
      <c r="F772" s="33"/>
      <c r="G772" s="33"/>
      <c r="H772" s="72">
        <f t="shared" si="28"/>
        <v>0</v>
      </c>
      <c r="I772" s="12"/>
      <c r="J772" s="3" t="str">
        <f t="shared" si="29"/>
        <v>1</v>
      </c>
    </row>
    <row r="773" spans="2:10" ht="12.75" hidden="1" customHeight="1">
      <c r="B773" s="34"/>
      <c r="C773" s="10"/>
      <c r="D773" s="33"/>
      <c r="E773" s="33"/>
      <c r="F773" s="33"/>
      <c r="G773" s="33"/>
      <c r="H773" s="72">
        <f t="shared" ref="H773:H836" si="30">IF(D773=0, COUNTIFS($C$4:$C$123, C773, $B$4:$B$123, "&lt;&gt;"), COUNTIFS($C$4:$C$123, C773, $D$4:$D$123, "&gt;"&amp;D773) + 1)</f>
        <v>0</v>
      </c>
      <c r="I773" s="12"/>
      <c r="J773" s="3" t="str">
        <f t="shared" si="29"/>
        <v>1</v>
      </c>
    </row>
    <row r="774" spans="2:10" ht="12.75" hidden="1" customHeight="1">
      <c r="B774" s="34"/>
      <c r="C774" s="10"/>
      <c r="D774" s="33"/>
      <c r="E774" s="33"/>
      <c r="F774" s="33"/>
      <c r="G774" s="33"/>
      <c r="H774" s="72">
        <f t="shared" si="30"/>
        <v>0</v>
      </c>
      <c r="I774" s="12"/>
      <c r="J774" s="3" t="str">
        <f t="shared" si="29"/>
        <v>1</v>
      </c>
    </row>
    <row r="775" spans="2:10" ht="12.75" hidden="1" customHeight="1">
      <c r="B775" s="34"/>
      <c r="C775" s="10"/>
      <c r="D775" s="33"/>
      <c r="E775" s="33"/>
      <c r="F775" s="33"/>
      <c r="G775" s="33"/>
      <c r="H775" s="72">
        <f t="shared" si="30"/>
        <v>0</v>
      </c>
      <c r="I775" s="12"/>
      <c r="J775" s="3" t="str">
        <f t="shared" si="29"/>
        <v>1</v>
      </c>
    </row>
    <row r="776" spans="2:10" ht="12.75" hidden="1" customHeight="1">
      <c r="B776" s="34"/>
      <c r="C776" s="10"/>
      <c r="D776" s="33"/>
      <c r="E776" s="33"/>
      <c r="F776" s="33"/>
      <c r="G776" s="33"/>
      <c r="H776" s="72">
        <f t="shared" si="30"/>
        <v>0</v>
      </c>
      <c r="I776" s="12"/>
      <c r="J776" s="3" t="str">
        <f t="shared" si="29"/>
        <v>1</v>
      </c>
    </row>
    <row r="777" spans="2:10" ht="12.75" hidden="1" customHeight="1">
      <c r="B777" s="34"/>
      <c r="C777" s="10"/>
      <c r="D777" s="33"/>
      <c r="E777" s="33"/>
      <c r="F777" s="33"/>
      <c r="G777" s="33"/>
      <c r="H777" s="72">
        <f t="shared" si="30"/>
        <v>0</v>
      </c>
      <c r="I777" s="12"/>
      <c r="J777" s="3" t="str">
        <f t="shared" si="29"/>
        <v>1</v>
      </c>
    </row>
    <row r="778" spans="2:10" ht="12.75" hidden="1" customHeight="1">
      <c r="B778" s="34"/>
      <c r="C778" s="10"/>
      <c r="D778" s="33"/>
      <c r="E778" s="33"/>
      <c r="F778" s="33"/>
      <c r="G778" s="33"/>
      <c r="H778" s="72">
        <f t="shared" si="30"/>
        <v>0</v>
      </c>
      <c r="I778" s="12"/>
      <c r="J778" s="3" t="str">
        <f t="shared" si="29"/>
        <v>1</v>
      </c>
    </row>
    <row r="779" spans="2:10" ht="12.75" hidden="1" customHeight="1">
      <c r="B779" s="34"/>
      <c r="C779" s="10"/>
      <c r="D779" s="33"/>
      <c r="E779" s="33"/>
      <c r="F779" s="33"/>
      <c r="G779" s="33"/>
      <c r="H779" s="72">
        <f t="shared" si="30"/>
        <v>0</v>
      </c>
      <c r="I779" s="12"/>
      <c r="J779" s="3" t="str">
        <f t="shared" si="29"/>
        <v>1</v>
      </c>
    </row>
    <row r="780" spans="2:10" ht="12.75" hidden="1" customHeight="1">
      <c r="B780" s="34"/>
      <c r="C780" s="10"/>
      <c r="D780" s="33"/>
      <c r="E780" s="33"/>
      <c r="F780" s="33"/>
      <c r="G780" s="33"/>
      <c r="H780" s="72">
        <f t="shared" si="30"/>
        <v>0</v>
      </c>
      <c r="I780" s="12"/>
      <c r="J780" s="3" t="str">
        <f t="shared" si="29"/>
        <v>1</v>
      </c>
    </row>
    <row r="781" spans="2:10" ht="12.75" hidden="1" customHeight="1">
      <c r="B781" s="34"/>
      <c r="C781" s="10"/>
      <c r="D781" s="33"/>
      <c r="E781" s="33"/>
      <c r="F781" s="33"/>
      <c r="G781" s="33"/>
      <c r="H781" s="72">
        <f t="shared" si="30"/>
        <v>0</v>
      </c>
      <c r="I781" s="12"/>
      <c r="J781" s="3" t="str">
        <f t="shared" si="29"/>
        <v>1</v>
      </c>
    </row>
    <row r="782" spans="2:10" ht="12.75" hidden="1" customHeight="1">
      <c r="B782" s="34"/>
      <c r="C782" s="10"/>
      <c r="D782" s="33"/>
      <c r="E782" s="33"/>
      <c r="F782" s="33"/>
      <c r="G782" s="33"/>
      <c r="H782" s="72">
        <f t="shared" si="30"/>
        <v>0</v>
      </c>
      <c r="I782" s="12"/>
      <c r="J782" s="3" t="str">
        <f t="shared" si="29"/>
        <v>1</v>
      </c>
    </row>
    <row r="783" spans="2:10" ht="12.75" hidden="1" customHeight="1">
      <c r="B783" s="34"/>
      <c r="C783" s="10"/>
      <c r="D783" s="33"/>
      <c r="E783" s="33"/>
      <c r="F783" s="33"/>
      <c r="G783" s="33"/>
      <c r="H783" s="72">
        <f t="shared" si="30"/>
        <v>0</v>
      </c>
      <c r="I783" s="12"/>
      <c r="J783" s="3" t="str">
        <f t="shared" si="29"/>
        <v>1</v>
      </c>
    </row>
    <row r="784" spans="2:10" ht="12.75" hidden="1" customHeight="1">
      <c r="B784" s="34"/>
      <c r="C784" s="10"/>
      <c r="D784" s="33"/>
      <c r="E784" s="33"/>
      <c r="F784" s="33"/>
      <c r="G784" s="33"/>
      <c r="H784" s="72">
        <f t="shared" si="30"/>
        <v>0</v>
      </c>
      <c r="I784" s="12"/>
      <c r="J784" s="3" t="str">
        <f t="shared" si="29"/>
        <v>1</v>
      </c>
    </row>
    <row r="785" spans="2:10" ht="12.75" hidden="1" customHeight="1">
      <c r="B785" s="34"/>
      <c r="C785" s="10"/>
      <c r="D785" s="33"/>
      <c r="E785" s="33"/>
      <c r="F785" s="33"/>
      <c r="G785" s="33"/>
      <c r="H785" s="72">
        <f t="shared" si="30"/>
        <v>0</v>
      </c>
      <c r="I785" s="12"/>
      <c r="J785" s="3" t="str">
        <f t="shared" si="29"/>
        <v>1</v>
      </c>
    </row>
    <row r="786" spans="2:10" ht="12.75" hidden="1" customHeight="1">
      <c r="B786" s="34"/>
      <c r="C786" s="10"/>
      <c r="D786" s="33"/>
      <c r="E786" s="33"/>
      <c r="F786" s="33"/>
      <c r="G786" s="33"/>
      <c r="H786" s="72">
        <f t="shared" si="30"/>
        <v>0</v>
      </c>
      <c r="I786" s="12"/>
      <c r="J786" s="3" t="str">
        <f t="shared" si="29"/>
        <v>1</v>
      </c>
    </row>
    <row r="787" spans="2:10" ht="12.75" hidden="1" customHeight="1">
      <c r="B787" s="34"/>
      <c r="C787" s="10"/>
      <c r="D787" s="33"/>
      <c r="E787" s="33"/>
      <c r="F787" s="33"/>
      <c r="G787" s="33"/>
      <c r="H787" s="72">
        <f t="shared" si="30"/>
        <v>0</v>
      </c>
      <c r="I787" s="12"/>
      <c r="J787" s="3" t="str">
        <f t="shared" si="29"/>
        <v>1</v>
      </c>
    </row>
    <row r="788" spans="2:10" ht="12.75" hidden="1" customHeight="1">
      <c r="B788" s="34"/>
      <c r="C788" s="10"/>
      <c r="D788" s="33"/>
      <c r="E788" s="33"/>
      <c r="F788" s="33"/>
      <c r="G788" s="33"/>
      <c r="H788" s="72">
        <f t="shared" si="30"/>
        <v>0</v>
      </c>
      <c r="I788" s="12"/>
      <c r="J788" s="3" t="str">
        <f t="shared" si="29"/>
        <v>1</v>
      </c>
    </row>
    <row r="789" spans="2:10" ht="12.75" hidden="1" customHeight="1">
      <c r="B789" s="34"/>
      <c r="C789" s="10"/>
      <c r="D789" s="33"/>
      <c r="E789" s="33"/>
      <c r="F789" s="33"/>
      <c r="G789" s="33"/>
      <c r="H789" s="72">
        <f t="shared" si="30"/>
        <v>0</v>
      </c>
      <c r="I789" s="12"/>
      <c r="J789" s="3" t="str">
        <f t="shared" si="29"/>
        <v>1</v>
      </c>
    </row>
    <row r="790" spans="2:10" ht="12.75" hidden="1" customHeight="1">
      <c r="B790" s="34"/>
      <c r="C790" s="10"/>
      <c r="D790" s="33"/>
      <c r="E790" s="33"/>
      <c r="F790" s="33"/>
      <c r="G790" s="33"/>
      <c r="H790" s="72">
        <f t="shared" si="30"/>
        <v>0</v>
      </c>
      <c r="I790" s="12"/>
      <c r="J790" s="3" t="str">
        <f t="shared" si="29"/>
        <v>1</v>
      </c>
    </row>
    <row r="791" spans="2:10" ht="12.75" hidden="1" customHeight="1">
      <c r="B791" s="34"/>
      <c r="C791" s="10"/>
      <c r="D791" s="33"/>
      <c r="E791" s="33"/>
      <c r="F791" s="33"/>
      <c r="G791" s="33"/>
      <c r="H791" s="72">
        <f t="shared" si="30"/>
        <v>0</v>
      </c>
      <c r="I791" s="12"/>
      <c r="J791" s="3" t="str">
        <f t="shared" si="29"/>
        <v>1</v>
      </c>
    </row>
    <row r="792" spans="2:10" ht="12.75" hidden="1" customHeight="1">
      <c r="B792" s="34"/>
      <c r="C792" s="10"/>
      <c r="D792" s="33"/>
      <c r="E792" s="33"/>
      <c r="F792" s="33"/>
      <c r="G792" s="33"/>
      <c r="H792" s="72">
        <f t="shared" si="30"/>
        <v>0</v>
      </c>
      <c r="I792" s="12"/>
      <c r="J792" s="3" t="str">
        <f t="shared" si="29"/>
        <v>1</v>
      </c>
    </row>
    <row r="793" spans="2:10" ht="12.75" hidden="1" customHeight="1">
      <c r="B793" s="34"/>
      <c r="C793" s="10"/>
      <c r="D793" s="33"/>
      <c r="E793" s="33"/>
      <c r="F793" s="33"/>
      <c r="G793" s="33"/>
      <c r="H793" s="72">
        <f t="shared" si="30"/>
        <v>0</v>
      </c>
      <c r="I793" s="12"/>
      <c r="J793" s="3" t="str">
        <f t="shared" si="29"/>
        <v>1</v>
      </c>
    </row>
    <row r="794" spans="2:10" ht="12.75" hidden="1" customHeight="1">
      <c r="B794" s="34"/>
      <c r="C794" s="10"/>
      <c r="D794" s="33"/>
      <c r="E794" s="33"/>
      <c r="F794" s="33"/>
      <c r="G794" s="33"/>
      <c r="H794" s="72">
        <f t="shared" si="30"/>
        <v>0</v>
      </c>
      <c r="I794" s="12"/>
      <c r="J794" s="3" t="str">
        <f t="shared" si="29"/>
        <v>1</v>
      </c>
    </row>
    <row r="795" spans="2:10" ht="12.75" hidden="1" customHeight="1">
      <c r="B795" s="34"/>
      <c r="C795" s="10"/>
      <c r="D795" s="33"/>
      <c r="E795" s="33"/>
      <c r="F795" s="33"/>
      <c r="G795" s="33"/>
      <c r="H795" s="72">
        <f t="shared" si="30"/>
        <v>0</v>
      </c>
      <c r="I795" s="12"/>
      <c r="J795" s="3" t="str">
        <f t="shared" si="29"/>
        <v>1</v>
      </c>
    </row>
    <row r="796" spans="2:10" ht="12.75" hidden="1" customHeight="1">
      <c r="B796" s="34"/>
      <c r="C796" s="10"/>
      <c r="D796" s="33"/>
      <c r="E796" s="33"/>
      <c r="F796" s="33"/>
      <c r="G796" s="33"/>
      <c r="H796" s="72">
        <f t="shared" si="30"/>
        <v>0</v>
      </c>
      <c r="I796" s="12"/>
      <c r="J796" s="3" t="str">
        <f t="shared" si="29"/>
        <v>1</v>
      </c>
    </row>
    <row r="797" spans="2:10" ht="12.75" hidden="1" customHeight="1">
      <c r="B797" s="34"/>
      <c r="C797" s="10"/>
      <c r="D797" s="33"/>
      <c r="E797" s="33"/>
      <c r="F797" s="33"/>
      <c r="G797" s="33"/>
      <c r="H797" s="72">
        <f t="shared" si="30"/>
        <v>0</v>
      </c>
      <c r="I797" s="12"/>
      <c r="J797" s="3" t="str">
        <f t="shared" si="29"/>
        <v>1</v>
      </c>
    </row>
    <row r="798" spans="2:10" ht="12.75" hidden="1" customHeight="1">
      <c r="B798" s="34"/>
      <c r="C798" s="10"/>
      <c r="D798" s="33"/>
      <c r="E798" s="33"/>
      <c r="F798" s="33"/>
      <c r="G798" s="33"/>
      <c r="H798" s="72">
        <f t="shared" si="30"/>
        <v>0</v>
      </c>
      <c r="I798" s="12"/>
      <c r="J798" s="3" t="str">
        <f t="shared" si="29"/>
        <v>1</v>
      </c>
    </row>
    <row r="799" spans="2:10" ht="12.75" hidden="1" customHeight="1">
      <c r="B799" s="34"/>
      <c r="C799" s="10"/>
      <c r="D799" s="33"/>
      <c r="E799" s="33"/>
      <c r="F799" s="33"/>
      <c r="G799" s="33"/>
      <c r="H799" s="72">
        <f t="shared" si="30"/>
        <v>0</v>
      </c>
      <c r="I799" s="12"/>
      <c r="J799" s="3" t="str">
        <f t="shared" si="29"/>
        <v>1</v>
      </c>
    </row>
    <row r="800" spans="2:10" ht="12.75" hidden="1" customHeight="1">
      <c r="B800" s="34"/>
      <c r="C800" s="10"/>
      <c r="D800" s="33"/>
      <c r="E800" s="33"/>
      <c r="F800" s="33"/>
      <c r="G800" s="33"/>
      <c r="H800" s="72">
        <f t="shared" si="30"/>
        <v>0</v>
      </c>
      <c r="I800" s="12"/>
      <c r="J800" s="3" t="str">
        <f t="shared" si="29"/>
        <v>1</v>
      </c>
    </row>
    <row r="801" spans="2:10" ht="12.75" hidden="1" customHeight="1">
      <c r="B801" s="34"/>
      <c r="C801" s="10"/>
      <c r="D801" s="33"/>
      <c r="E801" s="33"/>
      <c r="F801" s="33"/>
      <c r="G801" s="33"/>
      <c r="H801" s="72">
        <f t="shared" si="30"/>
        <v>0</v>
      </c>
      <c r="I801" s="12"/>
      <c r="J801" s="3" t="str">
        <f t="shared" si="29"/>
        <v>1</v>
      </c>
    </row>
    <row r="802" spans="2:10" ht="12.75" hidden="1" customHeight="1">
      <c r="B802" s="34"/>
      <c r="C802" s="10"/>
      <c r="D802" s="33"/>
      <c r="E802" s="33"/>
      <c r="F802" s="33"/>
      <c r="G802" s="33"/>
      <c r="H802" s="72">
        <f t="shared" si="30"/>
        <v>0</v>
      </c>
      <c r="I802" s="12"/>
      <c r="J802" s="3" t="str">
        <f t="shared" si="29"/>
        <v>1</v>
      </c>
    </row>
    <row r="803" spans="2:10" ht="12.75" hidden="1" customHeight="1">
      <c r="B803" s="34"/>
      <c r="C803" s="10"/>
      <c r="D803" s="33"/>
      <c r="E803" s="33"/>
      <c r="F803" s="33"/>
      <c r="G803" s="33"/>
      <c r="H803" s="72">
        <f t="shared" si="30"/>
        <v>0</v>
      </c>
      <c r="I803" s="12"/>
      <c r="J803" s="3" t="str">
        <f t="shared" si="29"/>
        <v>1</v>
      </c>
    </row>
    <row r="804" spans="2:10" ht="12.75" hidden="1" customHeight="1">
      <c r="B804" s="34"/>
      <c r="C804" s="10"/>
      <c r="D804" s="33"/>
      <c r="E804" s="33"/>
      <c r="F804" s="33"/>
      <c r="G804" s="33"/>
      <c r="H804" s="72">
        <f t="shared" si="30"/>
        <v>0</v>
      </c>
      <c r="I804" s="12"/>
      <c r="J804" s="3" t="str">
        <f t="shared" si="29"/>
        <v>1</v>
      </c>
    </row>
    <row r="805" spans="2:10" ht="12.75" hidden="1" customHeight="1">
      <c r="B805" s="34"/>
      <c r="C805" s="10"/>
      <c r="D805" s="33"/>
      <c r="E805" s="33"/>
      <c r="F805" s="33"/>
      <c r="G805" s="33"/>
      <c r="H805" s="72">
        <f t="shared" si="30"/>
        <v>0</v>
      </c>
      <c r="I805" s="12"/>
      <c r="J805" s="3" t="str">
        <f t="shared" si="29"/>
        <v>1</v>
      </c>
    </row>
    <row r="806" spans="2:10" ht="12.75" hidden="1" customHeight="1">
      <c r="B806" s="34"/>
      <c r="C806" s="10"/>
      <c r="D806" s="33"/>
      <c r="E806" s="33"/>
      <c r="F806" s="33"/>
      <c r="G806" s="33"/>
      <c r="H806" s="72">
        <f t="shared" si="30"/>
        <v>0</v>
      </c>
      <c r="I806" s="12"/>
      <c r="J806" s="3" t="str">
        <f t="shared" si="29"/>
        <v>1</v>
      </c>
    </row>
    <row r="807" spans="2:10" ht="12.75" hidden="1" customHeight="1">
      <c r="B807" s="34"/>
      <c r="C807" s="10"/>
      <c r="D807" s="33"/>
      <c r="E807" s="33"/>
      <c r="F807" s="33"/>
      <c r="G807" s="33"/>
      <c r="H807" s="72">
        <f t="shared" si="30"/>
        <v>0</v>
      </c>
      <c r="I807" s="12"/>
      <c r="J807" s="3" t="str">
        <f t="shared" si="29"/>
        <v>1</v>
      </c>
    </row>
    <row r="808" spans="2:10" ht="12.75" hidden="1" customHeight="1">
      <c r="B808" s="34"/>
      <c r="C808" s="10"/>
      <c r="D808" s="33"/>
      <c r="E808" s="33"/>
      <c r="F808" s="33"/>
      <c r="G808" s="33"/>
      <c r="H808" s="72">
        <f t="shared" si="30"/>
        <v>0</v>
      </c>
      <c r="I808" s="12"/>
      <c r="J808" s="3" t="str">
        <f t="shared" si="29"/>
        <v>1</v>
      </c>
    </row>
    <row r="809" spans="2:10" ht="12.75" hidden="1" customHeight="1">
      <c r="B809" s="34"/>
      <c r="C809" s="10"/>
      <c r="D809" s="33"/>
      <c r="E809" s="33"/>
      <c r="F809" s="33"/>
      <c r="G809" s="33"/>
      <c r="H809" s="72">
        <f t="shared" si="30"/>
        <v>0</v>
      </c>
      <c r="I809" s="12"/>
      <c r="J809" s="3" t="str">
        <f t="shared" si="29"/>
        <v>1</v>
      </c>
    </row>
    <row r="810" spans="2:10" ht="12.75" hidden="1" customHeight="1">
      <c r="B810" s="34"/>
      <c r="C810" s="10"/>
      <c r="D810" s="33"/>
      <c r="E810" s="33"/>
      <c r="F810" s="33"/>
      <c r="G810" s="33"/>
      <c r="H810" s="72">
        <f t="shared" si="30"/>
        <v>0</v>
      </c>
      <c r="I810" s="12"/>
      <c r="J810" s="3" t="str">
        <f t="shared" si="29"/>
        <v>1</v>
      </c>
    </row>
    <row r="811" spans="2:10" ht="12.75" hidden="1" customHeight="1">
      <c r="B811" s="34"/>
      <c r="C811" s="10"/>
      <c r="D811" s="33"/>
      <c r="E811" s="33"/>
      <c r="F811" s="33"/>
      <c r="G811" s="33"/>
      <c r="H811" s="72">
        <f t="shared" si="30"/>
        <v>0</v>
      </c>
      <c r="I811" s="12"/>
      <c r="J811" s="3" t="str">
        <f t="shared" si="29"/>
        <v>1</v>
      </c>
    </row>
    <row r="812" spans="2:10" ht="12.75" hidden="1" customHeight="1">
      <c r="B812" s="34"/>
      <c r="C812" s="10"/>
      <c r="D812" s="33"/>
      <c r="E812" s="33"/>
      <c r="F812" s="33"/>
      <c r="G812" s="33"/>
      <c r="H812" s="72">
        <f t="shared" si="30"/>
        <v>0</v>
      </c>
      <c r="I812" s="12"/>
      <c r="J812" s="3" t="str">
        <f t="shared" si="29"/>
        <v>1</v>
      </c>
    </row>
    <row r="813" spans="2:10" ht="12.75" hidden="1" customHeight="1">
      <c r="B813" s="34"/>
      <c r="C813" s="10"/>
      <c r="D813" s="33"/>
      <c r="E813" s="33"/>
      <c r="F813" s="33"/>
      <c r="G813" s="33"/>
      <c r="H813" s="72">
        <f t="shared" si="30"/>
        <v>0</v>
      </c>
      <c r="I813" s="12"/>
      <c r="J813" s="3" t="str">
        <f t="shared" si="29"/>
        <v>1</v>
      </c>
    </row>
    <row r="814" spans="2:10" ht="12.75" hidden="1" customHeight="1">
      <c r="B814" s="34"/>
      <c r="C814" s="10"/>
      <c r="D814" s="33"/>
      <c r="E814" s="33"/>
      <c r="F814" s="33"/>
      <c r="G814" s="33"/>
      <c r="H814" s="72">
        <f t="shared" si="30"/>
        <v>0</v>
      </c>
      <c r="I814" s="12"/>
      <c r="J814" s="3" t="str">
        <f t="shared" si="29"/>
        <v>1</v>
      </c>
    </row>
    <row r="815" spans="2:10" ht="12.75" hidden="1" customHeight="1">
      <c r="B815" s="34"/>
      <c r="C815" s="10"/>
      <c r="D815" s="33"/>
      <c r="E815" s="33"/>
      <c r="F815" s="33"/>
      <c r="G815" s="33"/>
      <c r="H815" s="72">
        <f t="shared" si="30"/>
        <v>0</v>
      </c>
      <c r="I815" s="12"/>
      <c r="J815" s="3" t="str">
        <f t="shared" si="29"/>
        <v>1</v>
      </c>
    </row>
    <row r="816" spans="2:10" ht="12.75" hidden="1" customHeight="1">
      <c r="B816" s="34"/>
      <c r="C816" s="10"/>
      <c r="D816" s="33"/>
      <c r="E816" s="33"/>
      <c r="F816" s="33"/>
      <c r="G816" s="33"/>
      <c r="H816" s="72">
        <f t="shared" si="30"/>
        <v>0</v>
      </c>
      <c r="I816" s="12"/>
      <c r="J816" s="3" t="str">
        <f t="shared" si="29"/>
        <v>1</v>
      </c>
    </row>
    <row r="817" spans="2:10" ht="12.75" hidden="1" customHeight="1">
      <c r="B817" s="34"/>
      <c r="C817" s="10"/>
      <c r="D817" s="33"/>
      <c r="E817" s="33"/>
      <c r="F817" s="33"/>
      <c r="G817" s="33"/>
      <c r="H817" s="72">
        <f t="shared" si="30"/>
        <v>0</v>
      </c>
      <c r="I817" s="12"/>
      <c r="J817" s="3" t="str">
        <f t="shared" si="29"/>
        <v>1</v>
      </c>
    </row>
    <row r="818" spans="2:10" ht="12.75" hidden="1" customHeight="1">
      <c r="B818" s="34"/>
      <c r="C818" s="10"/>
      <c r="D818" s="33"/>
      <c r="E818" s="33"/>
      <c r="F818" s="33"/>
      <c r="G818" s="33"/>
      <c r="H818" s="72">
        <f t="shared" si="30"/>
        <v>0</v>
      </c>
      <c r="I818" s="12"/>
      <c r="J818" s="3" t="str">
        <f t="shared" si="29"/>
        <v>1</v>
      </c>
    </row>
    <row r="819" spans="2:10" ht="12.75" hidden="1" customHeight="1">
      <c r="B819" s="34"/>
      <c r="C819" s="10"/>
      <c r="D819" s="33"/>
      <c r="E819" s="33"/>
      <c r="F819" s="33"/>
      <c r="G819" s="33"/>
      <c r="H819" s="72">
        <f t="shared" si="30"/>
        <v>0</v>
      </c>
      <c r="I819" s="12"/>
      <c r="J819" s="3" t="str">
        <f t="shared" si="29"/>
        <v>1</v>
      </c>
    </row>
    <row r="820" spans="2:10" ht="12.75" hidden="1" customHeight="1">
      <c r="B820" s="34"/>
      <c r="C820" s="10"/>
      <c r="D820" s="33"/>
      <c r="E820" s="33"/>
      <c r="F820" s="33"/>
      <c r="G820" s="33"/>
      <c r="H820" s="72">
        <f t="shared" si="30"/>
        <v>0</v>
      </c>
      <c r="I820" s="12"/>
      <c r="J820" s="3" t="str">
        <f t="shared" si="29"/>
        <v>1</v>
      </c>
    </row>
    <row r="821" spans="2:10" ht="12.75" hidden="1" customHeight="1">
      <c r="B821" s="34"/>
      <c r="C821" s="10"/>
      <c r="D821" s="33"/>
      <c r="E821" s="33"/>
      <c r="F821" s="33"/>
      <c r="G821" s="33"/>
      <c r="H821" s="72">
        <f t="shared" si="30"/>
        <v>0</v>
      </c>
      <c r="I821" s="12"/>
      <c r="J821" s="3" t="str">
        <f t="shared" si="29"/>
        <v>1</v>
      </c>
    </row>
    <row r="822" spans="2:10" ht="12.75" hidden="1" customHeight="1">
      <c r="B822" s="34"/>
      <c r="C822" s="10"/>
      <c r="D822" s="33"/>
      <c r="E822" s="33"/>
      <c r="F822" s="33"/>
      <c r="G822" s="33"/>
      <c r="H822" s="72">
        <f t="shared" si="30"/>
        <v>0</v>
      </c>
      <c r="I822" s="12"/>
      <c r="J822" s="3" t="str">
        <f t="shared" si="29"/>
        <v>1</v>
      </c>
    </row>
    <row r="823" spans="2:10" ht="12.75" hidden="1" customHeight="1">
      <c r="B823" s="34"/>
      <c r="C823" s="10"/>
      <c r="D823" s="33"/>
      <c r="E823" s="33"/>
      <c r="F823" s="33"/>
      <c r="G823" s="33"/>
      <c r="H823" s="72">
        <f t="shared" si="30"/>
        <v>0</v>
      </c>
      <c r="I823" s="12"/>
      <c r="J823" s="3" t="str">
        <f t="shared" si="29"/>
        <v>1</v>
      </c>
    </row>
    <row r="824" spans="2:10" ht="12.75" hidden="1" customHeight="1">
      <c r="B824" s="34"/>
      <c r="C824" s="10"/>
      <c r="D824" s="33"/>
      <c r="E824" s="33"/>
      <c r="F824" s="33"/>
      <c r="G824" s="33"/>
      <c r="H824" s="72">
        <f t="shared" si="30"/>
        <v>0</v>
      </c>
      <c r="I824" s="12"/>
      <c r="J824" s="3" t="str">
        <f t="shared" si="29"/>
        <v>1</v>
      </c>
    </row>
    <row r="825" spans="2:10" ht="12.75" hidden="1" customHeight="1">
      <c r="B825" s="34"/>
      <c r="C825" s="10"/>
      <c r="D825" s="33"/>
      <c r="E825" s="33"/>
      <c r="F825" s="33"/>
      <c r="G825" s="33"/>
      <c r="H825" s="72">
        <f t="shared" si="30"/>
        <v>0</v>
      </c>
      <c r="I825" s="12"/>
      <c r="J825" s="3" t="str">
        <f t="shared" si="29"/>
        <v>1</v>
      </c>
    </row>
    <row r="826" spans="2:10" ht="12.75" hidden="1" customHeight="1">
      <c r="B826" s="34"/>
      <c r="C826" s="10"/>
      <c r="D826" s="33"/>
      <c r="E826" s="33"/>
      <c r="F826" s="33"/>
      <c r="G826" s="33"/>
      <c r="H826" s="72">
        <f t="shared" si="30"/>
        <v>0</v>
      </c>
      <c r="I826" s="12"/>
      <c r="J826" s="3" t="str">
        <f t="shared" si="29"/>
        <v>1</v>
      </c>
    </row>
    <row r="827" spans="2:10" ht="12.75" hidden="1" customHeight="1">
      <c r="B827" s="34"/>
      <c r="C827" s="10"/>
      <c r="D827" s="33"/>
      <c r="E827" s="33"/>
      <c r="F827" s="33"/>
      <c r="G827" s="33"/>
      <c r="H827" s="72">
        <f t="shared" si="30"/>
        <v>0</v>
      </c>
      <c r="I827" s="12"/>
      <c r="J827" s="3" t="str">
        <f t="shared" si="29"/>
        <v>1</v>
      </c>
    </row>
    <row r="828" spans="2:10" ht="12.75" hidden="1" customHeight="1">
      <c r="B828" s="34"/>
      <c r="C828" s="10"/>
      <c r="D828" s="33"/>
      <c r="E828" s="33"/>
      <c r="F828" s="33"/>
      <c r="G828" s="33"/>
      <c r="H828" s="72">
        <f t="shared" si="30"/>
        <v>0</v>
      </c>
      <c r="I828" s="12"/>
      <c r="J828" s="3" t="str">
        <f t="shared" si="29"/>
        <v>1</v>
      </c>
    </row>
    <row r="829" spans="2:10" ht="12.75" hidden="1" customHeight="1">
      <c r="B829" s="34"/>
      <c r="C829" s="10"/>
      <c r="D829" s="33"/>
      <c r="E829" s="33"/>
      <c r="F829" s="33"/>
      <c r="G829" s="33"/>
      <c r="H829" s="72">
        <f t="shared" si="30"/>
        <v>0</v>
      </c>
      <c r="I829" s="12"/>
      <c r="J829" s="3" t="str">
        <f t="shared" si="29"/>
        <v>1</v>
      </c>
    </row>
    <row r="830" spans="2:10" ht="12.75" hidden="1" customHeight="1">
      <c r="B830" s="34"/>
      <c r="C830" s="10"/>
      <c r="D830" s="33"/>
      <c r="E830" s="33"/>
      <c r="F830" s="33"/>
      <c r="G830" s="33"/>
      <c r="H830" s="72">
        <f t="shared" si="30"/>
        <v>0</v>
      </c>
      <c r="I830" s="12"/>
      <c r="J830" s="3" t="str">
        <f t="shared" si="29"/>
        <v>1</v>
      </c>
    </row>
    <row r="831" spans="2:10" ht="12.75" hidden="1" customHeight="1">
      <c r="B831" s="34"/>
      <c r="C831" s="10"/>
      <c r="D831" s="33"/>
      <c r="E831" s="33"/>
      <c r="F831" s="33"/>
      <c r="G831" s="33"/>
      <c r="H831" s="72">
        <f t="shared" si="30"/>
        <v>0</v>
      </c>
      <c r="I831" s="12"/>
      <c r="J831" s="3" t="str">
        <f t="shared" si="29"/>
        <v>1</v>
      </c>
    </row>
    <row r="832" spans="2:10" ht="12.75" hidden="1" customHeight="1">
      <c r="B832" s="34"/>
      <c r="C832" s="10"/>
      <c r="D832" s="33"/>
      <c r="E832" s="33"/>
      <c r="F832" s="33"/>
      <c r="G832" s="33"/>
      <c r="H832" s="72">
        <f t="shared" si="30"/>
        <v>0</v>
      </c>
      <c r="I832" s="12"/>
      <c r="J832" s="3" t="str">
        <f t="shared" si="29"/>
        <v>1</v>
      </c>
    </row>
    <row r="833" spans="2:10" ht="12.75" hidden="1" customHeight="1">
      <c r="B833" s="34"/>
      <c r="C833" s="10"/>
      <c r="D833" s="33"/>
      <c r="E833" s="33"/>
      <c r="F833" s="33"/>
      <c r="G833" s="33"/>
      <c r="H833" s="72">
        <f t="shared" si="30"/>
        <v>0</v>
      </c>
      <c r="I833" s="12"/>
      <c r="J833" s="3" t="str">
        <f t="shared" si="29"/>
        <v>1</v>
      </c>
    </row>
    <row r="834" spans="2:10" ht="12.75" hidden="1" customHeight="1">
      <c r="B834" s="34"/>
      <c r="C834" s="10"/>
      <c r="D834" s="33"/>
      <c r="E834" s="33"/>
      <c r="F834" s="33"/>
      <c r="G834" s="33"/>
      <c r="H834" s="72">
        <f t="shared" si="30"/>
        <v>0</v>
      </c>
      <c r="I834" s="12"/>
      <c r="J834" s="3" t="str">
        <f t="shared" si="29"/>
        <v>1</v>
      </c>
    </row>
    <row r="835" spans="2:10" ht="12.75" hidden="1" customHeight="1">
      <c r="B835" s="34"/>
      <c r="C835" s="10"/>
      <c r="D835" s="33"/>
      <c r="E835" s="33"/>
      <c r="F835" s="33"/>
      <c r="G835" s="33"/>
      <c r="H835" s="72">
        <f t="shared" si="30"/>
        <v>0</v>
      </c>
      <c r="I835" s="12"/>
      <c r="J835" s="3" t="str">
        <f t="shared" ref="J835:J898" si="31">TRIM(C835) &amp; (COUNTIFS($C$4:$C$123, C835, $I$4:$I$123, "&gt;"&amp;I835) + 1)</f>
        <v>1</v>
      </c>
    </row>
    <row r="836" spans="2:10" ht="12.75" hidden="1" customHeight="1">
      <c r="B836" s="34"/>
      <c r="C836" s="10"/>
      <c r="D836" s="33"/>
      <c r="E836" s="33"/>
      <c r="F836" s="33"/>
      <c r="G836" s="33"/>
      <c r="H836" s="72">
        <f t="shared" si="30"/>
        <v>0</v>
      </c>
      <c r="I836" s="12"/>
      <c r="J836" s="3" t="str">
        <f t="shared" si="31"/>
        <v>1</v>
      </c>
    </row>
    <row r="837" spans="2:10" ht="12.75" hidden="1" customHeight="1">
      <c r="B837" s="34"/>
      <c r="C837" s="10"/>
      <c r="D837" s="33"/>
      <c r="E837" s="33"/>
      <c r="F837" s="33"/>
      <c r="G837" s="33"/>
      <c r="H837" s="72">
        <f t="shared" ref="H837:H900" si="32">IF(D837=0, COUNTIFS($C$4:$C$123, C837, $B$4:$B$123, "&lt;&gt;"), COUNTIFS($C$4:$C$123, C837, $D$4:$D$123, "&gt;"&amp;D837) + 1)</f>
        <v>0</v>
      </c>
      <c r="I837" s="12"/>
      <c r="J837" s="3" t="str">
        <f t="shared" si="31"/>
        <v>1</v>
      </c>
    </row>
    <row r="838" spans="2:10" ht="12.75" hidden="1" customHeight="1">
      <c r="B838" s="34"/>
      <c r="C838" s="10"/>
      <c r="D838" s="33"/>
      <c r="E838" s="33"/>
      <c r="F838" s="33"/>
      <c r="G838" s="33"/>
      <c r="H838" s="72">
        <f t="shared" si="32"/>
        <v>0</v>
      </c>
      <c r="I838" s="12"/>
      <c r="J838" s="3" t="str">
        <f t="shared" si="31"/>
        <v>1</v>
      </c>
    </row>
    <row r="839" spans="2:10" ht="12.75" hidden="1" customHeight="1">
      <c r="B839" s="34"/>
      <c r="C839" s="10"/>
      <c r="D839" s="33"/>
      <c r="E839" s="33"/>
      <c r="F839" s="33"/>
      <c r="G839" s="33"/>
      <c r="H839" s="72">
        <f t="shared" si="32"/>
        <v>0</v>
      </c>
      <c r="I839" s="12"/>
      <c r="J839" s="3" t="str">
        <f t="shared" si="31"/>
        <v>1</v>
      </c>
    </row>
    <row r="840" spans="2:10" ht="12.75" hidden="1" customHeight="1">
      <c r="B840" s="34"/>
      <c r="C840" s="10"/>
      <c r="D840" s="33"/>
      <c r="E840" s="33"/>
      <c r="F840" s="33"/>
      <c r="G840" s="33"/>
      <c r="H840" s="72">
        <f t="shared" si="32"/>
        <v>0</v>
      </c>
      <c r="I840" s="12"/>
      <c r="J840" s="3" t="str">
        <f t="shared" si="31"/>
        <v>1</v>
      </c>
    </row>
    <row r="841" spans="2:10" ht="12.75" hidden="1" customHeight="1">
      <c r="B841" s="34"/>
      <c r="C841" s="10"/>
      <c r="D841" s="33"/>
      <c r="E841" s="33"/>
      <c r="F841" s="33"/>
      <c r="G841" s="33"/>
      <c r="H841" s="72">
        <f t="shared" si="32"/>
        <v>0</v>
      </c>
      <c r="I841" s="12"/>
      <c r="J841" s="3" t="str">
        <f t="shared" si="31"/>
        <v>1</v>
      </c>
    </row>
    <row r="842" spans="2:10" ht="12.75" hidden="1" customHeight="1">
      <c r="B842" s="34"/>
      <c r="C842" s="10"/>
      <c r="D842" s="33"/>
      <c r="E842" s="33"/>
      <c r="F842" s="33"/>
      <c r="G842" s="33"/>
      <c r="H842" s="72">
        <f t="shared" si="32"/>
        <v>0</v>
      </c>
      <c r="I842" s="12"/>
      <c r="J842" s="3" t="str">
        <f t="shared" si="31"/>
        <v>1</v>
      </c>
    </row>
    <row r="843" spans="2:10" ht="12.75" hidden="1" customHeight="1">
      <c r="B843" s="34"/>
      <c r="C843" s="10"/>
      <c r="D843" s="33"/>
      <c r="E843" s="33"/>
      <c r="F843" s="33"/>
      <c r="G843" s="33"/>
      <c r="H843" s="72">
        <f t="shared" si="32"/>
        <v>0</v>
      </c>
      <c r="I843" s="12"/>
      <c r="J843" s="3" t="str">
        <f t="shared" si="31"/>
        <v>1</v>
      </c>
    </row>
    <row r="844" spans="2:10" ht="12.75" hidden="1" customHeight="1">
      <c r="B844" s="34"/>
      <c r="C844" s="10"/>
      <c r="D844" s="33"/>
      <c r="E844" s="33"/>
      <c r="F844" s="33"/>
      <c r="G844" s="33"/>
      <c r="H844" s="72">
        <f t="shared" si="32"/>
        <v>0</v>
      </c>
      <c r="I844" s="12"/>
      <c r="J844" s="3" t="str">
        <f t="shared" si="31"/>
        <v>1</v>
      </c>
    </row>
    <row r="845" spans="2:10" ht="12.75" hidden="1" customHeight="1">
      <c r="B845" s="34"/>
      <c r="C845" s="10"/>
      <c r="D845" s="33"/>
      <c r="E845" s="33"/>
      <c r="F845" s="33"/>
      <c r="G845" s="33"/>
      <c r="H845" s="72">
        <f t="shared" si="32"/>
        <v>0</v>
      </c>
      <c r="I845" s="12"/>
      <c r="J845" s="3" t="str">
        <f t="shared" si="31"/>
        <v>1</v>
      </c>
    </row>
    <row r="846" spans="2:10" ht="12.75" hidden="1" customHeight="1">
      <c r="B846" s="34"/>
      <c r="C846" s="10"/>
      <c r="D846" s="33"/>
      <c r="E846" s="33"/>
      <c r="F846" s="33"/>
      <c r="G846" s="33"/>
      <c r="H846" s="72">
        <f t="shared" si="32"/>
        <v>0</v>
      </c>
      <c r="I846" s="12"/>
      <c r="J846" s="3" t="str">
        <f t="shared" si="31"/>
        <v>1</v>
      </c>
    </row>
    <row r="847" spans="2:10" ht="12.75" hidden="1" customHeight="1">
      <c r="B847" s="34"/>
      <c r="C847" s="10"/>
      <c r="D847" s="33"/>
      <c r="E847" s="33"/>
      <c r="F847" s="33"/>
      <c r="G847" s="33"/>
      <c r="H847" s="72">
        <f t="shared" si="32"/>
        <v>0</v>
      </c>
      <c r="I847" s="12"/>
      <c r="J847" s="3" t="str">
        <f t="shared" si="31"/>
        <v>1</v>
      </c>
    </row>
    <row r="848" spans="2:10" ht="12.75" hidden="1" customHeight="1">
      <c r="B848" s="34"/>
      <c r="C848" s="10"/>
      <c r="D848" s="33"/>
      <c r="E848" s="33"/>
      <c r="F848" s="33"/>
      <c r="G848" s="33"/>
      <c r="H848" s="72">
        <f t="shared" si="32"/>
        <v>0</v>
      </c>
      <c r="I848" s="12"/>
      <c r="J848" s="3" t="str">
        <f t="shared" si="31"/>
        <v>1</v>
      </c>
    </row>
    <row r="849" spans="2:10" ht="12.75" hidden="1" customHeight="1">
      <c r="B849" s="34"/>
      <c r="C849" s="10"/>
      <c r="D849" s="33"/>
      <c r="E849" s="33"/>
      <c r="F849" s="33"/>
      <c r="G849" s="33"/>
      <c r="H849" s="72">
        <f t="shared" si="32"/>
        <v>0</v>
      </c>
      <c r="I849" s="12"/>
      <c r="J849" s="3" t="str">
        <f t="shared" si="31"/>
        <v>1</v>
      </c>
    </row>
    <row r="850" spans="2:10" ht="12.75" hidden="1" customHeight="1">
      <c r="B850" s="34"/>
      <c r="C850" s="10"/>
      <c r="D850" s="33"/>
      <c r="E850" s="33"/>
      <c r="F850" s="33"/>
      <c r="G850" s="33"/>
      <c r="H850" s="72">
        <f t="shared" si="32"/>
        <v>0</v>
      </c>
      <c r="I850" s="12"/>
      <c r="J850" s="3" t="str">
        <f t="shared" si="31"/>
        <v>1</v>
      </c>
    </row>
    <row r="851" spans="2:10" ht="12.75" hidden="1" customHeight="1">
      <c r="B851" s="34"/>
      <c r="C851" s="10"/>
      <c r="D851" s="33"/>
      <c r="E851" s="33"/>
      <c r="F851" s="33"/>
      <c r="G851" s="33"/>
      <c r="H851" s="72">
        <f t="shared" si="32"/>
        <v>0</v>
      </c>
      <c r="I851" s="12"/>
      <c r="J851" s="3" t="str">
        <f t="shared" si="31"/>
        <v>1</v>
      </c>
    </row>
    <row r="852" spans="2:10" ht="12.75" hidden="1" customHeight="1">
      <c r="B852" s="34"/>
      <c r="C852" s="10"/>
      <c r="D852" s="33"/>
      <c r="E852" s="33"/>
      <c r="F852" s="33"/>
      <c r="G852" s="33"/>
      <c r="H852" s="72">
        <f t="shared" si="32"/>
        <v>0</v>
      </c>
      <c r="I852" s="12"/>
      <c r="J852" s="3" t="str">
        <f t="shared" si="31"/>
        <v>1</v>
      </c>
    </row>
    <row r="853" spans="2:10" ht="12.75" hidden="1" customHeight="1">
      <c r="B853" s="34"/>
      <c r="C853" s="10"/>
      <c r="D853" s="33"/>
      <c r="E853" s="33"/>
      <c r="F853" s="33"/>
      <c r="G853" s="33"/>
      <c r="H853" s="72">
        <f t="shared" si="32"/>
        <v>0</v>
      </c>
      <c r="I853" s="12"/>
      <c r="J853" s="3" t="str">
        <f t="shared" si="31"/>
        <v>1</v>
      </c>
    </row>
    <row r="854" spans="2:10" ht="12.75" hidden="1" customHeight="1">
      <c r="B854" s="34"/>
      <c r="C854" s="10"/>
      <c r="D854" s="33"/>
      <c r="E854" s="33"/>
      <c r="F854" s="33"/>
      <c r="G854" s="33"/>
      <c r="H854" s="72">
        <f t="shared" si="32"/>
        <v>0</v>
      </c>
      <c r="I854" s="12"/>
      <c r="J854" s="3" t="str">
        <f t="shared" si="31"/>
        <v>1</v>
      </c>
    </row>
    <row r="855" spans="2:10" ht="12.75" hidden="1" customHeight="1">
      <c r="B855" s="34"/>
      <c r="C855" s="10"/>
      <c r="D855" s="33"/>
      <c r="E855" s="33"/>
      <c r="F855" s="33"/>
      <c r="G855" s="33"/>
      <c r="H855" s="72">
        <f t="shared" si="32"/>
        <v>0</v>
      </c>
      <c r="I855" s="12"/>
      <c r="J855" s="3" t="str">
        <f t="shared" si="31"/>
        <v>1</v>
      </c>
    </row>
    <row r="856" spans="2:10" ht="12.75" hidden="1" customHeight="1">
      <c r="B856" s="34"/>
      <c r="C856" s="10"/>
      <c r="D856" s="33"/>
      <c r="E856" s="33"/>
      <c r="F856" s="33"/>
      <c r="G856" s="33"/>
      <c r="H856" s="72">
        <f t="shared" si="32"/>
        <v>0</v>
      </c>
      <c r="I856" s="12"/>
      <c r="J856" s="3" t="str">
        <f t="shared" si="31"/>
        <v>1</v>
      </c>
    </row>
    <row r="857" spans="2:10" ht="12.75" hidden="1" customHeight="1">
      <c r="B857" s="34"/>
      <c r="C857" s="10"/>
      <c r="D857" s="33"/>
      <c r="E857" s="33"/>
      <c r="F857" s="33"/>
      <c r="G857" s="33"/>
      <c r="H857" s="72">
        <f t="shared" si="32"/>
        <v>0</v>
      </c>
      <c r="I857" s="12"/>
      <c r="J857" s="3" t="str">
        <f t="shared" si="31"/>
        <v>1</v>
      </c>
    </row>
    <row r="858" spans="2:10" ht="12.75" hidden="1" customHeight="1">
      <c r="B858" s="34"/>
      <c r="C858" s="10"/>
      <c r="D858" s="33"/>
      <c r="E858" s="33"/>
      <c r="F858" s="33"/>
      <c r="G858" s="33"/>
      <c r="H858" s="72">
        <f t="shared" si="32"/>
        <v>0</v>
      </c>
      <c r="I858" s="12"/>
      <c r="J858" s="3" t="str">
        <f t="shared" si="31"/>
        <v>1</v>
      </c>
    </row>
    <row r="859" spans="2:10" ht="12.75" hidden="1" customHeight="1">
      <c r="B859" s="34"/>
      <c r="C859" s="10"/>
      <c r="D859" s="33"/>
      <c r="E859" s="33"/>
      <c r="F859" s="33"/>
      <c r="G859" s="33"/>
      <c r="H859" s="72">
        <f t="shared" si="32"/>
        <v>0</v>
      </c>
      <c r="I859" s="12"/>
      <c r="J859" s="3" t="str">
        <f t="shared" si="31"/>
        <v>1</v>
      </c>
    </row>
    <row r="860" spans="2:10" ht="12.75" hidden="1" customHeight="1">
      <c r="B860" s="34"/>
      <c r="C860" s="10"/>
      <c r="D860" s="33"/>
      <c r="E860" s="33"/>
      <c r="F860" s="33"/>
      <c r="G860" s="33"/>
      <c r="H860" s="72">
        <f t="shared" si="32"/>
        <v>0</v>
      </c>
      <c r="I860" s="12"/>
      <c r="J860" s="3" t="str">
        <f t="shared" si="31"/>
        <v>1</v>
      </c>
    </row>
    <row r="861" spans="2:10" ht="12.75" hidden="1" customHeight="1">
      <c r="B861" s="34"/>
      <c r="C861" s="10"/>
      <c r="D861" s="33"/>
      <c r="E861" s="33"/>
      <c r="F861" s="33"/>
      <c r="G861" s="33"/>
      <c r="H861" s="72">
        <f t="shared" si="32"/>
        <v>0</v>
      </c>
      <c r="I861" s="12"/>
      <c r="J861" s="3" t="str">
        <f t="shared" si="31"/>
        <v>1</v>
      </c>
    </row>
    <row r="862" spans="2:10" ht="12.75" hidden="1" customHeight="1">
      <c r="B862" s="34"/>
      <c r="C862" s="10"/>
      <c r="D862" s="33"/>
      <c r="E862" s="33"/>
      <c r="F862" s="33"/>
      <c r="G862" s="33"/>
      <c r="H862" s="72">
        <f t="shared" si="32"/>
        <v>0</v>
      </c>
      <c r="I862" s="12"/>
      <c r="J862" s="3" t="str">
        <f t="shared" si="31"/>
        <v>1</v>
      </c>
    </row>
    <row r="863" spans="2:10" ht="12.75" hidden="1" customHeight="1">
      <c r="B863" s="34"/>
      <c r="C863" s="10"/>
      <c r="D863" s="33"/>
      <c r="E863" s="33"/>
      <c r="F863" s="33"/>
      <c r="G863" s="33"/>
      <c r="H863" s="72">
        <f t="shared" si="32"/>
        <v>0</v>
      </c>
      <c r="I863" s="12"/>
      <c r="J863" s="3" t="str">
        <f t="shared" si="31"/>
        <v>1</v>
      </c>
    </row>
    <row r="864" spans="2:10" ht="12.75" hidden="1" customHeight="1">
      <c r="B864" s="34"/>
      <c r="C864" s="10"/>
      <c r="D864" s="33"/>
      <c r="E864" s="33"/>
      <c r="F864" s="33"/>
      <c r="G864" s="33"/>
      <c r="H864" s="72">
        <f t="shared" si="32"/>
        <v>0</v>
      </c>
      <c r="I864" s="12"/>
      <c r="J864" s="3" t="str">
        <f t="shared" si="31"/>
        <v>1</v>
      </c>
    </row>
    <row r="865" spans="2:10" ht="12.75" hidden="1" customHeight="1">
      <c r="B865" s="34"/>
      <c r="C865" s="10"/>
      <c r="D865" s="33"/>
      <c r="E865" s="33"/>
      <c r="F865" s="33"/>
      <c r="G865" s="33"/>
      <c r="H865" s="72">
        <f t="shared" si="32"/>
        <v>0</v>
      </c>
      <c r="I865" s="12"/>
      <c r="J865" s="3" t="str">
        <f t="shared" si="31"/>
        <v>1</v>
      </c>
    </row>
    <row r="866" spans="2:10" ht="12.75" hidden="1" customHeight="1">
      <c r="B866" s="34"/>
      <c r="C866" s="10"/>
      <c r="D866" s="33"/>
      <c r="E866" s="33"/>
      <c r="F866" s="33"/>
      <c r="G866" s="33"/>
      <c r="H866" s="72">
        <f t="shared" si="32"/>
        <v>0</v>
      </c>
      <c r="I866" s="12"/>
      <c r="J866" s="3" t="str">
        <f t="shared" si="31"/>
        <v>1</v>
      </c>
    </row>
    <row r="867" spans="2:10" ht="12.75" hidden="1" customHeight="1">
      <c r="B867" s="34"/>
      <c r="C867" s="10"/>
      <c r="D867" s="33"/>
      <c r="E867" s="33"/>
      <c r="F867" s="33"/>
      <c r="G867" s="33"/>
      <c r="H867" s="72">
        <f t="shared" si="32"/>
        <v>0</v>
      </c>
      <c r="I867" s="12"/>
      <c r="J867" s="3" t="str">
        <f t="shared" si="31"/>
        <v>1</v>
      </c>
    </row>
    <row r="868" spans="2:10" ht="12.75" hidden="1" customHeight="1">
      <c r="B868" s="34"/>
      <c r="C868" s="10"/>
      <c r="D868" s="33"/>
      <c r="E868" s="33"/>
      <c r="F868" s="33"/>
      <c r="G868" s="33"/>
      <c r="H868" s="72">
        <f t="shared" si="32"/>
        <v>0</v>
      </c>
      <c r="I868" s="12"/>
      <c r="J868" s="3" t="str">
        <f t="shared" si="31"/>
        <v>1</v>
      </c>
    </row>
    <row r="869" spans="2:10" ht="12.75" hidden="1" customHeight="1">
      <c r="B869" s="34"/>
      <c r="C869" s="10"/>
      <c r="D869" s="33"/>
      <c r="E869" s="33"/>
      <c r="F869" s="33"/>
      <c r="G869" s="33"/>
      <c r="H869" s="72">
        <f t="shared" si="32"/>
        <v>0</v>
      </c>
      <c r="I869" s="12"/>
      <c r="J869" s="3" t="str">
        <f t="shared" si="31"/>
        <v>1</v>
      </c>
    </row>
    <row r="870" spans="2:10" ht="12.75" hidden="1" customHeight="1">
      <c r="B870" s="34"/>
      <c r="C870" s="10"/>
      <c r="D870" s="33"/>
      <c r="E870" s="33"/>
      <c r="F870" s="33"/>
      <c r="G870" s="33"/>
      <c r="H870" s="72">
        <f t="shared" si="32"/>
        <v>0</v>
      </c>
      <c r="I870" s="12"/>
      <c r="J870" s="3" t="str">
        <f t="shared" si="31"/>
        <v>1</v>
      </c>
    </row>
    <row r="871" spans="2:10" ht="12.75" hidden="1" customHeight="1">
      <c r="B871" s="34"/>
      <c r="C871" s="10"/>
      <c r="D871" s="33"/>
      <c r="E871" s="33"/>
      <c r="F871" s="33"/>
      <c r="G871" s="33"/>
      <c r="H871" s="72">
        <f t="shared" si="32"/>
        <v>0</v>
      </c>
      <c r="I871" s="12"/>
      <c r="J871" s="3" t="str">
        <f t="shared" si="31"/>
        <v>1</v>
      </c>
    </row>
    <row r="872" spans="2:10" ht="12.75" hidden="1" customHeight="1">
      <c r="B872" s="34"/>
      <c r="C872" s="10"/>
      <c r="D872" s="33"/>
      <c r="E872" s="33"/>
      <c r="F872" s="33"/>
      <c r="G872" s="33"/>
      <c r="H872" s="72">
        <f t="shared" si="32"/>
        <v>0</v>
      </c>
      <c r="I872" s="12"/>
      <c r="J872" s="3" t="str">
        <f t="shared" si="31"/>
        <v>1</v>
      </c>
    </row>
    <row r="873" spans="2:10" ht="12.75" hidden="1" customHeight="1">
      <c r="B873" s="34"/>
      <c r="C873" s="10"/>
      <c r="D873" s="33"/>
      <c r="E873" s="33"/>
      <c r="F873" s="33"/>
      <c r="G873" s="33"/>
      <c r="H873" s="72">
        <f t="shared" si="32"/>
        <v>0</v>
      </c>
      <c r="I873" s="12"/>
      <c r="J873" s="3" t="str">
        <f t="shared" si="31"/>
        <v>1</v>
      </c>
    </row>
    <row r="874" spans="2:10" ht="12.75" hidden="1" customHeight="1">
      <c r="B874" s="34"/>
      <c r="C874" s="10"/>
      <c r="D874" s="33"/>
      <c r="E874" s="33"/>
      <c r="F874" s="33"/>
      <c r="G874" s="33"/>
      <c r="H874" s="72">
        <f t="shared" si="32"/>
        <v>0</v>
      </c>
      <c r="I874" s="12"/>
      <c r="J874" s="3" t="str">
        <f t="shared" si="31"/>
        <v>1</v>
      </c>
    </row>
    <row r="875" spans="2:10" ht="12.75" hidden="1" customHeight="1">
      <c r="B875" s="34"/>
      <c r="C875" s="10"/>
      <c r="D875" s="33"/>
      <c r="E875" s="33"/>
      <c r="F875" s="33"/>
      <c r="G875" s="33"/>
      <c r="H875" s="72">
        <f t="shared" si="32"/>
        <v>0</v>
      </c>
      <c r="I875" s="12"/>
      <c r="J875" s="3" t="str">
        <f t="shared" si="31"/>
        <v>1</v>
      </c>
    </row>
    <row r="876" spans="2:10" ht="12.75" hidden="1" customHeight="1">
      <c r="B876" s="34"/>
      <c r="C876" s="10"/>
      <c r="D876" s="33"/>
      <c r="E876" s="33"/>
      <c r="F876" s="33"/>
      <c r="G876" s="33"/>
      <c r="H876" s="72">
        <f t="shared" si="32"/>
        <v>0</v>
      </c>
      <c r="I876" s="12"/>
      <c r="J876" s="3" t="str">
        <f t="shared" si="31"/>
        <v>1</v>
      </c>
    </row>
    <row r="877" spans="2:10" ht="12.75" hidden="1" customHeight="1">
      <c r="B877" s="34"/>
      <c r="C877" s="10"/>
      <c r="D877" s="33"/>
      <c r="E877" s="33"/>
      <c r="F877" s="33"/>
      <c r="G877" s="33"/>
      <c r="H877" s="72">
        <f t="shared" si="32"/>
        <v>0</v>
      </c>
      <c r="I877" s="12"/>
      <c r="J877" s="3" t="str">
        <f t="shared" si="31"/>
        <v>1</v>
      </c>
    </row>
    <row r="878" spans="2:10" ht="12.75" hidden="1" customHeight="1">
      <c r="B878" s="34"/>
      <c r="C878" s="10"/>
      <c r="D878" s="33"/>
      <c r="E878" s="33"/>
      <c r="F878" s="33"/>
      <c r="G878" s="33"/>
      <c r="H878" s="72">
        <f t="shared" si="32"/>
        <v>0</v>
      </c>
      <c r="I878" s="12"/>
      <c r="J878" s="3" t="str">
        <f t="shared" si="31"/>
        <v>1</v>
      </c>
    </row>
    <row r="879" spans="2:10" ht="12.75" hidden="1" customHeight="1">
      <c r="B879" s="34"/>
      <c r="C879" s="10"/>
      <c r="D879" s="33"/>
      <c r="E879" s="33"/>
      <c r="F879" s="33"/>
      <c r="G879" s="33"/>
      <c r="H879" s="72">
        <f t="shared" si="32"/>
        <v>0</v>
      </c>
      <c r="I879" s="12"/>
      <c r="J879" s="3" t="str">
        <f t="shared" si="31"/>
        <v>1</v>
      </c>
    </row>
    <row r="880" spans="2:10" ht="12.75" hidden="1" customHeight="1">
      <c r="B880" s="34"/>
      <c r="C880" s="10"/>
      <c r="D880" s="33"/>
      <c r="E880" s="33"/>
      <c r="F880" s="33"/>
      <c r="G880" s="33"/>
      <c r="H880" s="72">
        <f t="shared" si="32"/>
        <v>0</v>
      </c>
      <c r="I880" s="12"/>
      <c r="J880" s="3" t="str">
        <f t="shared" si="31"/>
        <v>1</v>
      </c>
    </row>
    <row r="881" spans="2:10" ht="12.75" hidden="1" customHeight="1">
      <c r="B881" s="34"/>
      <c r="C881" s="10"/>
      <c r="D881" s="33"/>
      <c r="E881" s="33"/>
      <c r="F881" s="33"/>
      <c r="G881" s="33"/>
      <c r="H881" s="72">
        <f t="shared" si="32"/>
        <v>0</v>
      </c>
      <c r="I881" s="12"/>
      <c r="J881" s="3" t="str">
        <f t="shared" si="31"/>
        <v>1</v>
      </c>
    </row>
    <row r="882" spans="2:10" ht="12.75" hidden="1" customHeight="1">
      <c r="B882" s="34"/>
      <c r="C882" s="10"/>
      <c r="D882" s="33"/>
      <c r="E882" s="33"/>
      <c r="F882" s="33"/>
      <c r="G882" s="33"/>
      <c r="H882" s="72">
        <f t="shared" si="32"/>
        <v>0</v>
      </c>
      <c r="I882" s="12"/>
      <c r="J882" s="3" t="str">
        <f t="shared" si="31"/>
        <v>1</v>
      </c>
    </row>
    <row r="883" spans="2:10" ht="12.75" hidden="1" customHeight="1">
      <c r="B883" s="34"/>
      <c r="C883" s="10"/>
      <c r="D883" s="33"/>
      <c r="E883" s="33"/>
      <c r="F883" s="33"/>
      <c r="G883" s="33"/>
      <c r="H883" s="72">
        <f t="shared" si="32"/>
        <v>0</v>
      </c>
      <c r="I883" s="12"/>
      <c r="J883" s="3" t="str">
        <f t="shared" si="31"/>
        <v>1</v>
      </c>
    </row>
    <row r="884" spans="2:10" ht="12.75" hidden="1" customHeight="1">
      <c r="B884" s="34"/>
      <c r="C884" s="10"/>
      <c r="D884" s="33"/>
      <c r="E884" s="33"/>
      <c r="F884" s="33"/>
      <c r="G884" s="33"/>
      <c r="H884" s="72">
        <f t="shared" si="32"/>
        <v>0</v>
      </c>
      <c r="I884" s="12"/>
      <c r="J884" s="3" t="str">
        <f t="shared" si="31"/>
        <v>1</v>
      </c>
    </row>
    <row r="885" spans="2:10" ht="12.75" hidden="1" customHeight="1">
      <c r="B885" s="34"/>
      <c r="C885" s="10"/>
      <c r="D885" s="33"/>
      <c r="E885" s="33"/>
      <c r="F885" s="33"/>
      <c r="G885" s="33"/>
      <c r="H885" s="72">
        <f t="shared" si="32"/>
        <v>0</v>
      </c>
      <c r="I885" s="12"/>
      <c r="J885" s="3" t="str">
        <f t="shared" si="31"/>
        <v>1</v>
      </c>
    </row>
    <row r="886" spans="2:10" ht="12.75" hidden="1" customHeight="1">
      <c r="B886" s="34"/>
      <c r="C886" s="10"/>
      <c r="D886" s="33"/>
      <c r="E886" s="33"/>
      <c r="F886" s="33"/>
      <c r="G886" s="33"/>
      <c r="H886" s="72">
        <f t="shared" si="32"/>
        <v>0</v>
      </c>
      <c r="I886" s="12"/>
      <c r="J886" s="3" t="str">
        <f t="shared" si="31"/>
        <v>1</v>
      </c>
    </row>
    <row r="887" spans="2:10" ht="12.75" hidden="1" customHeight="1">
      <c r="B887" s="34"/>
      <c r="C887" s="10"/>
      <c r="D887" s="33"/>
      <c r="E887" s="33"/>
      <c r="F887" s="33"/>
      <c r="G887" s="33"/>
      <c r="H887" s="72">
        <f t="shared" si="32"/>
        <v>0</v>
      </c>
      <c r="I887" s="12"/>
      <c r="J887" s="3" t="str">
        <f t="shared" si="31"/>
        <v>1</v>
      </c>
    </row>
    <row r="888" spans="2:10" ht="12.75" hidden="1" customHeight="1">
      <c r="B888" s="34"/>
      <c r="C888" s="10"/>
      <c r="D888" s="33"/>
      <c r="E888" s="33"/>
      <c r="F888" s="33"/>
      <c r="G888" s="33"/>
      <c r="H888" s="72">
        <f t="shared" si="32"/>
        <v>0</v>
      </c>
      <c r="I888" s="12"/>
      <c r="J888" s="3" t="str">
        <f t="shared" si="31"/>
        <v>1</v>
      </c>
    </row>
    <row r="889" spans="2:10" ht="12.75" hidden="1" customHeight="1">
      <c r="B889" s="34"/>
      <c r="C889" s="10"/>
      <c r="D889" s="33"/>
      <c r="E889" s="33"/>
      <c r="F889" s="33"/>
      <c r="G889" s="33"/>
      <c r="H889" s="72">
        <f t="shared" si="32"/>
        <v>0</v>
      </c>
      <c r="I889" s="12"/>
      <c r="J889" s="3" t="str">
        <f t="shared" si="31"/>
        <v>1</v>
      </c>
    </row>
    <row r="890" spans="2:10" ht="12.75" hidden="1" customHeight="1">
      <c r="B890" s="34"/>
      <c r="C890" s="10"/>
      <c r="D890" s="33"/>
      <c r="E890" s="33"/>
      <c r="F890" s="33"/>
      <c r="G890" s="33"/>
      <c r="H890" s="72">
        <f t="shared" si="32"/>
        <v>0</v>
      </c>
      <c r="I890" s="12"/>
      <c r="J890" s="3" t="str">
        <f t="shared" si="31"/>
        <v>1</v>
      </c>
    </row>
    <row r="891" spans="2:10" ht="12.75" hidden="1" customHeight="1">
      <c r="B891" s="34"/>
      <c r="C891" s="10"/>
      <c r="D891" s="33"/>
      <c r="E891" s="33"/>
      <c r="F891" s="33"/>
      <c r="G891" s="33"/>
      <c r="H891" s="72">
        <f t="shared" si="32"/>
        <v>0</v>
      </c>
      <c r="I891" s="12"/>
      <c r="J891" s="3" t="str">
        <f t="shared" si="31"/>
        <v>1</v>
      </c>
    </row>
    <row r="892" spans="2:10" ht="12.75" hidden="1" customHeight="1">
      <c r="B892" s="34"/>
      <c r="C892" s="10"/>
      <c r="D892" s="33"/>
      <c r="E892" s="33"/>
      <c r="F892" s="33"/>
      <c r="G892" s="33"/>
      <c r="H892" s="72">
        <f t="shared" si="32"/>
        <v>0</v>
      </c>
      <c r="I892" s="12"/>
      <c r="J892" s="3" t="str">
        <f t="shared" si="31"/>
        <v>1</v>
      </c>
    </row>
    <row r="893" spans="2:10" ht="12.75" hidden="1" customHeight="1">
      <c r="B893" s="34"/>
      <c r="C893" s="10"/>
      <c r="D893" s="33"/>
      <c r="E893" s="33"/>
      <c r="F893" s="33"/>
      <c r="G893" s="33"/>
      <c r="H893" s="72">
        <f t="shared" si="32"/>
        <v>0</v>
      </c>
      <c r="I893" s="12"/>
      <c r="J893" s="3" t="str">
        <f t="shared" si="31"/>
        <v>1</v>
      </c>
    </row>
    <row r="894" spans="2:10" ht="12.75" hidden="1" customHeight="1">
      <c r="B894" s="34"/>
      <c r="C894" s="10"/>
      <c r="D894" s="33"/>
      <c r="E894" s="33"/>
      <c r="F894" s="33"/>
      <c r="G894" s="33"/>
      <c r="H894" s="72">
        <f t="shared" si="32"/>
        <v>0</v>
      </c>
      <c r="I894" s="12"/>
      <c r="J894" s="3" t="str">
        <f t="shared" si="31"/>
        <v>1</v>
      </c>
    </row>
    <row r="895" spans="2:10" ht="12.75" hidden="1" customHeight="1">
      <c r="B895" s="34"/>
      <c r="C895" s="10"/>
      <c r="D895" s="33"/>
      <c r="E895" s="33"/>
      <c r="F895" s="33"/>
      <c r="G895" s="33"/>
      <c r="H895" s="72">
        <f t="shared" si="32"/>
        <v>0</v>
      </c>
      <c r="I895" s="12"/>
      <c r="J895" s="3" t="str">
        <f t="shared" si="31"/>
        <v>1</v>
      </c>
    </row>
    <row r="896" spans="2:10" ht="12.75" hidden="1" customHeight="1">
      <c r="B896" s="34"/>
      <c r="C896" s="10"/>
      <c r="D896" s="33"/>
      <c r="E896" s="33"/>
      <c r="F896" s="33"/>
      <c r="G896" s="33"/>
      <c r="H896" s="72">
        <f t="shared" si="32"/>
        <v>0</v>
      </c>
      <c r="I896" s="12"/>
      <c r="J896" s="3" t="str">
        <f t="shared" si="31"/>
        <v>1</v>
      </c>
    </row>
    <row r="897" spans="2:10" ht="12.75" hidden="1" customHeight="1">
      <c r="B897" s="34"/>
      <c r="C897" s="10"/>
      <c r="D897" s="33"/>
      <c r="E897" s="33"/>
      <c r="F897" s="33"/>
      <c r="G897" s="33"/>
      <c r="H897" s="72">
        <f t="shared" si="32"/>
        <v>0</v>
      </c>
      <c r="I897" s="12"/>
      <c r="J897" s="3" t="str">
        <f t="shared" si="31"/>
        <v>1</v>
      </c>
    </row>
    <row r="898" spans="2:10" ht="12.75" hidden="1" customHeight="1">
      <c r="B898" s="34"/>
      <c r="C898" s="10"/>
      <c r="D898" s="33"/>
      <c r="E898" s="33"/>
      <c r="F898" s="33"/>
      <c r="G898" s="33"/>
      <c r="H898" s="72">
        <f t="shared" si="32"/>
        <v>0</v>
      </c>
      <c r="I898" s="12"/>
      <c r="J898" s="3" t="str">
        <f t="shared" si="31"/>
        <v>1</v>
      </c>
    </row>
    <row r="899" spans="2:10" ht="12.75" hidden="1" customHeight="1">
      <c r="B899" s="34"/>
      <c r="C899" s="10"/>
      <c r="D899" s="33"/>
      <c r="E899" s="33"/>
      <c r="F899" s="33"/>
      <c r="G899" s="33"/>
      <c r="H899" s="72">
        <f t="shared" si="32"/>
        <v>0</v>
      </c>
      <c r="I899" s="12"/>
      <c r="J899" s="3" t="str">
        <f t="shared" ref="J899:J962" si="33">TRIM(C899) &amp; (COUNTIFS($C$4:$C$123, C899, $I$4:$I$123, "&gt;"&amp;I899) + 1)</f>
        <v>1</v>
      </c>
    </row>
    <row r="900" spans="2:10" ht="12.75" hidden="1" customHeight="1">
      <c r="B900" s="34"/>
      <c r="C900" s="10"/>
      <c r="D900" s="33"/>
      <c r="E900" s="33"/>
      <c r="F900" s="33"/>
      <c r="G900" s="33"/>
      <c r="H900" s="72">
        <f t="shared" si="32"/>
        <v>0</v>
      </c>
      <c r="I900" s="12"/>
      <c r="J900" s="3" t="str">
        <f t="shared" si="33"/>
        <v>1</v>
      </c>
    </row>
    <row r="901" spans="2:10" ht="12.75" hidden="1" customHeight="1">
      <c r="B901" s="34"/>
      <c r="C901" s="10"/>
      <c r="D901" s="33"/>
      <c r="E901" s="33"/>
      <c r="F901" s="33"/>
      <c r="G901" s="33"/>
      <c r="H901" s="72">
        <f t="shared" ref="H901:H964" si="34">IF(D901=0, COUNTIFS($C$4:$C$123, C901, $B$4:$B$123, "&lt;&gt;"), COUNTIFS($C$4:$C$123, C901, $D$4:$D$123, "&gt;"&amp;D901) + 1)</f>
        <v>0</v>
      </c>
      <c r="I901" s="12"/>
      <c r="J901" s="3" t="str">
        <f t="shared" si="33"/>
        <v>1</v>
      </c>
    </row>
    <row r="902" spans="2:10" ht="12.75" hidden="1" customHeight="1">
      <c r="B902" s="34"/>
      <c r="C902" s="10"/>
      <c r="D902" s="33"/>
      <c r="E902" s="33"/>
      <c r="F902" s="33"/>
      <c r="G902" s="33"/>
      <c r="H902" s="72">
        <f t="shared" si="34"/>
        <v>0</v>
      </c>
      <c r="I902" s="12"/>
      <c r="J902" s="3" t="str">
        <f t="shared" si="33"/>
        <v>1</v>
      </c>
    </row>
    <row r="903" spans="2:10" ht="12.75" hidden="1" customHeight="1">
      <c r="B903" s="34"/>
      <c r="C903" s="10"/>
      <c r="D903" s="33"/>
      <c r="E903" s="33"/>
      <c r="F903" s="33"/>
      <c r="G903" s="33"/>
      <c r="H903" s="72">
        <f t="shared" si="34"/>
        <v>0</v>
      </c>
      <c r="I903" s="12"/>
      <c r="J903" s="3" t="str">
        <f t="shared" si="33"/>
        <v>1</v>
      </c>
    </row>
    <row r="904" spans="2:10" ht="12.75" hidden="1" customHeight="1">
      <c r="B904" s="34"/>
      <c r="C904" s="10"/>
      <c r="D904" s="33"/>
      <c r="E904" s="33"/>
      <c r="F904" s="33"/>
      <c r="G904" s="33"/>
      <c r="H904" s="72">
        <f t="shared" si="34"/>
        <v>0</v>
      </c>
      <c r="I904" s="12"/>
      <c r="J904" s="3" t="str">
        <f t="shared" si="33"/>
        <v>1</v>
      </c>
    </row>
    <row r="905" spans="2:10" ht="12.75" hidden="1" customHeight="1">
      <c r="B905" s="34"/>
      <c r="C905" s="10"/>
      <c r="D905" s="33"/>
      <c r="E905" s="33"/>
      <c r="F905" s="33"/>
      <c r="G905" s="33"/>
      <c r="H905" s="72">
        <f t="shared" si="34"/>
        <v>0</v>
      </c>
      <c r="I905" s="12"/>
      <c r="J905" s="3" t="str">
        <f t="shared" si="33"/>
        <v>1</v>
      </c>
    </row>
    <row r="906" spans="2:10" ht="12.75" hidden="1" customHeight="1">
      <c r="B906" s="34"/>
      <c r="C906" s="10"/>
      <c r="D906" s="33"/>
      <c r="E906" s="33"/>
      <c r="F906" s="33"/>
      <c r="G906" s="33"/>
      <c r="H906" s="72">
        <f t="shared" si="34"/>
        <v>0</v>
      </c>
      <c r="I906" s="12"/>
      <c r="J906" s="3" t="str">
        <f t="shared" si="33"/>
        <v>1</v>
      </c>
    </row>
    <row r="907" spans="2:10" ht="12.75" hidden="1" customHeight="1">
      <c r="B907" s="34"/>
      <c r="C907" s="10"/>
      <c r="D907" s="33"/>
      <c r="E907" s="33"/>
      <c r="F907" s="33"/>
      <c r="G907" s="33"/>
      <c r="H907" s="72">
        <f t="shared" si="34"/>
        <v>0</v>
      </c>
      <c r="I907" s="12"/>
      <c r="J907" s="3" t="str">
        <f t="shared" si="33"/>
        <v>1</v>
      </c>
    </row>
    <row r="908" spans="2:10" ht="12.75" hidden="1" customHeight="1">
      <c r="B908" s="34"/>
      <c r="C908" s="10"/>
      <c r="D908" s="33"/>
      <c r="E908" s="33"/>
      <c r="F908" s="33"/>
      <c r="G908" s="33"/>
      <c r="H908" s="72">
        <f t="shared" si="34"/>
        <v>0</v>
      </c>
      <c r="I908" s="12"/>
      <c r="J908" s="3" t="str">
        <f t="shared" si="33"/>
        <v>1</v>
      </c>
    </row>
    <row r="909" spans="2:10" ht="12.75" hidden="1" customHeight="1">
      <c r="B909" s="34"/>
      <c r="C909" s="10"/>
      <c r="D909" s="33"/>
      <c r="E909" s="33"/>
      <c r="F909" s="33"/>
      <c r="G909" s="33"/>
      <c r="H909" s="72">
        <f t="shared" si="34"/>
        <v>0</v>
      </c>
      <c r="I909" s="12"/>
      <c r="J909" s="3" t="str">
        <f t="shared" si="33"/>
        <v>1</v>
      </c>
    </row>
    <row r="910" spans="2:10" ht="12.75" hidden="1" customHeight="1">
      <c r="B910" s="34"/>
      <c r="C910" s="10"/>
      <c r="D910" s="33"/>
      <c r="E910" s="33"/>
      <c r="F910" s="33"/>
      <c r="G910" s="33"/>
      <c r="H910" s="72">
        <f t="shared" si="34"/>
        <v>0</v>
      </c>
      <c r="I910" s="12"/>
      <c r="J910" s="3" t="str">
        <f t="shared" si="33"/>
        <v>1</v>
      </c>
    </row>
    <row r="911" spans="2:10" ht="12.75" hidden="1" customHeight="1">
      <c r="B911" s="34"/>
      <c r="C911" s="10"/>
      <c r="D911" s="33"/>
      <c r="E911" s="33"/>
      <c r="F911" s="33"/>
      <c r="G911" s="33"/>
      <c r="H911" s="72">
        <f t="shared" si="34"/>
        <v>0</v>
      </c>
      <c r="I911" s="12"/>
      <c r="J911" s="3" t="str">
        <f t="shared" si="33"/>
        <v>1</v>
      </c>
    </row>
    <row r="912" spans="2:10" ht="12.75" hidden="1" customHeight="1">
      <c r="B912" s="34"/>
      <c r="C912" s="10"/>
      <c r="D912" s="33"/>
      <c r="E912" s="33"/>
      <c r="F912" s="33"/>
      <c r="G912" s="33"/>
      <c r="H912" s="72">
        <f t="shared" si="34"/>
        <v>0</v>
      </c>
      <c r="I912" s="12"/>
      <c r="J912" s="3" t="str">
        <f t="shared" si="33"/>
        <v>1</v>
      </c>
    </row>
    <row r="913" spans="2:10" ht="12.75" hidden="1" customHeight="1">
      <c r="B913" s="34"/>
      <c r="C913" s="10"/>
      <c r="D913" s="33"/>
      <c r="E913" s="33"/>
      <c r="F913" s="33"/>
      <c r="G913" s="33"/>
      <c r="H913" s="72">
        <f t="shared" si="34"/>
        <v>0</v>
      </c>
      <c r="I913" s="12"/>
      <c r="J913" s="3" t="str">
        <f t="shared" si="33"/>
        <v>1</v>
      </c>
    </row>
    <row r="914" spans="2:10" ht="12.75" hidden="1" customHeight="1">
      <c r="B914" s="34"/>
      <c r="C914" s="10"/>
      <c r="D914" s="33"/>
      <c r="E914" s="33"/>
      <c r="F914" s="33"/>
      <c r="G914" s="33"/>
      <c r="H914" s="72">
        <f t="shared" si="34"/>
        <v>0</v>
      </c>
      <c r="I914" s="12"/>
      <c r="J914" s="3" t="str">
        <f t="shared" si="33"/>
        <v>1</v>
      </c>
    </row>
    <row r="915" spans="2:10" ht="12.75" hidden="1" customHeight="1">
      <c r="B915" s="34"/>
      <c r="C915" s="10"/>
      <c r="D915" s="33"/>
      <c r="E915" s="33"/>
      <c r="F915" s="33"/>
      <c r="G915" s="33"/>
      <c r="H915" s="72">
        <f t="shared" si="34"/>
        <v>0</v>
      </c>
      <c r="I915" s="12"/>
      <c r="J915" s="3" t="str">
        <f t="shared" si="33"/>
        <v>1</v>
      </c>
    </row>
    <row r="916" spans="2:10" ht="12.75" hidden="1" customHeight="1">
      <c r="B916" s="34"/>
      <c r="C916" s="10"/>
      <c r="D916" s="33"/>
      <c r="E916" s="33"/>
      <c r="F916" s="33"/>
      <c r="G916" s="33"/>
      <c r="H916" s="72">
        <f t="shared" si="34"/>
        <v>0</v>
      </c>
      <c r="I916" s="12"/>
      <c r="J916" s="3" t="str">
        <f t="shared" si="33"/>
        <v>1</v>
      </c>
    </row>
    <row r="917" spans="2:10" ht="12.75" hidden="1" customHeight="1">
      <c r="B917" s="34"/>
      <c r="C917" s="10"/>
      <c r="D917" s="33"/>
      <c r="E917" s="33"/>
      <c r="F917" s="33"/>
      <c r="G917" s="33"/>
      <c r="H917" s="72">
        <f t="shared" si="34"/>
        <v>0</v>
      </c>
      <c r="I917" s="12"/>
      <c r="J917" s="3" t="str">
        <f t="shared" si="33"/>
        <v>1</v>
      </c>
    </row>
    <row r="918" spans="2:10" ht="12.75" hidden="1" customHeight="1">
      <c r="B918" s="34"/>
      <c r="C918" s="10"/>
      <c r="D918" s="33"/>
      <c r="E918" s="33"/>
      <c r="F918" s="33"/>
      <c r="G918" s="33"/>
      <c r="H918" s="72">
        <f t="shared" si="34"/>
        <v>0</v>
      </c>
      <c r="I918" s="12"/>
      <c r="J918" s="3" t="str">
        <f t="shared" si="33"/>
        <v>1</v>
      </c>
    </row>
    <row r="919" spans="2:10" ht="12.75" hidden="1" customHeight="1">
      <c r="B919" s="34"/>
      <c r="C919" s="10"/>
      <c r="D919" s="33"/>
      <c r="E919" s="33"/>
      <c r="F919" s="33"/>
      <c r="G919" s="33"/>
      <c r="H919" s="72">
        <f t="shared" si="34"/>
        <v>0</v>
      </c>
      <c r="I919" s="12"/>
      <c r="J919" s="3" t="str">
        <f t="shared" si="33"/>
        <v>1</v>
      </c>
    </row>
    <row r="920" spans="2:10" ht="12.75" hidden="1" customHeight="1">
      <c r="B920" s="34"/>
      <c r="C920" s="10"/>
      <c r="D920" s="33"/>
      <c r="E920" s="33"/>
      <c r="F920" s="33"/>
      <c r="G920" s="33"/>
      <c r="H920" s="72">
        <f t="shared" si="34"/>
        <v>0</v>
      </c>
      <c r="I920" s="12"/>
      <c r="J920" s="3" t="str">
        <f t="shared" si="33"/>
        <v>1</v>
      </c>
    </row>
    <row r="921" spans="2:10" ht="12.75" hidden="1" customHeight="1">
      <c r="B921" s="34"/>
      <c r="C921" s="10"/>
      <c r="D921" s="33"/>
      <c r="E921" s="33"/>
      <c r="F921" s="33"/>
      <c r="G921" s="33"/>
      <c r="H921" s="72">
        <f t="shared" si="34"/>
        <v>0</v>
      </c>
      <c r="I921" s="12"/>
      <c r="J921" s="3" t="str">
        <f t="shared" si="33"/>
        <v>1</v>
      </c>
    </row>
    <row r="922" spans="2:10" ht="12.75" hidden="1" customHeight="1">
      <c r="B922" s="34"/>
      <c r="C922" s="10"/>
      <c r="D922" s="33"/>
      <c r="E922" s="33"/>
      <c r="F922" s="33"/>
      <c r="G922" s="33"/>
      <c r="H922" s="72">
        <f t="shared" si="34"/>
        <v>0</v>
      </c>
      <c r="I922" s="12"/>
      <c r="J922" s="3" t="str">
        <f t="shared" si="33"/>
        <v>1</v>
      </c>
    </row>
    <row r="923" spans="2:10" ht="12.75" hidden="1" customHeight="1">
      <c r="B923" s="34"/>
      <c r="C923" s="10"/>
      <c r="D923" s="33"/>
      <c r="E923" s="33"/>
      <c r="F923" s="33"/>
      <c r="G923" s="33"/>
      <c r="H923" s="72">
        <f t="shared" si="34"/>
        <v>0</v>
      </c>
      <c r="I923" s="12"/>
      <c r="J923" s="3" t="str">
        <f t="shared" si="33"/>
        <v>1</v>
      </c>
    </row>
    <row r="924" spans="2:10" ht="12.75" hidden="1" customHeight="1">
      <c r="B924" s="34"/>
      <c r="C924" s="10"/>
      <c r="D924" s="33"/>
      <c r="E924" s="33"/>
      <c r="F924" s="33"/>
      <c r="G924" s="33"/>
      <c r="H924" s="72">
        <f t="shared" si="34"/>
        <v>0</v>
      </c>
      <c r="I924" s="12"/>
      <c r="J924" s="3" t="str">
        <f t="shared" si="33"/>
        <v>1</v>
      </c>
    </row>
    <row r="925" spans="2:10" ht="12.75" hidden="1" customHeight="1">
      <c r="B925" s="34"/>
      <c r="C925" s="10"/>
      <c r="D925" s="33"/>
      <c r="E925" s="33"/>
      <c r="F925" s="33"/>
      <c r="G925" s="33"/>
      <c r="H925" s="72">
        <f t="shared" si="34"/>
        <v>0</v>
      </c>
      <c r="I925" s="12"/>
      <c r="J925" s="3" t="str">
        <f t="shared" si="33"/>
        <v>1</v>
      </c>
    </row>
    <row r="926" spans="2:10" ht="12.75" hidden="1" customHeight="1">
      <c r="B926" s="34"/>
      <c r="C926" s="10"/>
      <c r="D926" s="33"/>
      <c r="E926" s="33"/>
      <c r="F926" s="33"/>
      <c r="G926" s="33"/>
      <c r="H926" s="72">
        <f t="shared" si="34"/>
        <v>0</v>
      </c>
      <c r="I926" s="12"/>
      <c r="J926" s="3" t="str">
        <f t="shared" si="33"/>
        <v>1</v>
      </c>
    </row>
    <row r="927" spans="2:10" ht="12.75" hidden="1" customHeight="1">
      <c r="B927" s="34"/>
      <c r="C927" s="10"/>
      <c r="D927" s="33"/>
      <c r="E927" s="33"/>
      <c r="F927" s="33"/>
      <c r="G927" s="33"/>
      <c r="H927" s="72">
        <f t="shared" si="34"/>
        <v>0</v>
      </c>
      <c r="I927" s="12"/>
      <c r="J927" s="3" t="str">
        <f t="shared" si="33"/>
        <v>1</v>
      </c>
    </row>
    <row r="928" spans="2:10" ht="12.75" hidden="1" customHeight="1">
      <c r="B928" s="34"/>
      <c r="C928" s="10"/>
      <c r="D928" s="33"/>
      <c r="E928" s="33"/>
      <c r="F928" s="33"/>
      <c r="G928" s="33"/>
      <c r="H928" s="72">
        <f t="shared" si="34"/>
        <v>0</v>
      </c>
      <c r="I928" s="12"/>
      <c r="J928" s="3" t="str">
        <f t="shared" si="33"/>
        <v>1</v>
      </c>
    </row>
    <row r="929" spans="2:10" ht="12.75" hidden="1" customHeight="1">
      <c r="B929" s="34"/>
      <c r="C929" s="10"/>
      <c r="D929" s="33"/>
      <c r="E929" s="33"/>
      <c r="F929" s="33"/>
      <c r="G929" s="33"/>
      <c r="H929" s="72">
        <f t="shared" si="34"/>
        <v>0</v>
      </c>
      <c r="I929" s="12"/>
      <c r="J929" s="3" t="str">
        <f t="shared" si="33"/>
        <v>1</v>
      </c>
    </row>
    <row r="930" spans="2:10" ht="12.75" hidden="1" customHeight="1">
      <c r="B930" s="34"/>
      <c r="C930" s="10"/>
      <c r="D930" s="33"/>
      <c r="E930" s="33"/>
      <c r="F930" s="33"/>
      <c r="G930" s="33"/>
      <c r="H930" s="72">
        <f t="shared" si="34"/>
        <v>0</v>
      </c>
      <c r="I930" s="12"/>
      <c r="J930" s="3" t="str">
        <f t="shared" si="33"/>
        <v>1</v>
      </c>
    </row>
    <row r="931" spans="2:10" ht="12.75" hidden="1" customHeight="1">
      <c r="B931" s="34"/>
      <c r="C931" s="10"/>
      <c r="D931" s="33"/>
      <c r="E931" s="33"/>
      <c r="F931" s="33"/>
      <c r="G931" s="33"/>
      <c r="H931" s="72">
        <f t="shared" si="34"/>
        <v>0</v>
      </c>
      <c r="I931" s="12"/>
      <c r="J931" s="3" t="str">
        <f t="shared" si="33"/>
        <v>1</v>
      </c>
    </row>
    <row r="932" spans="2:10" ht="12.75" hidden="1" customHeight="1">
      <c r="B932" s="34"/>
      <c r="C932" s="10"/>
      <c r="D932" s="33"/>
      <c r="E932" s="33"/>
      <c r="F932" s="33"/>
      <c r="G932" s="33"/>
      <c r="H932" s="72">
        <f t="shared" si="34"/>
        <v>0</v>
      </c>
      <c r="I932" s="12"/>
      <c r="J932" s="3" t="str">
        <f t="shared" si="33"/>
        <v>1</v>
      </c>
    </row>
    <row r="933" spans="2:10" ht="12.75" hidden="1" customHeight="1">
      <c r="B933" s="34"/>
      <c r="C933" s="10"/>
      <c r="D933" s="33"/>
      <c r="E933" s="33"/>
      <c r="F933" s="33"/>
      <c r="G933" s="33"/>
      <c r="H933" s="72">
        <f t="shared" si="34"/>
        <v>0</v>
      </c>
      <c r="I933" s="12"/>
      <c r="J933" s="3" t="str">
        <f t="shared" si="33"/>
        <v>1</v>
      </c>
    </row>
    <row r="934" spans="2:10" ht="12.75" hidden="1" customHeight="1">
      <c r="B934" s="34"/>
      <c r="C934" s="10"/>
      <c r="D934" s="33"/>
      <c r="E934" s="33"/>
      <c r="F934" s="33"/>
      <c r="G934" s="33"/>
      <c r="H934" s="72">
        <f t="shared" si="34"/>
        <v>0</v>
      </c>
      <c r="I934" s="12"/>
      <c r="J934" s="3" t="str">
        <f t="shared" si="33"/>
        <v>1</v>
      </c>
    </row>
    <row r="935" spans="2:10" ht="12.75" hidden="1" customHeight="1">
      <c r="B935" s="34"/>
      <c r="C935" s="10"/>
      <c r="D935" s="33"/>
      <c r="E935" s="33"/>
      <c r="F935" s="33"/>
      <c r="G935" s="33"/>
      <c r="H935" s="72">
        <f t="shared" si="34"/>
        <v>0</v>
      </c>
      <c r="I935" s="12"/>
      <c r="J935" s="3" t="str">
        <f t="shared" si="33"/>
        <v>1</v>
      </c>
    </row>
    <row r="936" spans="2:10" ht="12.75" hidden="1" customHeight="1">
      <c r="B936" s="34"/>
      <c r="C936" s="10"/>
      <c r="D936" s="33"/>
      <c r="E936" s="33"/>
      <c r="F936" s="33"/>
      <c r="G936" s="33"/>
      <c r="H936" s="72">
        <f t="shared" si="34"/>
        <v>0</v>
      </c>
      <c r="I936" s="12"/>
      <c r="J936" s="3" t="str">
        <f t="shared" si="33"/>
        <v>1</v>
      </c>
    </row>
    <row r="937" spans="2:10" ht="12.75" hidden="1" customHeight="1">
      <c r="B937" s="34"/>
      <c r="C937" s="10"/>
      <c r="D937" s="33"/>
      <c r="E937" s="33"/>
      <c r="F937" s="33"/>
      <c r="G937" s="33"/>
      <c r="H937" s="72">
        <f t="shared" si="34"/>
        <v>0</v>
      </c>
      <c r="I937" s="12"/>
      <c r="J937" s="3" t="str">
        <f t="shared" si="33"/>
        <v>1</v>
      </c>
    </row>
    <row r="938" spans="2:10" ht="12.75" hidden="1" customHeight="1">
      <c r="B938" s="34"/>
      <c r="C938" s="10"/>
      <c r="D938" s="33"/>
      <c r="E938" s="33"/>
      <c r="F938" s="33"/>
      <c r="G938" s="33"/>
      <c r="H938" s="72">
        <f t="shared" si="34"/>
        <v>0</v>
      </c>
      <c r="I938" s="12"/>
      <c r="J938" s="3" t="str">
        <f t="shared" si="33"/>
        <v>1</v>
      </c>
    </row>
    <row r="939" spans="2:10" ht="12.75" hidden="1" customHeight="1">
      <c r="B939" s="34"/>
      <c r="C939" s="10"/>
      <c r="D939" s="33"/>
      <c r="E939" s="33"/>
      <c r="F939" s="33"/>
      <c r="G939" s="33"/>
      <c r="H939" s="72">
        <f t="shared" si="34"/>
        <v>0</v>
      </c>
      <c r="I939" s="12"/>
      <c r="J939" s="3" t="str">
        <f t="shared" si="33"/>
        <v>1</v>
      </c>
    </row>
    <row r="940" spans="2:10" ht="12.75" hidden="1" customHeight="1">
      <c r="B940" s="34"/>
      <c r="C940" s="10"/>
      <c r="D940" s="33"/>
      <c r="E940" s="33"/>
      <c r="F940" s="33"/>
      <c r="G940" s="33"/>
      <c r="H940" s="72">
        <f t="shared" si="34"/>
        <v>0</v>
      </c>
      <c r="I940" s="12"/>
      <c r="J940" s="3" t="str">
        <f t="shared" si="33"/>
        <v>1</v>
      </c>
    </row>
    <row r="941" spans="2:10" ht="12.75" hidden="1" customHeight="1">
      <c r="B941" s="34"/>
      <c r="C941" s="10"/>
      <c r="D941" s="33"/>
      <c r="E941" s="33"/>
      <c r="F941" s="33"/>
      <c r="G941" s="33"/>
      <c r="H941" s="72">
        <f t="shared" si="34"/>
        <v>0</v>
      </c>
      <c r="I941" s="12"/>
      <c r="J941" s="3" t="str">
        <f t="shared" si="33"/>
        <v>1</v>
      </c>
    </row>
    <row r="942" spans="2:10" ht="12.75" hidden="1" customHeight="1">
      <c r="B942" s="34"/>
      <c r="C942" s="10"/>
      <c r="D942" s="33"/>
      <c r="E942" s="33"/>
      <c r="F942" s="33"/>
      <c r="G942" s="33"/>
      <c r="H942" s="72">
        <f t="shared" si="34"/>
        <v>0</v>
      </c>
      <c r="I942" s="12"/>
      <c r="J942" s="3" t="str">
        <f t="shared" si="33"/>
        <v>1</v>
      </c>
    </row>
    <row r="943" spans="2:10" ht="12.75" hidden="1" customHeight="1">
      <c r="B943" s="34"/>
      <c r="C943" s="10"/>
      <c r="D943" s="33"/>
      <c r="E943" s="33"/>
      <c r="F943" s="33"/>
      <c r="G943" s="33"/>
      <c r="H943" s="72">
        <f t="shared" si="34"/>
        <v>0</v>
      </c>
      <c r="I943" s="12"/>
      <c r="J943" s="3" t="str">
        <f t="shared" si="33"/>
        <v>1</v>
      </c>
    </row>
    <row r="944" spans="2:10" ht="12.75" hidden="1" customHeight="1">
      <c r="B944" s="34"/>
      <c r="C944" s="10"/>
      <c r="D944" s="33"/>
      <c r="E944" s="33"/>
      <c r="F944" s="33"/>
      <c r="G944" s="33"/>
      <c r="H944" s="72">
        <f t="shared" si="34"/>
        <v>0</v>
      </c>
      <c r="I944" s="12"/>
      <c r="J944" s="3" t="str">
        <f t="shared" si="33"/>
        <v>1</v>
      </c>
    </row>
    <row r="945" spans="2:10" ht="12.75" hidden="1" customHeight="1">
      <c r="B945" s="34"/>
      <c r="C945" s="10"/>
      <c r="D945" s="33"/>
      <c r="E945" s="33"/>
      <c r="F945" s="33"/>
      <c r="G945" s="33"/>
      <c r="H945" s="72">
        <f t="shared" si="34"/>
        <v>0</v>
      </c>
      <c r="I945" s="12"/>
      <c r="J945" s="3" t="str">
        <f t="shared" si="33"/>
        <v>1</v>
      </c>
    </row>
    <row r="946" spans="2:10" ht="12.75" hidden="1" customHeight="1">
      <c r="B946" s="34"/>
      <c r="C946" s="10"/>
      <c r="D946" s="33"/>
      <c r="E946" s="33"/>
      <c r="F946" s="33"/>
      <c r="G946" s="33"/>
      <c r="H946" s="72">
        <f t="shared" si="34"/>
        <v>0</v>
      </c>
      <c r="I946" s="12"/>
      <c r="J946" s="3" t="str">
        <f t="shared" si="33"/>
        <v>1</v>
      </c>
    </row>
    <row r="947" spans="2:10" ht="12.75" hidden="1" customHeight="1">
      <c r="B947" s="34"/>
      <c r="C947" s="10"/>
      <c r="D947" s="33"/>
      <c r="E947" s="33"/>
      <c r="F947" s="33"/>
      <c r="G947" s="33"/>
      <c r="H947" s="72">
        <f t="shared" si="34"/>
        <v>0</v>
      </c>
      <c r="I947" s="12"/>
      <c r="J947" s="3" t="str">
        <f t="shared" si="33"/>
        <v>1</v>
      </c>
    </row>
    <row r="948" spans="2:10" ht="12.75" hidden="1" customHeight="1">
      <c r="B948" s="34"/>
      <c r="C948" s="10"/>
      <c r="D948" s="33"/>
      <c r="E948" s="33"/>
      <c r="F948" s="33"/>
      <c r="G948" s="33"/>
      <c r="H948" s="72">
        <f t="shared" si="34"/>
        <v>0</v>
      </c>
      <c r="I948" s="12"/>
      <c r="J948" s="3" t="str">
        <f t="shared" si="33"/>
        <v>1</v>
      </c>
    </row>
    <row r="949" spans="2:10" ht="12.75" hidden="1" customHeight="1">
      <c r="B949" s="34"/>
      <c r="C949" s="10"/>
      <c r="D949" s="33"/>
      <c r="E949" s="33"/>
      <c r="F949" s="33"/>
      <c r="G949" s="33"/>
      <c r="H949" s="72">
        <f t="shared" si="34"/>
        <v>0</v>
      </c>
      <c r="I949" s="12"/>
      <c r="J949" s="3" t="str">
        <f t="shared" si="33"/>
        <v>1</v>
      </c>
    </row>
    <row r="950" spans="2:10" ht="12.75" hidden="1" customHeight="1">
      <c r="B950" s="34"/>
      <c r="C950" s="10"/>
      <c r="D950" s="33"/>
      <c r="E950" s="33"/>
      <c r="F950" s="33"/>
      <c r="G950" s="33"/>
      <c r="H950" s="72">
        <f t="shared" si="34"/>
        <v>0</v>
      </c>
      <c r="I950" s="12"/>
      <c r="J950" s="3" t="str">
        <f t="shared" si="33"/>
        <v>1</v>
      </c>
    </row>
    <row r="951" spans="2:10" ht="12.75" hidden="1" customHeight="1">
      <c r="B951" s="34"/>
      <c r="C951" s="10"/>
      <c r="D951" s="33"/>
      <c r="E951" s="33"/>
      <c r="F951" s="33"/>
      <c r="G951" s="33"/>
      <c r="H951" s="72">
        <f t="shared" si="34"/>
        <v>0</v>
      </c>
      <c r="I951" s="12"/>
      <c r="J951" s="3" t="str">
        <f t="shared" si="33"/>
        <v>1</v>
      </c>
    </row>
    <row r="952" spans="2:10" ht="12.75" hidden="1" customHeight="1">
      <c r="B952" s="34"/>
      <c r="C952" s="10"/>
      <c r="D952" s="33"/>
      <c r="E952" s="33"/>
      <c r="F952" s="33"/>
      <c r="G952" s="33"/>
      <c r="H952" s="72">
        <f t="shared" si="34"/>
        <v>0</v>
      </c>
      <c r="I952" s="12"/>
      <c r="J952" s="3" t="str">
        <f t="shared" si="33"/>
        <v>1</v>
      </c>
    </row>
    <row r="953" spans="2:10" ht="12.75" hidden="1" customHeight="1">
      <c r="B953" s="34"/>
      <c r="C953" s="10"/>
      <c r="D953" s="33"/>
      <c r="E953" s="33"/>
      <c r="F953" s="33"/>
      <c r="G953" s="33"/>
      <c r="H953" s="72">
        <f t="shared" si="34"/>
        <v>0</v>
      </c>
      <c r="I953" s="12"/>
      <c r="J953" s="3" t="str">
        <f t="shared" si="33"/>
        <v>1</v>
      </c>
    </row>
    <row r="954" spans="2:10" ht="12.75" hidden="1" customHeight="1">
      <c r="B954" s="34"/>
      <c r="C954" s="10"/>
      <c r="D954" s="33"/>
      <c r="E954" s="33"/>
      <c r="F954" s="33"/>
      <c r="G954" s="33"/>
      <c r="H954" s="72">
        <f t="shared" si="34"/>
        <v>0</v>
      </c>
      <c r="I954" s="12"/>
      <c r="J954" s="3" t="str">
        <f t="shared" si="33"/>
        <v>1</v>
      </c>
    </row>
    <row r="955" spans="2:10" ht="12.75" hidden="1" customHeight="1">
      <c r="B955" s="34"/>
      <c r="C955" s="10"/>
      <c r="D955" s="33"/>
      <c r="E955" s="33"/>
      <c r="F955" s="33"/>
      <c r="G955" s="33"/>
      <c r="H955" s="72">
        <f t="shared" si="34"/>
        <v>0</v>
      </c>
      <c r="I955" s="12"/>
      <c r="J955" s="3" t="str">
        <f t="shared" si="33"/>
        <v>1</v>
      </c>
    </row>
    <row r="956" spans="2:10" ht="12.75" hidden="1" customHeight="1">
      <c r="B956" s="34"/>
      <c r="C956" s="10"/>
      <c r="D956" s="33"/>
      <c r="E956" s="33"/>
      <c r="F956" s="33"/>
      <c r="G956" s="33"/>
      <c r="H956" s="72">
        <f t="shared" si="34"/>
        <v>0</v>
      </c>
      <c r="I956" s="12"/>
      <c r="J956" s="3" t="str">
        <f t="shared" si="33"/>
        <v>1</v>
      </c>
    </row>
    <row r="957" spans="2:10" ht="12.75" hidden="1" customHeight="1">
      <c r="B957" s="34"/>
      <c r="C957" s="10"/>
      <c r="D957" s="33"/>
      <c r="E957" s="33"/>
      <c r="F957" s="33"/>
      <c r="G957" s="33"/>
      <c r="H957" s="72">
        <f t="shared" si="34"/>
        <v>0</v>
      </c>
      <c r="I957" s="12"/>
      <c r="J957" s="3" t="str">
        <f t="shared" si="33"/>
        <v>1</v>
      </c>
    </row>
    <row r="958" spans="2:10" ht="12.75" hidden="1" customHeight="1">
      <c r="B958" s="34"/>
      <c r="C958" s="10"/>
      <c r="D958" s="33"/>
      <c r="E958" s="33"/>
      <c r="F958" s="33"/>
      <c r="G958" s="33"/>
      <c r="H958" s="72">
        <f t="shared" si="34"/>
        <v>0</v>
      </c>
      <c r="I958" s="12"/>
      <c r="J958" s="3" t="str">
        <f t="shared" si="33"/>
        <v>1</v>
      </c>
    </row>
    <row r="959" spans="2:10" ht="12.75" hidden="1" customHeight="1">
      <c r="B959" s="34"/>
      <c r="C959" s="10"/>
      <c r="D959" s="33"/>
      <c r="E959" s="33"/>
      <c r="F959" s="33"/>
      <c r="G959" s="33"/>
      <c r="H959" s="72">
        <f t="shared" si="34"/>
        <v>0</v>
      </c>
      <c r="I959" s="12"/>
      <c r="J959" s="3" t="str">
        <f t="shared" si="33"/>
        <v>1</v>
      </c>
    </row>
    <row r="960" spans="2:10" ht="12.75" hidden="1" customHeight="1">
      <c r="B960" s="34"/>
      <c r="C960" s="10"/>
      <c r="D960" s="33"/>
      <c r="E960" s="33"/>
      <c r="F960" s="33"/>
      <c r="G960" s="33"/>
      <c r="H960" s="72">
        <f t="shared" si="34"/>
        <v>0</v>
      </c>
      <c r="I960" s="12"/>
      <c r="J960" s="3" t="str">
        <f t="shared" si="33"/>
        <v>1</v>
      </c>
    </row>
    <row r="961" spans="2:10" ht="12.75" hidden="1" customHeight="1">
      <c r="B961" s="34"/>
      <c r="C961" s="10"/>
      <c r="D961" s="33"/>
      <c r="E961" s="33"/>
      <c r="F961" s="33"/>
      <c r="G961" s="33"/>
      <c r="H961" s="72">
        <f t="shared" si="34"/>
        <v>0</v>
      </c>
      <c r="I961" s="12"/>
      <c r="J961" s="3" t="str">
        <f t="shared" si="33"/>
        <v>1</v>
      </c>
    </row>
    <row r="962" spans="2:10" ht="12.75" hidden="1" customHeight="1">
      <c r="B962" s="34"/>
      <c r="C962" s="10"/>
      <c r="D962" s="33"/>
      <c r="E962" s="33"/>
      <c r="F962" s="33"/>
      <c r="G962" s="33"/>
      <c r="H962" s="72">
        <f t="shared" si="34"/>
        <v>0</v>
      </c>
      <c r="I962" s="12"/>
      <c r="J962" s="3" t="str">
        <f t="shared" si="33"/>
        <v>1</v>
      </c>
    </row>
    <row r="963" spans="2:10" ht="12.75" hidden="1" customHeight="1">
      <c r="B963" s="34"/>
      <c r="C963" s="10"/>
      <c r="D963" s="33"/>
      <c r="E963" s="33"/>
      <c r="F963" s="33"/>
      <c r="G963" s="33"/>
      <c r="H963" s="72">
        <f t="shared" si="34"/>
        <v>0</v>
      </c>
      <c r="I963" s="12"/>
      <c r="J963" s="3" t="str">
        <f t="shared" ref="J963:J1026" si="35">TRIM(C963) &amp; (COUNTIFS($C$4:$C$123, C963, $I$4:$I$123, "&gt;"&amp;I963) + 1)</f>
        <v>1</v>
      </c>
    </row>
    <row r="964" spans="2:10" ht="12.75" hidden="1" customHeight="1">
      <c r="B964" s="34"/>
      <c r="C964" s="10"/>
      <c r="D964" s="33"/>
      <c r="E964" s="33"/>
      <c r="F964" s="33"/>
      <c r="G964" s="33"/>
      <c r="H964" s="72">
        <f t="shared" si="34"/>
        <v>0</v>
      </c>
      <c r="I964" s="12"/>
      <c r="J964" s="3" t="str">
        <f t="shared" si="35"/>
        <v>1</v>
      </c>
    </row>
    <row r="965" spans="2:10" ht="12.75" hidden="1" customHeight="1">
      <c r="B965" s="34"/>
      <c r="C965" s="10"/>
      <c r="D965" s="33"/>
      <c r="E965" s="33"/>
      <c r="F965" s="33"/>
      <c r="G965" s="33"/>
      <c r="H965" s="72">
        <f t="shared" ref="H965:H1028" si="36">IF(D965=0, COUNTIFS($C$4:$C$123, C965, $B$4:$B$123, "&lt;&gt;"), COUNTIFS($C$4:$C$123, C965, $D$4:$D$123, "&gt;"&amp;D965) + 1)</f>
        <v>0</v>
      </c>
      <c r="I965" s="12"/>
      <c r="J965" s="3" t="str">
        <f t="shared" si="35"/>
        <v>1</v>
      </c>
    </row>
    <row r="966" spans="2:10" ht="12.75" hidden="1" customHeight="1">
      <c r="B966" s="34"/>
      <c r="C966" s="10"/>
      <c r="D966" s="33"/>
      <c r="E966" s="33"/>
      <c r="F966" s="33"/>
      <c r="G966" s="33"/>
      <c r="H966" s="72">
        <f t="shared" si="36"/>
        <v>0</v>
      </c>
      <c r="I966" s="12"/>
      <c r="J966" s="3" t="str">
        <f t="shared" si="35"/>
        <v>1</v>
      </c>
    </row>
    <row r="967" spans="2:10" ht="12.75" hidden="1" customHeight="1">
      <c r="B967" s="34"/>
      <c r="C967" s="10"/>
      <c r="D967" s="33"/>
      <c r="E967" s="33"/>
      <c r="F967" s="33"/>
      <c r="G967" s="33"/>
      <c r="H967" s="72">
        <f t="shared" si="36"/>
        <v>0</v>
      </c>
      <c r="I967" s="12"/>
      <c r="J967" s="3" t="str">
        <f t="shared" si="35"/>
        <v>1</v>
      </c>
    </row>
    <row r="968" spans="2:10" ht="12.75" hidden="1" customHeight="1">
      <c r="B968" s="34"/>
      <c r="C968" s="10"/>
      <c r="D968" s="33"/>
      <c r="E968" s="33"/>
      <c r="F968" s="33"/>
      <c r="G968" s="33"/>
      <c r="H968" s="72">
        <f t="shared" si="36"/>
        <v>0</v>
      </c>
      <c r="I968" s="12"/>
      <c r="J968" s="3" t="str">
        <f t="shared" si="35"/>
        <v>1</v>
      </c>
    </row>
    <row r="969" spans="2:10" ht="12.75" hidden="1" customHeight="1">
      <c r="B969" s="34"/>
      <c r="C969" s="10"/>
      <c r="D969" s="33"/>
      <c r="E969" s="33"/>
      <c r="F969" s="33"/>
      <c r="G969" s="33"/>
      <c r="H969" s="72">
        <f t="shared" si="36"/>
        <v>0</v>
      </c>
      <c r="I969" s="12"/>
      <c r="J969" s="3" t="str">
        <f t="shared" si="35"/>
        <v>1</v>
      </c>
    </row>
    <row r="970" spans="2:10" ht="12.75" hidden="1" customHeight="1">
      <c r="B970" s="34"/>
      <c r="C970" s="10"/>
      <c r="D970" s="33"/>
      <c r="E970" s="33"/>
      <c r="F970" s="33"/>
      <c r="G970" s="33"/>
      <c r="H970" s="72">
        <f t="shared" si="36"/>
        <v>0</v>
      </c>
      <c r="I970" s="12"/>
      <c r="J970" s="3" t="str">
        <f t="shared" si="35"/>
        <v>1</v>
      </c>
    </row>
    <row r="971" spans="2:10" ht="12.75" hidden="1" customHeight="1">
      <c r="B971" s="34"/>
      <c r="C971" s="10"/>
      <c r="D971" s="33"/>
      <c r="E971" s="33"/>
      <c r="F971" s="33"/>
      <c r="G971" s="33"/>
      <c r="H971" s="72">
        <f t="shared" si="36"/>
        <v>0</v>
      </c>
      <c r="I971" s="12"/>
      <c r="J971" s="3" t="str">
        <f t="shared" si="35"/>
        <v>1</v>
      </c>
    </row>
    <row r="972" spans="2:10" ht="12.75" hidden="1" customHeight="1">
      <c r="B972" s="34"/>
      <c r="C972" s="10"/>
      <c r="D972" s="33"/>
      <c r="E972" s="33"/>
      <c r="F972" s="33"/>
      <c r="G972" s="33"/>
      <c r="H972" s="72">
        <f t="shared" si="36"/>
        <v>0</v>
      </c>
      <c r="I972" s="12"/>
      <c r="J972" s="3" t="str">
        <f t="shared" si="35"/>
        <v>1</v>
      </c>
    </row>
    <row r="973" spans="2:10" ht="12.75" hidden="1" customHeight="1">
      <c r="B973" s="34"/>
      <c r="C973" s="10"/>
      <c r="D973" s="33"/>
      <c r="E973" s="33"/>
      <c r="F973" s="33"/>
      <c r="G973" s="33"/>
      <c r="H973" s="72">
        <f t="shared" si="36"/>
        <v>0</v>
      </c>
      <c r="I973" s="12"/>
      <c r="J973" s="3" t="str">
        <f t="shared" si="35"/>
        <v>1</v>
      </c>
    </row>
    <row r="974" spans="2:10" ht="12.75" hidden="1" customHeight="1">
      <c r="B974" s="34"/>
      <c r="C974" s="10"/>
      <c r="D974" s="33"/>
      <c r="E974" s="33"/>
      <c r="F974" s="33"/>
      <c r="G974" s="33"/>
      <c r="H974" s="72">
        <f t="shared" si="36"/>
        <v>0</v>
      </c>
      <c r="I974" s="12"/>
      <c r="J974" s="3" t="str">
        <f t="shared" si="35"/>
        <v>1</v>
      </c>
    </row>
    <row r="975" spans="2:10" ht="12.75" hidden="1" customHeight="1">
      <c r="B975" s="34"/>
      <c r="C975" s="10"/>
      <c r="D975" s="33"/>
      <c r="E975" s="33"/>
      <c r="F975" s="33"/>
      <c r="G975" s="33"/>
      <c r="H975" s="72">
        <f t="shared" si="36"/>
        <v>0</v>
      </c>
      <c r="I975" s="12"/>
      <c r="J975" s="3" t="str">
        <f t="shared" si="35"/>
        <v>1</v>
      </c>
    </row>
    <row r="976" spans="2:10" ht="12.75" hidden="1" customHeight="1">
      <c r="B976" s="34"/>
      <c r="C976" s="10"/>
      <c r="D976" s="33"/>
      <c r="E976" s="33"/>
      <c r="F976" s="33"/>
      <c r="G976" s="33"/>
      <c r="H976" s="72">
        <f t="shared" si="36"/>
        <v>0</v>
      </c>
      <c r="I976" s="12"/>
      <c r="J976" s="3" t="str">
        <f t="shared" si="35"/>
        <v>1</v>
      </c>
    </row>
    <row r="977" spans="2:10" ht="12.75" hidden="1" customHeight="1">
      <c r="B977" s="34"/>
      <c r="C977" s="10"/>
      <c r="D977" s="33"/>
      <c r="E977" s="33"/>
      <c r="F977" s="33"/>
      <c r="G977" s="33"/>
      <c r="H977" s="72">
        <f t="shared" si="36"/>
        <v>0</v>
      </c>
      <c r="I977" s="12"/>
      <c r="J977" s="3" t="str">
        <f t="shared" si="35"/>
        <v>1</v>
      </c>
    </row>
    <row r="978" spans="2:10" ht="12.75" hidden="1" customHeight="1">
      <c r="B978" s="34"/>
      <c r="C978" s="10"/>
      <c r="D978" s="33"/>
      <c r="E978" s="33"/>
      <c r="F978" s="33"/>
      <c r="G978" s="33"/>
      <c r="H978" s="72">
        <f t="shared" si="36"/>
        <v>0</v>
      </c>
      <c r="I978" s="12"/>
      <c r="J978" s="3" t="str">
        <f t="shared" si="35"/>
        <v>1</v>
      </c>
    </row>
    <row r="979" spans="2:10" ht="12.75" hidden="1" customHeight="1">
      <c r="B979" s="34"/>
      <c r="C979" s="10"/>
      <c r="D979" s="33"/>
      <c r="E979" s="33"/>
      <c r="F979" s="33"/>
      <c r="G979" s="33"/>
      <c r="H979" s="72">
        <f t="shared" si="36"/>
        <v>0</v>
      </c>
      <c r="I979" s="12"/>
      <c r="J979" s="3" t="str">
        <f t="shared" si="35"/>
        <v>1</v>
      </c>
    </row>
    <row r="980" spans="2:10" ht="12.75" hidden="1" customHeight="1">
      <c r="B980" s="34"/>
      <c r="C980" s="10"/>
      <c r="D980" s="33"/>
      <c r="E980" s="33"/>
      <c r="F980" s="33"/>
      <c r="G980" s="33"/>
      <c r="H980" s="72">
        <f t="shared" si="36"/>
        <v>0</v>
      </c>
      <c r="I980" s="12"/>
      <c r="J980" s="3" t="str">
        <f t="shared" si="35"/>
        <v>1</v>
      </c>
    </row>
    <row r="981" spans="2:10" ht="12.75" hidden="1" customHeight="1">
      <c r="B981" s="34"/>
      <c r="C981" s="10"/>
      <c r="D981" s="33"/>
      <c r="E981" s="33"/>
      <c r="F981" s="33"/>
      <c r="G981" s="33"/>
      <c r="H981" s="72">
        <f t="shared" si="36"/>
        <v>0</v>
      </c>
      <c r="I981" s="12"/>
      <c r="J981" s="3" t="str">
        <f t="shared" si="35"/>
        <v>1</v>
      </c>
    </row>
    <row r="982" spans="2:10" ht="12.75" hidden="1" customHeight="1">
      <c r="B982" s="34"/>
      <c r="C982" s="10"/>
      <c r="D982" s="33"/>
      <c r="E982" s="33"/>
      <c r="F982" s="33"/>
      <c r="G982" s="33"/>
      <c r="H982" s="72">
        <f t="shared" si="36"/>
        <v>0</v>
      </c>
      <c r="I982" s="12"/>
      <c r="J982" s="3" t="str">
        <f t="shared" si="35"/>
        <v>1</v>
      </c>
    </row>
    <row r="983" spans="2:10" ht="12.75" hidden="1" customHeight="1">
      <c r="B983" s="34"/>
      <c r="C983" s="10"/>
      <c r="D983" s="33"/>
      <c r="E983" s="33"/>
      <c r="F983" s="33"/>
      <c r="G983" s="33"/>
      <c r="H983" s="72">
        <f t="shared" si="36"/>
        <v>0</v>
      </c>
      <c r="I983" s="12"/>
      <c r="J983" s="3" t="str">
        <f t="shared" si="35"/>
        <v>1</v>
      </c>
    </row>
    <row r="984" spans="2:10" ht="12.75" hidden="1" customHeight="1">
      <c r="B984" s="34"/>
      <c r="C984" s="10"/>
      <c r="D984" s="33"/>
      <c r="E984" s="33"/>
      <c r="F984" s="33"/>
      <c r="G984" s="33"/>
      <c r="H984" s="72">
        <f t="shared" si="36"/>
        <v>0</v>
      </c>
      <c r="I984" s="12"/>
      <c r="J984" s="3" t="str">
        <f t="shared" si="35"/>
        <v>1</v>
      </c>
    </row>
    <row r="985" spans="2:10" ht="12.75" hidden="1" customHeight="1">
      <c r="B985" s="34"/>
      <c r="C985" s="10"/>
      <c r="D985" s="33"/>
      <c r="E985" s="33"/>
      <c r="F985" s="33"/>
      <c r="G985" s="33"/>
      <c r="H985" s="72">
        <f t="shared" si="36"/>
        <v>0</v>
      </c>
      <c r="I985" s="12"/>
      <c r="J985" s="3" t="str">
        <f t="shared" si="35"/>
        <v>1</v>
      </c>
    </row>
    <row r="986" spans="2:10" ht="12.75" hidden="1" customHeight="1">
      <c r="B986" s="34"/>
      <c r="C986" s="10"/>
      <c r="D986" s="33"/>
      <c r="E986" s="33"/>
      <c r="F986" s="33"/>
      <c r="G986" s="33"/>
      <c r="H986" s="72">
        <f t="shared" si="36"/>
        <v>0</v>
      </c>
      <c r="I986" s="12"/>
      <c r="J986" s="3" t="str">
        <f t="shared" si="35"/>
        <v>1</v>
      </c>
    </row>
    <row r="987" spans="2:10" ht="12.75" hidden="1" customHeight="1">
      <c r="B987" s="34"/>
      <c r="C987" s="10"/>
      <c r="D987" s="33"/>
      <c r="E987" s="33"/>
      <c r="F987" s="33"/>
      <c r="G987" s="33"/>
      <c r="H987" s="72">
        <f t="shared" si="36"/>
        <v>0</v>
      </c>
      <c r="I987" s="12"/>
      <c r="J987" s="3" t="str">
        <f t="shared" si="35"/>
        <v>1</v>
      </c>
    </row>
    <row r="988" spans="2:10" ht="12.75" hidden="1" customHeight="1">
      <c r="B988" s="34"/>
      <c r="C988" s="10"/>
      <c r="D988" s="33"/>
      <c r="E988" s="33"/>
      <c r="F988" s="33"/>
      <c r="G988" s="33"/>
      <c r="H988" s="72">
        <f t="shared" si="36"/>
        <v>0</v>
      </c>
      <c r="I988" s="12"/>
      <c r="J988" s="3" t="str">
        <f t="shared" si="35"/>
        <v>1</v>
      </c>
    </row>
    <row r="989" spans="2:10" ht="12.75" hidden="1" customHeight="1">
      <c r="B989" s="34"/>
      <c r="C989" s="10"/>
      <c r="D989" s="33"/>
      <c r="E989" s="33"/>
      <c r="F989" s="33"/>
      <c r="G989" s="33"/>
      <c r="H989" s="72">
        <f t="shared" si="36"/>
        <v>0</v>
      </c>
      <c r="I989" s="12"/>
      <c r="J989" s="3" t="str">
        <f t="shared" si="35"/>
        <v>1</v>
      </c>
    </row>
    <row r="990" spans="2:10" ht="12.75" hidden="1" customHeight="1">
      <c r="B990" s="34"/>
      <c r="C990" s="10"/>
      <c r="D990" s="33"/>
      <c r="E990" s="33"/>
      <c r="F990" s="33"/>
      <c r="G990" s="33"/>
      <c r="H990" s="72">
        <f t="shared" si="36"/>
        <v>0</v>
      </c>
      <c r="I990" s="12"/>
      <c r="J990" s="3" t="str">
        <f t="shared" si="35"/>
        <v>1</v>
      </c>
    </row>
    <row r="991" spans="2:10" ht="12.75" hidden="1" customHeight="1">
      <c r="B991" s="34"/>
      <c r="C991" s="10"/>
      <c r="D991" s="33"/>
      <c r="E991" s="33"/>
      <c r="F991" s="33"/>
      <c r="G991" s="33"/>
      <c r="H991" s="72">
        <f t="shared" si="36"/>
        <v>0</v>
      </c>
      <c r="I991" s="12"/>
      <c r="J991" s="3" t="str">
        <f t="shared" si="35"/>
        <v>1</v>
      </c>
    </row>
    <row r="992" spans="2:10" ht="12.75" hidden="1" customHeight="1">
      <c r="B992" s="34"/>
      <c r="C992" s="10"/>
      <c r="D992" s="33"/>
      <c r="E992" s="33"/>
      <c r="F992" s="33"/>
      <c r="G992" s="33"/>
      <c r="H992" s="72">
        <f t="shared" si="36"/>
        <v>0</v>
      </c>
      <c r="I992" s="12"/>
      <c r="J992" s="3" t="str">
        <f t="shared" si="35"/>
        <v>1</v>
      </c>
    </row>
    <row r="993" spans="2:10" ht="12.75" hidden="1" customHeight="1">
      <c r="B993" s="34"/>
      <c r="C993" s="10"/>
      <c r="D993" s="33"/>
      <c r="E993" s="33"/>
      <c r="F993" s="33"/>
      <c r="G993" s="33"/>
      <c r="H993" s="72">
        <f t="shared" si="36"/>
        <v>0</v>
      </c>
      <c r="I993" s="12"/>
      <c r="J993" s="3" t="str">
        <f t="shared" si="35"/>
        <v>1</v>
      </c>
    </row>
    <row r="994" spans="2:10" ht="12.75" hidden="1" customHeight="1">
      <c r="B994" s="34"/>
      <c r="C994" s="10"/>
      <c r="D994" s="33"/>
      <c r="E994" s="33"/>
      <c r="F994" s="33"/>
      <c r="G994" s="33"/>
      <c r="H994" s="72">
        <f t="shared" si="36"/>
        <v>0</v>
      </c>
      <c r="I994" s="12"/>
      <c r="J994" s="3" t="str">
        <f t="shared" si="35"/>
        <v>1</v>
      </c>
    </row>
    <row r="995" spans="2:10" ht="12.75" hidden="1" customHeight="1">
      <c r="B995" s="34"/>
      <c r="C995" s="10"/>
      <c r="D995" s="33"/>
      <c r="E995" s="33"/>
      <c r="F995" s="33"/>
      <c r="G995" s="33"/>
      <c r="H995" s="72">
        <f t="shared" si="36"/>
        <v>0</v>
      </c>
      <c r="I995" s="12"/>
      <c r="J995" s="3" t="str">
        <f t="shared" si="35"/>
        <v>1</v>
      </c>
    </row>
    <row r="996" spans="2:10" ht="12.75" hidden="1" customHeight="1">
      <c r="B996" s="34"/>
      <c r="C996" s="10"/>
      <c r="D996" s="33"/>
      <c r="E996" s="33"/>
      <c r="F996" s="33"/>
      <c r="G996" s="33"/>
      <c r="H996" s="72">
        <f t="shared" si="36"/>
        <v>0</v>
      </c>
      <c r="I996" s="12"/>
      <c r="J996" s="3" t="str">
        <f t="shared" si="35"/>
        <v>1</v>
      </c>
    </row>
    <row r="997" spans="2:10" ht="12.75" hidden="1" customHeight="1">
      <c r="B997" s="34"/>
      <c r="C997" s="10"/>
      <c r="D997" s="33"/>
      <c r="E997" s="33"/>
      <c r="F997" s="33"/>
      <c r="G997" s="33"/>
      <c r="H997" s="72">
        <f t="shared" si="36"/>
        <v>0</v>
      </c>
      <c r="I997" s="12"/>
      <c r="J997" s="3" t="str">
        <f t="shared" si="35"/>
        <v>1</v>
      </c>
    </row>
    <row r="998" spans="2:10" ht="12.75" hidden="1" customHeight="1">
      <c r="B998" s="34"/>
      <c r="C998" s="10"/>
      <c r="D998" s="33"/>
      <c r="E998" s="33"/>
      <c r="F998" s="33"/>
      <c r="G998" s="33"/>
      <c r="H998" s="72">
        <f t="shared" si="36"/>
        <v>0</v>
      </c>
      <c r="I998" s="12"/>
      <c r="J998" s="3" t="str">
        <f t="shared" si="35"/>
        <v>1</v>
      </c>
    </row>
    <row r="999" spans="2:10" ht="12.75" hidden="1" customHeight="1">
      <c r="B999" s="34"/>
      <c r="C999" s="10"/>
      <c r="D999" s="33"/>
      <c r="E999" s="33"/>
      <c r="F999" s="33"/>
      <c r="G999" s="33"/>
      <c r="H999" s="72">
        <f t="shared" si="36"/>
        <v>0</v>
      </c>
      <c r="I999" s="12"/>
      <c r="J999" s="3" t="str">
        <f t="shared" si="35"/>
        <v>1</v>
      </c>
    </row>
    <row r="1000" spans="2:10" ht="12.75" hidden="1" customHeight="1">
      <c r="B1000" s="34"/>
      <c r="C1000" s="10"/>
      <c r="D1000" s="33"/>
      <c r="E1000" s="33"/>
      <c r="F1000" s="33"/>
      <c r="G1000" s="33"/>
      <c r="H1000" s="72">
        <f t="shared" si="36"/>
        <v>0</v>
      </c>
      <c r="I1000" s="12"/>
      <c r="J1000" s="3" t="str">
        <f t="shared" si="35"/>
        <v>1</v>
      </c>
    </row>
    <row r="1001" spans="2:10" ht="12.75" hidden="1" customHeight="1">
      <c r="B1001" s="34"/>
      <c r="C1001" s="10"/>
      <c r="D1001" s="33"/>
      <c r="E1001" s="33"/>
      <c r="F1001" s="33"/>
      <c r="G1001" s="33"/>
      <c r="H1001" s="72">
        <f t="shared" si="36"/>
        <v>0</v>
      </c>
      <c r="I1001" s="12"/>
      <c r="J1001" s="3" t="str">
        <f t="shared" si="35"/>
        <v>1</v>
      </c>
    </row>
    <row r="1002" spans="2:10" ht="12.75" hidden="1" customHeight="1">
      <c r="B1002" s="34"/>
      <c r="C1002" s="10"/>
      <c r="D1002" s="33"/>
      <c r="E1002" s="33"/>
      <c r="F1002" s="33"/>
      <c r="G1002" s="33"/>
      <c r="H1002" s="72">
        <f t="shared" si="36"/>
        <v>0</v>
      </c>
      <c r="I1002" s="12"/>
      <c r="J1002" s="3" t="str">
        <f t="shared" si="35"/>
        <v>1</v>
      </c>
    </row>
    <row r="1003" spans="2:10" ht="12.75" hidden="1" customHeight="1">
      <c r="B1003" s="34"/>
      <c r="C1003" s="10"/>
      <c r="D1003" s="33"/>
      <c r="E1003" s="33"/>
      <c r="F1003" s="33"/>
      <c r="G1003" s="33"/>
      <c r="H1003" s="72">
        <f t="shared" si="36"/>
        <v>0</v>
      </c>
      <c r="I1003" s="12"/>
      <c r="J1003" s="3" t="str">
        <f t="shared" si="35"/>
        <v>1</v>
      </c>
    </row>
    <row r="1004" spans="2:10" ht="12.75" hidden="1" customHeight="1">
      <c r="B1004" s="34"/>
      <c r="C1004" s="10"/>
      <c r="D1004" s="33"/>
      <c r="E1004" s="33"/>
      <c r="F1004" s="33"/>
      <c r="G1004" s="33"/>
      <c r="H1004" s="72">
        <f t="shared" si="36"/>
        <v>0</v>
      </c>
      <c r="I1004" s="12"/>
      <c r="J1004" s="3" t="str">
        <f t="shared" si="35"/>
        <v>1</v>
      </c>
    </row>
    <row r="1005" spans="2:10" ht="12.75" hidden="1" customHeight="1">
      <c r="B1005" s="34"/>
      <c r="C1005" s="10"/>
      <c r="D1005" s="33"/>
      <c r="E1005" s="33"/>
      <c r="F1005" s="33"/>
      <c r="G1005" s="33"/>
      <c r="H1005" s="72">
        <f t="shared" si="36"/>
        <v>0</v>
      </c>
      <c r="I1005" s="12"/>
      <c r="J1005" s="3" t="str">
        <f t="shared" si="35"/>
        <v>1</v>
      </c>
    </row>
    <row r="1006" spans="2:10" ht="12.75" hidden="1" customHeight="1">
      <c r="B1006" s="34"/>
      <c r="C1006" s="10"/>
      <c r="D1006" s="33"/>
      <c r="E1006" s="33"/>
      <c r="F1006" s="33"/>
      <c r="G1006" s="33"/>
      <c r="H1006" s="72">
        <f t="shared" si="36"/>
        <v>0</v>
      </c>
      <c r="I1006" s="12"/>
      <c r="J1006" s="3" t="str">
        <f t="shared" si="35"/>
        <v>1</v>
      </c>
    </row>
    <row r="1007" spans="2:10" ht="12.75" hidden="1" customHeight="1">
      <c r="B1007" s="34"/>
      <c r="C1007" s="10"/>
      <c r="D1007" s="33"/>
      <c r="E1007" s="33"/>
      <c r="F1007" s="33"/>
      <c r="G1007" s="33"/>
      <c r="H1007" s="72">
        <f t="shared" si="36"/>
        <v>0</v>
      </c>
      <c r="I1007" s="12"/>
      <c r="J1007" s="3" t="str">
        <f t="shared" si="35"/>
        <v>1</v>
      </c>
    </row>
    <row r="1008" spans="2:10" ht="12.75" hidden="1" customHeight="1">
      <c r="B1008" s="34"/>
      <c r="C1008" s="10"/>
      <c r="D1008" s="33"/>
      <c r="E1008" s="33"/>
      <c r="F1008" s="33"/>
      <c r="G1008" s="33"/>
      <c r="H1008" s="72">
        <f t="shared" si="36"/>
        <v>0</v>
      </c>
      <c r="I1008" s="12"/>
      <c r="J1008" s="3" t="str">
        <f t="shared" si="35"/>
        <v>1</v>
      </c>
    </row>
    <row r="1009" spans="2:10" ht="12.75" hidden="1" customHeight="1">
      <c r="B1009" s="34"/>
      <c r="C1009" s="10"/>
      <c r="D1009" s="33"/>
      <c r="E1009" s="33"/>
      <c r="F1009" s="33"/>
      <c r="G1009" s="33"/>
      <c r="H1009" s="72">
        <f t="shared" si="36"/>
        <v>0</v>
      </c>
      <c r="I1009" s="12"/>
      <c r="J1009" s="3" t="str">
        <f t="shared" si="35"/>
        <v>1</v>
      </c>
    </row>
    <row r="1010" spans="2:10" ht="12.75" hidden="1" customHeight="1">
      <c r="B1010" s="34"/>
      <c r="C1010" s="10"/>
      <c r="D1010" s="33"/>
      <c r="E1010" s="33"/>
      <c r="F1010" s="33"/>
      <c r="G1010" s="33"/>
      <c r="H1010" s="72">
        <f t="shared" si="36"/>
        <v>0</v>
      </c>
      <c r="I1010" s="12"/>
      <c r="J1010" s="3" t="str">
        <f t="shared" si="35"/>
        <v>1</v>
      </c>
    </row>
    <row r="1011" spans="2:10" ht="12.75" hidden="1" customHeight="1">
      <c r="B1011" s="34"/>
      <c r="C1011" s="10"/>
      <c r="D1011" s="33"/>
      <c r="E1011" s="33"/>
      <c r="F1011" s="33"/>
      <c r="G1011" s="33"/>
      <c r="H1011" s="72">
        <f t="shared" si="36"/>
        <v>0</v>
      </c>
      <c r="I1011" s="12"/>
      <c r="J1011" s="3" t="str">
        <f t="shared" si="35"/>
        <v>1</v>
      </c>
    </row>
    <row r="1012" spans="2:10" ht="12.75" hidden="1" customHeight="1">
      <c r="B1012" s="34"/>
      <c r="C1012" s="10"/>
      <c r="D1012" s="33"/>
      <c r="E1012" s="33"/>
      <c r="F1012" s="33"/>
      <c r="G1012" s="33"/>
      <c r="H1012" s="72">
        <f t="shared" si="36"/>
        <v>0</v>
      </c>
      <c r="I1012" s="12"/>
      <c r="J1012" s="3" t="str">
        <f t="shared" si="35"/>
        <v>1</v>
      </c>
    </row>
    <row r="1013" spans="2:10" ht="12.75" hidden="1" customHeight="1">
      <c r="B1013" s="34"/>
      <c r="C1013" s="10"/>
      <c r="D1013" s="33"/>
      <c r="E1013" s="33"/>
      <c r="F1013" s="33"/>
      <c r="G1013" s="33"/>
      <c r="H1013" s="72">
        <f t="shared" si="36"/>
        <v>0</v>
      </c>
      <c r="I1013" s="12"/>
      <c r="J1013" s="3" t="str">
        <f t="shared" si="35"/>
        <v>1</v>
      </c>
    </row>
    <row r="1014" spans="2:10" ht="12.75" hidden="1" customHeight="1">
      <c r="B1014" s="34"/>
      <c r="C1014" s="10"/>
      <c r="D1014" s="33"/>
      <c r="E1014" s="33"/>
      <c r="F1014" s="33"/>
      <c r="G1014" s="33"/>
      <c r="H1014" s="72">
        <f t="shared" si="36"/>
        <v>0</v>
      </c>
      <c r="I1014" s="12"/>
      <c r="J1014" s="3" t="str">
        <f t="shared" si="35"/>
        <v>1</v>
      </c>
    </row>
    <row r="1015" spans="2:10" ht="12.75" hidden="1" customHeight="1">
      <c r="B1015" s="34"/>
      <c r="C1015" s="10"/>
      <c r="D1015" s="33"/>
      <c r="E1015" s="33"/>
      <c r="F1015" s="33"/>
      <c r="G1015" s="33"/>
      <c r="H1015" s="72">
        <f t="shared" si="36"/>
        <v>0</v>
      </c>
      <c r="I1015" s="12"/>
      <c r="J1015" s="3" t="str">
        <f t="shared" si="35"/>
        <v>1</v>
      </c>
    </row>
    <row r="1016" spans="2:10" ht="12.75" hidden="1" customHeight="1">
      <c r="B1016" s="34"/>
      <c r="C1016" s="10"/>
      <c r="D1016" s="33"/>
      <c r="E1016" s="33"/>
      <c r="F1016" s="33"/>
      <c r="G1016" s="33"/>
      <c r="H1016" s="72">
        <f t="shared" si="36"/>
        <v>0</v>
      </c>
      <c r="I1016" s="12"/>
      <c r="J1016" s="3" t="str">
        <f t="shared" si="35"/>
        <v>1</v>
      </c>
    </row>
    <row r="1017" spans="2:10" ht="12.75" hidden="1" customHeight="1">
      <c r="B1017" s="34"/>
      <c r="C1017" s="10"/>
      <c r="D1017" s="33"/>
      <c r="E1017" s="33"/>
      <c r="F1017" s="33"/>
      <c r="G1017" s="33"/>
      <c r="H1017" s="72">
        <f t="shared" si="36"/>
        <v>0</v>
      </c>
      <c r="I1017" s="12"/>
      <c r="J1017" s="3" t="str">
        <f t="shared" si="35"/>
        <v>1</v>
      </c>
    </row>
    <row r="1018" spans="2:10" ht="12.75" hidden="1" customHeight="1">
      <c r="B1018" s="34"/>
      <c r="C1018" s="10"/>
      <c r="D1018" s="33"/>
      <c r="E1018" s="33"/>
      <c r="F1018" s="33"/>
      <c r="G1018" s="33"/>
      <c r="H1018" s="72">
        <f t="shared" si="36"/>
        <v>0</v>
      </c>
      <c r="I1018" s="12"/>
      <c r="J1018" s="3" t="str">
        <f t="shared" si="35"/>
        <v>1</v>
      </c>
    </row>
    <row r="1019" spans="2:10" ht="12.75" hidden="1" customHeight="1">
      <c r="B1019" s="34"/>
      <c r="C1019" s="10"/>
      <c r="D1019" s="33"/>
      <c r="E1019" s="33"/>
      <c r="F1019" s="33"/>
      <c r="G1019" s="33"/>
      <c r="H1019" s="72">
        <f t="shared" si="36"/>
        <v>0</v>
      </c>
      <c r="I1019" s="12"/>
      <c r="J1019" s="3" t="str">
        <f t="shared" si="35"/>
        <v>1</v>
      </c>
    </row>
    <row r="1020" spans="2:10" ht="12.75" hidden="1" customHeight="1">
      <c r="B1020" s="34"/>
      <c r="C1020" s="10"/>
      <c r="D1020" s="33"/>
      <c r="E1020" s="33"/>
      <c r="F1020" s="33"/>
      <c r="G1020" s="33"/>
      <c r="H1020" s="72">
        <f t="shared" si="36"/>
        <v>0</v>
      </c>
      <c r="I1020" s="12"/>
      <c r="J1020" s="3" t="str">
        <f t="shared" si="35"/>
        <v>1</v>
      </c>
    </row>
    <row r="1021" spans="2:10" ht="12.75" hidden="1" customHeight="1">
      <c r="B1021" s="34"/>
      <c r="C1021" s="10"/>
      <c r="D1021" s="33"/>
      <c r="E1021" s="33"/>
      <c r="F1021" s="33"/>
      <c r="G1021" s="33"/>
      <c r="H1021" s="72">
        <f t="shared" si="36"/>
        <v>0</v>
      </c>
      <c r="I1021" s="12"/>
      <c r="J1021" s="3" t="str">
        <f t="shared" si="35"/>
        <v>1</v>
      </c>
    </row>
    <row r="1022" spans="2:10" ht="12.75" hidden="1" customHeight="1">
      <c r="B1022" s="34"/>
      <c r="C1022" s="10"/>
      <c r="D1022" s="33"/>
      <c r="E1022" s="33"/>
      <c r="F1022" s="33"/>
      <c r="G1022" s="33"/>
      <c r="H1022" s="72">
        <f t="shared" si="36"/>
        <v>0</v>
      </c>
      <c r="I1022" s="12"/>
      <c r="J1022" s="3" t="str">
        <f t="shared" si="35"/>
        <v>1</v>
      </c>
    </row>
    <row r="1023" spans="2:10" ht="12.75" hidden="1" customHeight="1">
      <c r="B1023" s="34"/>
      <c r="C1023" s="10"/>
      <c r="D1023" s="33"/>
      <c r="E1023" s="33"/>
      <c r="F1023" s="33"/>
      <c r="G1023" s="33"/>
      <c r="H1023" s="72">
        <f t="shared" si="36"/>
        <v>0</v>
      </c>
      <c r="I1023" s="12"/>
      <c r="J1023" s="3" t="str">
        <f t="shared" si="35"/>
        <v>1</v>
      </c>
    </row>
    <row r="1024" spans="2:10" ht="12.75" hidden="1" customHeight="1">
      <c r="B1024" s="34"/>
      <c r="C1024" s="10"/>
      <c r="D1024" s="33"/>
      <c r="E1024" s="33"/>
      <c r="F1024" s="33"/>
      <c r="G1024" s="33"/>
      <c r="H1024" s="72">
        <f t="shared" si="36"/>
        <v>0</v>
      </c>
      <c r="I1024" s="12"/>
      <c r="J1024" s="3" t="str">
        <f t="shared" si="35"/>
        <v>1</v>
      </c>
    </row>
    <row r="1025" spans="2:10" ht="12.75" hidden="1" customHeight="1">
      <c r="B1025" s="34"/>
      <c r="C1025" s="10"/>
      <c r="D1025" s="33"/>
      <c r="E1025" s="33"/>
      <c r="F1025" s="33"/>
      <c r="G1025" s="33"/>
      <c r="H1025" s="72">
        <f t="shared" si="36"/>
        <v>0</v>
      </c>
      <c r="I1025" s="12"/>
      <c r="J1025" s="3" t="str">
        <f t="shared" si="35"/>
        <v>1</v>
      </c>
    </row>
    <row r="1026" spans="2:10" ht="12.75" hidden="1" customHeight="1">
      <c r="B1026" s="34"/>
      <c r="C1026" s="10"/>
      <c r="D1026" s="33"/>
      <c r="E1026" s="33"/>
      <c r="F1026" s="33"/>
      <c r="G1026" s="33"/>
      <c r="H1026" s="72">
        <f t="shared" si="36"/>
        <v>0</v>
      </c>
      <c r="I1026" s="12"/>
      <c r="J1026" s="3" t="str">
        <f t="shared" si="35"/>
        <v>1</v>
      </c>
    </row>
    <row r="1027" spans="2:10" ht="12.75" hidden="1" customHeight="1">
      <c r="B1027" s="34"/>
      <c r="C1027" s="10"/>
      <c r="D1027" s="33"/>
      <c r="E1027" s="33"/>
      <c r="F1027" s="33"/>
      <c r="G1027" s="33"/>
      <c r="H1027" s="72">
        <f t="shared" si="36"/>
        <v>0</v>
      </c>
      <c r="I1027" s="12"/>
      <c r="J1027" s="3" t="str">
        <f t="shared" ref="J1027:J1090" si="37">TRIM(C1027) &amp; (COUNTIFS($C$4:$C$123, C1027, $I$4:$I$123, "&gt;"&amp;I1027) + 1)</f>
        <v>1</v>
      </c>
    </row>
    <row r="1028" spans="2:10" ht="12.75" hidden="1" customHeight="1">
      <c r="B1028" s="34"/>
      <c r="C1028" s="10"/>
      <c r="D1028" s="33"/>
      <c r="E1028" s="33"/>
      <c r="F1028" s="33"/>
      <c r="G1028" s="33"/>
      <c r="H1028" s="72">
        <f t="shared" si="36"/>
        <v>0</v>
      </c>
      <c r="I1028" s="12"/>
      <c r="J1028" s="3" t="str">
        <f t="shared" si="37"/>
        <v>1</v>
      </c>
    </row>
    <row r="1029" spans="2:10" ht="12.75" hidden="1" customHeight="1">
      <c r="B1029" s="34"/>
      <c r="C1029" s="10"/>
      <c r="D1029" s="33"/>
      <c r="E1029" s="33"/>
      <c r="F1029" s="33"/>
      <c r="G1029" s="33"/>
      <c r="H1029" s="72">
        <f t="shared" ref="H1029:H1092" si="38">IF(D1029=0, COUNTIFS($C$4:$C$123, C1029, $B$4:$B$123, "&lt;&gt;"), COUNTIFS($C$4:$C$123, C1029, $D$4:$D$123, "&gt;"&amp;D1029) + 1)</f>
        <v>0</v>
      </c>
      <c r="I1029" s="12"/>
      <c r="J1029" s="3" t="str">
        <f t="shared" si="37"/>
        <v>1</v>
      </c>
    </row>
    <row r="1030" spans="2:10" ht="12.75" hidden="1" customHeight="1">
      <c r="B1030" s="34"/>
      <c r="C1030" s="10"/>
      <c r="D1030" s="33"/>
      <c r="E1030" s="33"/>
      <c r="F1030" s="33"/>
      <c r="G1030" s="33"/>
      <c r="H1030" s="72">
        <f t="shared" si="38"/>
        <v>0</v>
      </c>
      <c r="I1030" s="12"/>
      <c r="J1030" s="3" t="str">
        <f t="shared" si="37"/>
        <v>1</v>
      </c>
    </row>
    <row r="1031" spans="2:10" ht="12.75" hidden="1" customHeight="1">
      <c r="B1031" s="34"/>
      <c r="C1031" s="10"/>
      <c r="D1031" s="33"/>
      <c r="E1031" s="33"/>
      <c r="F1031" s="33"/>
      <c r="G1031" s="33"/>
      <c r="H1031" s="72">
        <f t="shared" si="38"/>
        <v>0</v>
      </c>
      <c r="I1031" s="12"/>
      <c r="J1031" s="3" t="str">
        <f t="shared" si="37"/>
        <v>1</v>
      </c>
    </row>
    <row r="1032" spans="2:10" ht="12.75" hidden="1" customHeight="1">
      <c r="B1032" s="34"/>
      <c r="C1032" s="10"/>
      <c r="D1032" s="33"/>
      <c r="E1032" s="33"/>
      <c r="F1032" s="33"/>
      <c r="G1032" s="33"/>
      <c r="H1032" s="72">
        <f t="shared" si="38"/>
        <v>0</v>
      </c>
      <c r="I1032" s="12"/>
      <c r="J1032" s="3" t="str">
        <f t="shared" si="37"/>
        <v>1</v>
      </c>
    </row>
    <row r="1033" spans="2:10" ht="12.75" hidden="1" customHeight="1">
      <c r="B1033" s="34"/>
      <c r="C1033" s="10"/>
      <c r="D1033" s="33"/>
      <c r="E1033" s="33"/>
      <c r="F1033" s="33"/>
      <c r="G1033" s="33"/>
      <c r="H1033" s="72">
        <f t="shared" si="38"/>
        <v>0</v>
      </c>
      <c r="I1033" s="12"/>
      <c r="J1033" s="3" t="str">
        <f t="shared" si="37"/>
        <v>1</v>
      </c>
    </row>
    <row r="1034" spans="2:10" ht="12.75" hidden="1" customHeight="1">
      <c r="B1034" s="34"/>
      <c r="C1034" s="10"/>
      <c r="D1034" s="33"/>
      <c r="E1034" s="33"/>
      <c r="F1034" s="33"/>
      <c r="G1034" s="33"/>
      <c r="H1034" s="72">
        <f t="shared" si="38"/>
        <v>0</v>
      </c>
      <c r="I1034" s="12"/>
      <c r="J1034" s="3" t="str">
        <f t="shared" si="37"/>
        <v>1</v>
      </c>
    </row>
    <row r="1035" spans="2:10" ht="12.75" hidden="1" customHeight="1">
      <c r="B1035" s="34"/>
      <c r="C1035" s="10"/>
      <c r="D1035" s="33"/>
      <c r="E1035" s="33"/>
      <c r="F1035" s="33"/>
      <c r="G1035" s="33"/>
      <c r="H1035" s="72">
        <f t="shared" si="38"/>
        <v>0</v>
      </c>
      <c r="I1035" s="12"/>
      <c r="J1035" s="3" t="str">
        <f t="shared" si="37"/>
        <v>1</v>
      </c>
    </row>
    <row r="1036" spans="2:10" ht="12.75" hidden="1" customHeight="1">
      <c r="B1036" s="34"/>
      <c r="C1036" s="10"/>
      <c r="D1036" s="33"/>
      <c r="E1036" s="33"/>
      <c r="F1036" s="33"/>
      <c r="G1036" s="33"/>
      <c r="H1036" s="72">
        <f t="shared" si="38"/>
        <v>0</v>
      </c>
      <c r="I1036" s="12"/>
      <c r="J1036" s="3" t="str">
        <f t="shared" si="37"/>
        <v>1</v>
      </c>
    </row>
    <row r="1037" spans="2:10" ht="12.75" hidden="1" customHeight="1">
      <c r="B1037" s="34"/>
      <c r="C1037" s="10"/>
      <c r="D1037" s="33"/>
      <c r="E1037" s="33"/>
      <c r="F1037" s="33"/>
      <c r="G1037" s="33"/>
      <c r="H1037" s="72">
        <f t="shared" si="38"/>
        <v>0</v>
      </c>
      <c r="I1037" s="12"/>
      <c r="J1037" s="3" t="str">
        <f t="shared" si="37"/>
        <v>1</v>
      </c>
    </row>
    <row r="1038" spans="2:10" ht="12.75" hidden="1" customHeight="1">
      <c r="B1038" s="34"/>
      <c r="C1038" s="10"/>
      <c r="D1038" s="33"/>
      <c r="E1038" s="33"/>
      <c r="F1038" s="33"/>
      <c r="G1038" s="33"/>
      <c r="H1038" s="72">
        <f t="shared" si="38"/>
        <v>0</v>
      </c>
      <c r="I1038" s="12"/>
      <c r="J1038" s="3" t="str">
        <f t="shared" si="37"/>
        <v>1</v>
      </c>
    </row>
    <row r="1039" spans="2:10" ht="12.75" hidden="1" customHeight="1">
      <c r="B1039" s="34"/>
      <c r="C1039" s="10"/>
      <c r="D1039" s="33"/>
      <c r="E1039" s="33"/>
      <c r="F1039" s="33"/>
      <c r="G1039" s="33"/>
      <c r="H1039" s="72">
        <f t="shared" si="38"/>
        <v>0</v>
      </c>
      <c r="I1039" s="12"/>
      <c r="J1039" s="3" t="str">
        <f t="shared" si="37"/>
        <v>1</v>
      </c>
    </row>
    <row r="1040" spans="2:10" ht="12.75" hidden="1" customHeight="1">
      <c r="B1040" s="34"/>
      <c r="C1040" s="10"/>
      <c r="D1040" s="33"/>
      <c r="E1040" s="33"/>
      <c r="F1040" s="33"/>
      <c r="G1040" s="33"/>
      <c r="H1040" s="72">
        <f t="shared" si="38"/>
        <v>0</v>
      </c>
      <c r="I1040" s="12"/>
      <c r="J1040" s="3" t="str">
        <f t="shared" si="37"/>
        <v>1</v>
      </c>
    </row>
    <row r="1041" spans="2:10" ht="12.75" hidden="1" customHeight="1">
      <c r="B1041" s="34"/>
      <c r="C1041" s="10"/>
      <c r="D1041" s="33"/>
      <c r="E1041" s="33"/>
      <c r="F1041" s="33"/>
      <c r="G1041" s="33"/>
      <c r="H1041" s="72">
        <f t="shared" si="38"/>
        <v>0</v>
      </c>
      <c r="I1041" s="12"/>
      <c r="J1041" s="3" t="str">
        <f t="shared" si="37"/>
        <v>1</v>
      </c>
    </row>
    <row r="1042" spans="2:10" ht="12.75" hidden="1" customHeight="1">
      <c r="B1042" s="34"/>
      <c r="C1042" s="10"/>
      <c r="D1042" s="33"/>
      <c r="E1042" s="33"/>
      <c r="F1042" s="33"/>
      <c r="G1042" s="33"/>
      <c r="H1042" s="72">
        <f t="shared" si="38"/>
        <v>0</v>
      </c>
      <c r="I1042" s="12"/>
      <c r="J1042" s="3" t="str">
        <f t="shared" si="37"/>
        <v>1</v>
      </c>
    </row>
    <row r="1043" spans="2:10" ht="12.75" hidden="1" customHeight="1">
      <c r="B1043" s="34"/>
      <c r="C1043" s="10"/>
      <c r="D1043" s="33"/>
      <c r="E1043" s="33"/>
      <c r="F1043" s="33"/>
      <c r="G1043" s="33"/>
      <c r="H1043" s="72">
        <f t="shared" si="38"/>
        <v>0</v>
      </c>
      <c r="I1043" s="12"/>
      <c r="J1043" s="3" t="str">
        <f t="shared" si="37"/>
        <v>1</v>
      </c>
    </row>
    <row r="1044" spans="2:10" ht="12.75" hidden="1" customHeight="1">
      <c r="B1044" s="34"/>
      <c r="C1044" s="10"/>
      <c r="D1044" s="33"/>
      <c r="E1044" s="33"/>
      <c r="F1044" s="33"/>
      <c r="G1044" s="33"/>
      <c r="H1044" s="72">
        <f t="shared" si="38"/>
        <v>0</v>
      </c>
      <c r="I1044" s="12"/>
      <c r="J1044" s="3" t="str">
        <f t="shared" si="37"/>
        <v>1</v>
      </c>
    </row>
    <row r="1045" spans="2:10" ht="12.75" hidden="1" customHeight="1">
      <c r="B1045" s="34"/>
      <c r="C1045" s="10"/>
      <c r="D1045" s="33"/>
      <c r="E1045" s="33"/>
      <c r="F1045" s="33"/>
      <c r="G1045" s="33"/>
      <c r="H1045" s="72">
        <f t="shared" si="38"/>
        <v>0</v>
      </c>
      <c r="I1045" s="12"/>
      <c r="J1045" s="3" t="str">
        <f t="shared" si="37"/>
        <v>1</v>
      </c>
    </row>
    <row r="1046" spans="2:10" ht="12.75" hidden="1" customHeight="1">
      <c r="B1046" s="34"/>
      <c r="C1046" s="10"/>
      <c r="D1046" s="33"/>
      <c r="E1046" s="33"/>
      <c r="F1046" s="33"/>
      <c r="G1046" s="33"/>
      <c r="H1046" s="72">
        <f t="shared" si="38"/>
        <v>0</v>
      </c>
      <c r="I1046" s="12"/>
      <c r="J1046" s="3" t="str">
        <f t="shared" si="37"/>
        <v>1</v>
      </c>
    </row>
    <row r="1047" spans="2:10" ht="12.75" hidden="1" customHeight="1">
      <c r="B1047" s="34"/>
      <c r="C1047" s="10"/>
      <c r="D1047" s="33"/>
      <c r="E1047" s="33"/>
      <c r="F1047" s="33"/>
      <c r="G1047" s="33"/>
      <c r="H1047" s="72">
        <f t="shared" si="38"/>
        <v>0</v>
      </c>
      <c r="I1047" s="12"/>
      <c r="J1047" s="3" t="str">
        <f t="shared" si="37"/>
        <v>1</v>
      </c>
    </row>
    <row r="1048" spans="2:10" ht="12.75" hidden="1" customHeight="1">
      <c r="B1048" s="34"/>
      <c r="C1048" s="10"/>
      <c r="D1048" s="33"/>
      <c r="E1048" s="33"/>
      <c r="F1048" s="33"/>
      <c r="G1048" s="33"/>
      <c r="H1048" s="72">
        <f t="shared" si="38"/>
        <v>0</v>
      </c>
      <c r="I1048" s="12"/>
      <c r="J1048" s="3" t="str">
        <f t="shared" si="37"/>
        <v>1</v>
      </c>
    </row>
    <row r="1049" spans="2:10" ht="12.75" hidden="1" customHeight="1">
      <c r="B1049" s="34"/>
      <c r="C1049" s="10"/>
      <c r="D1049" s="33"/>
      <c r="E1049" s="33"/>
      <c r="F1049" s="33"/>
      <c r="G1049" s="33"/>
      <c r="H1049" s="72">
        <f t="shared" si="38"/>
        <v>0</v>
      </c>
      <c r="I1049" s="12"/>
      <c r="J1049" s="3" t="str">
        <f t="shared" si="37"/>
        <v>1</v>
      </c>
    </row>
    <row r="1050" spans="2:10" ht="12.75" hidden="1" customHeight="1">
      <c r="B1050" s="34"/>
      <c r="C1050" s="10"/>
      <c r="D1050" s="33"/>
      <c r="E1050" s="33"/>
      <c r="F1050" s="33"/>
      <c r="G1050" s="33"/>
      <c r="H1050" s="72">
        <f t="shared" si="38"/>
        <v>0</v>
      </c>
      <c r="I1050" s="12"/>
      <c r="J1050" s="3" t="str">
        <f t="shared" si="37"/>
        <v>1</v>
      </c>
    </row>
    <row r="1051" spans="2:10" ht="12.75" hidden="1" customHeight="1">
      <c r="B1051" s="34"/>
      <c r="C1051" s="10"/>
      <c r="D1051" s="33"/>
      <c r="E1051" s="33"/>
      <c r="F1051" s="33"/>
      <c r="G1051" s="33"/>
      <c r="H1051" s="72">
        <f t="shared" si="38"/>
        <v>0</v>
      </c>
      <c r="I1051" s="12"/>
      <c r="J1051" s="3" t="str">
        <f t="shared" si="37"/>
        <v>1</v>
      </c>
    </row>
    <row r="1052" spans="2:10" ht="12.75" hidden="1" customHeight="1">
      <c r="B1052" s="34"/>
      <c r="C1052" s="10"/>
      <c r="D1052" s="33"/>
      <c r="E1052" s="33"/>
      <c r="F1052" s="33"/>
      <c r="G1052" s="33"/>
      <c r="H1052" s="72">
        <f t="shared" si="38"/>
        <v>0</v>
      </c>
      <c r="I1052" s="12"/>
      <c r="J1052" s="3" t="str">
        <f t="shared" si="37"/>
        <v>1</v>
      </c>
    </row>
    <row r="1053" spans="2:10" ht="12.75" hidden="1" customHeight="1">
      <c r="B1053" s="34"/>
      <c r="C1053" s="10"/>
      <c r="D1053" s="33"/>
      <c r="E1053" s="33"/>
      <c r="F1053" s="33"/>
      <c r="G1053" s="33"/>
      <c r="H1053" s="72">
        <f t="shared" si="38"/>
        <v>0</v>
      </c>
      <c r="I1053" s="12"/>
      <c r="J1053" s="3" t="str">
        <f t="shared" si="37"/>
        <v>1</v>
      </c>
    </row>
    <row r="1054" spans="2:10" ht="12.75" hidden="1" customHeight="1">
      <c r="B1054" s="34"/>
      <c r="C1054" s="10"/>
      <c r="D1054" s="33"/>
      <c r="E1054" s="33"/>
      <c r="F1054" s="33"/>
      <c r="G1054" s="33"/>
      <c r="H1054" s="72">
        <f t="shared" si="38"/>
        <v>0</v>
      </c>
      <c r="I1054" s="12"/>
      <c r="J1054" s="3" t="str">
        <f t="shared" si="37"/>
        <v>1</v>
      </c>
    </row>
    <row r="1055" spans="2:10" ht="12.75" hidden="1" customHeight="1">
      <c r="B1055" s="34"/>
      <c r="C1055" s="10"/>
      <c r="D1055" s="33"/>
      <c r="E1055" s="33"/>
      <c r="F1055" s="33"/>
      <c r="G1055" s="33"/>
      <c r="H1055" s="72">
        <f t="shared" si="38"/>
        <v>0</v>
      </c>
      <c r="I1055" s="12"/>
      <c r="J1055" s="3" t="str">
        <f t="shared" si="37"/>
        <v>1</v>
      </c>
    </row>
    <row r="1056" spans="2:10" ht="12.75" hidden="1" customHeight="1">
      <c r="B1056" s="34"/>
      <c r="C1056" s="10"/>
      <c r="D1056" s="33"/>
      <c r="E1056" s="33"/>
      <c r="F1056" s="33"/>
      <c r="G1056" s="33"/>
      <c r="H1056" s="72">
        <f t="shared" si="38"/>
        <v>0</v>
      </c>
      <c r="I1056" s="12"/>
      <c r="J1056" s="3" t="str">
        <f t="shared" si="37"/>
        <v>1</v>
      </c>
    </row>
    <row r="1057" spans="2:10" ht="12.75" hidden="1" customHeight="1">
      <c r="B1057" s="34"/>
      <c r="C1057" s="10"/>
      <c r="D1057" s="33"/>
      <c r="E1057" s="33"/>
      <c r="F1057" s="33"/>
      <c r="G1057" s="33"/>
      <c r="H1057" s="72">
        <f t="shared" si="38"/>
        <v>0</v>
      </c>
      <c r="I1057" s="12"/>
      <c r="J1057" s="3" t="str">
        <f t="shared" si="37"/>
        <v>1</v>
      </c>
    </row>
    <row r="1058" spans="2:10" ht="12.75" hidden="1" customHeight="1">
      <c r="B1058" s="34"/>
      <c r="C1058" s="10"/>
      <c r="D1058" s="33"/>
      <c r="E1058" s="33"/>
      <c r="F1058" s="33"/>
      <c r="G1058" s="33"/>
      <c r="H1058" s="72">
        <f t="shared" si="38"/>
        <v>0</v>
      </c>
      <c r="I1058" s="12"/>
      <c r="J1058" s="3" t="str">
        <f t="shared" si="37"/>
        <v>1</v>
      </c>
    </row>
    <row r="1059" spans="2:10" ht="12.75" hidden="1" customHeight="1">
      <c r="B1059" s="34"/>
      <c r="C1059" s="10"/>
      <c r="D1059" s="33"/>
      <c r="E1059" s="33"/>
      <c r="F1059" s="33"/>
      <c r="G1059" s="33"/>
      <c r="H1059" s="72">
        <f t="shared" si="38"/>
        <v>0</v>
      </c>
      <c r="I1059" s="12"/>
      <c r="J1059" s="3" t="str">
        <f t="shared" si="37"/>
        <v>1</v>
      </c>
    </row>
    <row r="1060" spans="2:10" ht="12.75" hidden="1" customHeight="1">
      <c r="B1060" s="34"/>
      <c r="C1060" s="10"/>
      <c r="D1060" s="33"/>
      <c r="E1060" s="33"/>
      <c r="F1060" s="33"/>
      <c r="G1060" s="33"/>
      <c r="H1060" s="72">
        <f t="shared" si="38"/>
        <v>0</v>
      </c>
      <c r="I1060" s="12"/>
      <c r="J1060" s="3" t="str">
        <f t="shared" si="37"/>
        <v>1</v>
      </c>
    </row>
    <row r="1061" spans="2:10" ht="12.75" hidden="1" customHeight="1">
      <c r="B1061" s="34"/>
      <c r="C1061" s="10"/>
      <c r="D1061" s="33"/>
      <c r="E1061" s="33"/>
      <c r="F1061" s="33"/>
      <c r="G1061" s="33"/>
      <c r="H1061" s="72">
        <f t="shared" si="38"/>
        <v>0</v>
      </c>
      <c r="I1061" s="12"/>
      <c r="J1061" s="3" t="str">
        <f t="shared" si="37"/>
        <v>1</v>
      </c>
    </row>
    <row r="1062" spans="2:10" ht="12.75" hidden="1" customHeight="1">
      <c r="B1062" s="34"/>
      <c r="C1062" s="10"/>
      <c r="D1062" s="33"/>
      <c r="E1062" s="33"/>
      <c r="F1062" s="33"/>
      <c r="G1062" s="33"/>
      <c r="H1062" s="72">
        <f t="shared" si="38"/>
        <v>0</v>
      </c>
      <c r="I1062" s="12"/>
      <c r="J1062" s="3" t="str">
        <f t="shared" si="37"/>
        <v>1</v>
      </c>
    </row>
    <row r="1063" spans="2:10" ht="12.75" hidden="1" customHeight="1">
      <c r="B1063" s="34"/>
      <c r="C1063" s="10"/>
      <c r="D1063" s="33"/>
      <c r="E1063" s="33"/>
      <c r="F1063" s="33"/>
      <c r="G1063" s="33"/>
      <c r="H1063" s="72">
        <f t="shared" si="38"/>
        <v>0</v>
      </c>
      <c r="I1063" s="12"/>
      <c r="J1063" s="3" t="str">
        <f t="shared" si="37"/>
        <v>1</v>
      </c>
    </row>
    <row r="1064" spans="2:10" ht="12.75" hidden="1" customHeight="1">
      <c r="B1064" s="34"/>
      <c r="C1064" s="10"/>
      <c r="D1064" s="33"/>
      <c r="E1064" s="33"/>
      <c r="F1064" s="33"/>
      <c r="G1064" s="33"/>
      <c r="H1064" s="72">
        <f t="shared" si="38"/>
        <v>0</v>
      </c>
      <c r="I1064" s="12"/>
      <c r="J1064" s="3" t="str">
        <f t="shared" si="37"/>
        <v>1</v>
      </c>
    </row>
    <row r="1065" spans="2:10" ht="12.75" hidden="1" customHeight="1">
      <c r="B1065" s="34"/>
      <c r="C1065" s="10"/>
      <c r="D1065" s="33"/>
      <c r="E1065" s="33"/>
      <c r="F1065" s="33"/>
      <c r="G1065" s="33"/>
      <c r="H1065" s="72">
        <f t="shared" si="38"/>
        <v>0</v>
      </c>
      <c r="I1065" s="12"/>
      <c r="J1065" s="3" t="str">
        <f t="shared" si="37"/>
        <v>1</v>
      </c>
    </row>
    <row r="1066" spans="2:10" ht="12.75" hidden="1" customHeight="1">
      <c r="B1066" s="34"/>
      <c r="C1066" s="10"/>
      <c r="D1066" s="33"/>
      <c r="E1066" s="33"/>
      <c r="F1066" s="33"/>
      <c r="G1066" s="33"/>
      <c r="H1066" s="72">
        <f t="shared" si="38"/>
        <v>0</v>
      </c>
      <c r="I1066" s="12"/>
      <c r="J1066" s="3" t="str">
        <f t="shared" si="37"/>
        <v>1</v>
      </c>
    </row>
    <row r="1067" spans="2:10" ht="12.75" hidden="1" customHeight="1">
      <c r="B1067" s="34"/>
      <c r="C1067" s="10"/>
      <c r="D1067" s="33"/>
      <c r="E1067" s="33"/>
      <c r="F1067" s="33"/>
      <c r="G1067" s="33"/>
      <c r="H1067" s="72">
        <f t="shared" si="38"/>
        <v>0</v>
      </c>
      <c r="I1067" s="12"/>
      <c r="J1067" s="3" t="str">
        <f t="shared" si="37"/>
        <v>1</v>
      </c>
    </row>
    <row r="1068" spans="2:10" ht="12.75" hidden="1" customHeight="1">
      <c r="B1068" s="34"/>
      <c r="C1068" s="10"/>
      <c r="D1068" s="33"/>
      <c r="E1068" s="33"/>
      <c r="F1068" s="33"/>
      <c r="G1068" s="33"/>
      <c r="H1068" s="72">
        <f t="shared" si="38"/>
        <v>0</v>
      </c>
      <c r="I1068" s="12"/>
      <c r="J1068" s="3" t="str">
        <f t="shared" si="37"/>
        <v>1</v>
      </c>
    </row>
    <row r="1069" spans="2:10" ht="12.75" hidden="1" customHeight="1">
      <c r="B1069" s="34"/>
      <c r="C1069" s="10"/>
      <c r="D1069" s="33"/>
      <c r="E1069" s="33"/>
      <c r="F1069" s="33"/>
      <c r="G1069" s="33"/>
      <c r="H1069" s="72">
        <f t="shared" si="38"/>
        <v>0</v>
      </c>
      <c r="I1069" s="12"/>
      <c r="J1069" s="3" t="str">
        <f t="shared" si="37"/>
        <v>1</v>
      </c>
    </row>
    <row r="1070" spans="2:10" ht="12.75" hidden="1" customHeight="1">
      <c r="B1070" s="34"/>
      <c r="C1070" s="10"/>
      <c r="D1070" s="33"/>
      <c r="E1070" s="33"/>
      <c r="F1070" s="33"/>
      <c r="G1070" s="33"/>
      <c r="H1070" s="72">
        <f t="shared" si="38"/>
        <v>0</v>
      </c>
      <c r="I1070" s="12"/>
      <c r="J1070" s="3" t="str">
        <f t="shared" si="37"/>
        <v>1</v>
      </c>
    </row>
    <row r="1071" spans="2:10" ht="12.75" hidden="1" customHeight="1">
      <c r="B1071" s="34"/>
      <c r="C1071" s="10"/>
      <c r="D1071" s="33"/>
      <c r="E1071" s="33"/>
      <c r="F1071" s="33"/>
      <c r="G1071" s="33"/>
      <c r="H1071" s="72">
        <f t="shared" si="38"/>
        <v>0</v>
      </c>
      <c r="I1071" s="12"/>
      <c r="J1071" s="3" t="str">
        <f t="shared" si="37"/>
        <v>1</v>
      </c>
    </row>
    <row r="1072" spans="2:10" ht="12.75" hidden="1" customHeight="1">
      <c r="B1072" s="34"/>
      <c r="C1072" s="10"/>
      <c r="D1072" s="33"/>
      <c r="E1072" s="33"/>
      <c r="F1072" s="33"/>
      <c r="G1072" s="33"/>
      <c r="H1072" s="72">
        <f t="shared" si="38"/>
        <v>0</v>
      </c>
      <c r="I1072" s="12"/>
      <c r="J1072" s="3" t="str">
        <f t="shared" si="37"/>
        <v>1</v>
      </c>
    </row>
    <row r="1073" spans="2:10" ht="12.75" hidden="1" customHeight="1">
      <c r="B1073" s="34"/>
      <c r="C1073" s="10"/>
      <c r="D1073" s="33"/>
      <c r="E1073" s="33"/>
      <c r="F1073" s="33"/>
      <c r="G1073" s="33"/>
      <c r="H1073" s="72">
        <f t="shared" si="38"/>
        <v>0</v>
      </c>
      <c r="I1073" s="12"/>
      <c r="J1073" s="3" t="str">
        <f t="shared" si="37"/>
        <v>1</v>
      </c>
    </row>
    <row r="1074" spans="2:10" ht="12.75" hidden="1" customHeight="1">
      <c r="B1074" s="34"/>
      <c r="C1074" s="10"/>
      <c r="D1074" s="33"/>
      <c r="E1074" s="33"/>
      <c r="F1074" s="33"/>
      <c r="G1074" s="33"/>
      <c r="H1074" s="72">
        <f t="shared" si="38"/>
        <v>0</v>
      </c>
      <c r="I1074" s="12"/>
      <c r="J1074" s="3" t="str">
        <f t="shared" si="37"/>
        <v>1</v>
      </c>
    </row>
    <row r="1075" spans="2:10" ht="12.75" hidden="1" customHeight="1">
      <c r="B1075" s="34"/>
      <c r="C1075" s="10"/>
      <c r="D1075" s="33"/>
      <c r="E1075" s="33"/>
      <c r="F1075" s="33"/>
      <c r="G1075" s="33"/>
      <c r="H1075" s="72">
        <f t="shared" si="38"/>
        <v>0</v>
      </c>
      <c r="I1075" s="12"/>
      <c r="J1075" s="3" t="str">
        <f t="shared" si="37"/>
        <v>1</v>
      </c>
    </row>
    <row r="1076" spans="2:10" ht="12.75" hidden="1" customHeight="1">
      <c r="B1076" s="34"/>
      <c r="C1076" s="10"/>
      <c r="D1076" s="33"/>
      <c r="E1076" s="33"/>
      <c r="F1076" s="33"/>
      <c r="G1076" s="33"/>
      <c r="H1076" s="72">
        <f t="shared" si="38"/>
        <v>0</v>
      </c>
      <c r="I1076" s="12"/>
      <c r="J1076" s="3" t="str">
        <f t="shared" si="37"/>
        <v>1</v>
      </c>
    </row>
    <row r="1077" spans="2:10" ht="12.75" hidden="1" customHeight="1">
      <c r="B1077" s="34"/>
      <c r="C1077" s="10"/>
      <c r="D1077" s="33"/>
      <c r="E1077" s="33"/>
      <c r="F1077" s="33"/>
      <c r="G1077" s="33"/>
      <c r="H1077" s="72">
        <f t="shared" si="38"/>
        <v>0</v>
      </c>
      <c r="I1077" s="12"/>
      <c r="J1077" s="3" t="str">
        <f t="shared" si="37"/>
        <v>1</v>
      </c>
    </row>
    <row r="1078" spans="2:10" ht="12.75" hidden="1" customHeight="1">
      <c r="B1078" s="34"/>
      <c r="C1078" s="10"/>
      <c r="D1078" s="33"/>
      <c r="E1078" s="33"/>
      <c r="F1078" s="33"/>
      <c r="G1078" s="33"/>
      <c r="H1078" s="72">
        <f t="shared" si="38"/>
        <v>0</v>
      </c>
      <c r="I1078" s="12"/>
      <c r="J1078" s="3" t="str">
        <f t="shared" si="37"/>
        <v>1</v>
      </c>
    </row>
    <row r="1079" spans="2:10" ht="12.75" hidden="1" customHeight="1">
      <c r="B1079" s="34"/>
      <c r="C1079" s="10"/>
      <c r="D1079" s="33"/>
      <c r="E1079" s="33"/>
      <c r="F1079" s="33"/>
      <c r="G1079" s="33"/>
      <c r="H1079" s="72">
        <f t="shared" si="38"/>
        <v>0</v>
      </c>
      <c r="I1079" s="12"/>
      <c r="J1079" s="3" t="str">
        <f t="shared" si="37"/>
        <v>1</v>
      </c>
    </row>
    <row r="1080" spans="2:10" ht="12.75" hidden="1" customHeight="1">
      <c r="B1080" s="34"/>
      <c r="C1080" s="10"/>
      <c r="D1080" s="33"/>
      <c r="E1080" s="33"/>
      <c r="F1080" s="33"/>
      <c r="G1080" s="33"/>
      <c r="H1080" s="72">
        <f t="shared" si="38"/>
        <v>0</v>
      </c>
      <c r="I1080" s="12"/>
      <c r="J1080" s="3" t="str">
        <f t="shared" si="37"/>
        <v>1</v>
      </c>
    </row>
    <row r="1081" spans="2:10" ht="12.75" hidden="1" customHeight="1">
      <c r="B1081" s="34"/>
      <c r="C1081" s="10"/>
      <c r="D1081" s="33"/>
      <c r="E1081" s="33"/>
      <c r="F1081" s="33"/>
      <c r="G1081" s="33"/>
      <c r="H1081" s="72">
        <f t="shared" si="38"/>
        <v>0</v>
      </c>
      <c r="I1081" s="12"/>
      <c r="J1081" s="3" t="str">
        <f t="shared" si="37"/>
        <v>1</v>
      </c>
    </row>
    <row r="1082" spans="2:10" ht="12.75" hidden="1" customHeight="1">
      <c r="B1082" s="34"/>
      <c r="C1082" s="10"/>
      <c r="D1082" s="33"/>
      <c r="E1082" s="33"/>
      <c r="F1082" s="33"/>
      <c r="G1082" s="33"/>
      <c r="H1082" s="72">
        <f t="shared" si="38"/>
        <v>0</v>
      </c>
      <c r="I1082" s="12"/>
      <c r="J1082" s="3" t="str">
        <f t="shared" si="37"/>
        <v>1</v>
      </c>
    </row>
    <row r="1083" spans="2:10" ht="12.75" hidden="1" customHeight="1">
      <c r="B1083" s="34"/>
      <c r="C1083" s="10"/>
      <c r="D1083" s="33"/>
      <c r="E1083" s="33"/>
      <c r="F1083" s="33"/>
      <c r="G1083" s="33"/>
      <c r="H1083" s="72">
        <f t="shared" si="38"/>
        <v>0</v>
      </c>
      <c r="I1083" s="12"/>
      <c r="J1083" s="3" t="str">
        <f t="shared" si="37"/>
        <v>1</v>
      </c>
    </row>
    <row r="1084" spans="2:10" ht="12.75" hidden="1" customHeight="1">
      <c r="B1084" s="34"/>
      <c r="C1084" s="10"/>
      <c r="D1084" s="33"/>
      <c r="E1084" s="33"/>
      <c r="F1084" s="33"/>
      <c r="G1084" s="33"/>
      <c r="H1084" s="72">
        <f t="shared" si="38"/>
        <v>0</v>
      </c>
      <c r="I1084" s="12"/>
      <c r="J1084" s="3" t="str">
        <f t="shared" si="37"/>
        <v>1</v>
      </c>
    </row>
    <row r="1085" spans="2:10" ht="12.75" hidden="1" customHeight="1">
      <c r="B1085" s="34"/>
      <c r="C1085" s="10"/>
      <c r="D1085" s="33"/>
      <c r="E1085" s="33"/>
      <c r="F1085" s="33"/>
      <c r="G1085" s="33"/>
      <c r="H1085" s="72">
        <f t="shared" si="38"/>
        <v>0</v>
      </c>
      <c r="I1085" s="12"/>
      <c r="J1085" s="3" t="str">
        <f t="shared" si="37"/>
        <v>1</v>
      </c>
    </row>
    <row r="1086" spans="2:10" ht="12.75" hidden="1" customHeight="1">
      <c r="B1086" s="34"/>
      <c r="C1086" s="10"/>
      <c r="D1086" s="33"/>
      <c r="E1086" s="33"/>
      <c r="F1086" s="33"/>
      <c r="G1086" s="33"/>
      <c r="H1086" s="72">
        <f t="shared" si="38"/>
        <v>0</v>
      </c>
      <c r="I1086" s="12"/>
      <c r="J1086" s="3" t="str">
        <f t="shared" si="37"/>
        <v>1</v>
      </c>
    </row>
    <row r="1087" spans="2:10" ht="12.75" hidden="1" customHeight="1">
      <c r="B1087" s="34"/>
      <c r="C1087" s="10"/>
      <c r="D1087" s="33"/>
      <c r="E1087" s="33"/>
      <c r="F1087" s="33"/>
      <c r="G1087" s="33"/>
      <c r="H1087" s="72">
        <f t="shared" si="38"/>
        <v>0</v>
      </c>
      <c r="I1087" s="12"/>
      <c r="J1087" s="3" t="str">
        <f t="shared" si="37"/>
        <v>1</v>
      </c>
    </row>
    <row r="1088" spans="2:10" ht="12.75" hidden="1" customHeight="1">
      <c r="B1088" s="34"/>
      <c r="C1088" s="10"/>
      <c r="D1088" s="33"/>
      <c r="E1088" s="33"/>
      <c r="F1088" s="33"/>
      <c r="G1088" s="33"/>
      <c r="H1088" s="72">
        <f t="shared" si="38"/>
        <v>0</v>
      </c>
      <c r="I1088" s="12"/>
      <c r="J1088" s="3" t="str">
        <f t="shared" si="37"/>
        <v>1</v>
      </c>
    </row>
    <row r="1089" spans="2:10" ht="12.75" hidden="1" customHeight="1">
      <c r="B1089" s="34"/>
      <c r="C1089" s="10"/>
      <c r="D1089" s="33"/>
      <c r="E1089" s="33"/>
      <c r="F1089" s="33"/>
      <c r="G1089" s="33"/>
      <c r="H1089" s="72">
        <f t="shared" si="38"/>
        <v>0</v>
      </c>
      <c r="I1089" s="12"/>
      <c r="J1089" s="3" t="str">
        <f t="shared" si="37"/>
        <v>1</v>
      </c>
    </row>
    <row r="1090" spans="2:10" ht="12.75" hidden="1" customHeight="1">
      <c r="B1090" s="34"/>
      <c r="C1090" s="10"/>
      <c r="D1090" s="33"/>
      <c r="E1090" s="33"/>
      <c r="F1090" s="33"/>
      <c r="G1090" s="33"/>
      <c r="H1090" s="72">
        <f t="shared" si="38"/>
        <v>0</v>
      </c>
      <c r="I1090" s="12"/>
      <c r="J1090" s="3" t="str">
        <f t="shared" si="37"/>
        <v>1</v>
      </c>
    </row>
    <row r="1091" spans="2:10" ht="12.75" hidden="1" customHeight="1">
      <c r="B1091" s="34"/>
      <c r="C1091" s="10"/>
      <c r="D1091" s="33"/>
      <c r="E1091" s="33"/>
      <c r="F1091" s="33"/>
      <c r="G1091" s="33"/>
      <c r="H1091" s="72">
        <f t="shared" si="38"/>
        <v>0</v>
      </c>
      <c r="I1091" s="12"/>
      <c r="J1091" s="3" t="str">
        <f t="shared" ref="J1091:J1154" si="39">TRIM(C1091) &amp; (COUNTIFS($C$4:$C$123, C1091, $I$4:$I$123, "&gt;"&amp;I1091) + 1)</f>
        <v>1</v>
      </c>
    </row>
    <row r="1092" spans="2:10" ht="12.75" hidden="1" customHeight="1">
      <c r="B1092" s="34"/>
      <c r="C1092" s="10"/>
      <c r="D1092" s="33"/>
      <c r="E1092" s="33"/>
      <c r="F1092" s="33"/>
      <c r="G1092" s="33"/>
      <c r="H1092" s="72">
        <f t="shared" si="38"/>
        <v>0</v>
      </c>
      <c r="I1092" s="12"/>
      <c r="J1092" s="3" t="str">
        <f t="shared" si="39"/>
        <v>1</v>
      </c>
    </row>
    <row r="1093" spans="2:10" ht="12.75" hidden="1" customHeight="1">
      <c r="B1093" s="34"/>
      <c r="C1093" s="10"/>
      <c r="D1093" s="33"/>
      <c r="E1093" s="33"/>
      <c r="F1093" s="33"/>
      <c r="G1093" s="33"/>
      <c r="H1093" s="72">
        <f t="shared" ref="H1093:H1122" si="40">IF(D1093=0, COUNTIFS($C$4:$C$123, C1093, $B$4:$B$123, "&lt;&gt;"), COUNTIFS($C$4:$C$123, C1093, $D$4:$D$123, "&gt;"&amp;D1093) + 1)</f>
        <v>0</v>
      </c>
      <c r="I1093" s="12"/>
      <c r="J1093" s="3" t="str">
        <f t="shared" si="39"/>
        <v>1</v>
      </c>
    </row>
    <row r="1094" spans="2:10" ht="12.75" hidden="1" customHeight="1">
      <c r="B1094" s="34"/>
      <c r="C1094" s="10"/>
      <c r="D1094" s="33"/>
      <c r="E1094" s="33"/>
      <c r="F1094" s="33"/>
      <c r="G1094" s="33"/>
      <c r="H1094" s="72">
        <f t="shared" si="40"/>
        <v>0</v>
      </c>
      <c r="I1094" s="12"/>
      <c r="J1094" s="3" t="str">
        <f t="shared" si="39"/>
        <v>1</v>
      </c>
    </row>
    <row r="1095" spans="2:10" ht="12.75" hidden="1" customHeight="1">
      <c r="B1095" s="34"/>
      <c r="C1095" s="10"/>
      <c r="D1095" s="33"/>
      <c r="E1095" s="33"/>
      <c r="F1095" s="33"/>
      <c r="G1095" s="33"/>
      <c r="H1095" s="72">
        <f t="shared" si="40"/>
        <v>0</v>
      </c>
      <c r="I1095" s="12"/>
      <c r="J1095" s="3" t="str">
        <f t="shared" si="39"/>
        <v>1</v>
      </c>
    </row>
    <row r="1096" spans="2:10" ht="12.75" hidden="1" customHeight="1">
      <c r="B1096" s="34"/>
      <c r="C1096" s="10"/>
      <c r="D1096" s="33"/>
      <c r="E1096" s="33"/>
      <c r="F1096" s="33"/>
      <c r="G1096" s="33"/>
      <c r="H1096" s="72">
        <f t="shared" si="40"/>
        <v>0</v>
      </c>
      <c r="I1096" s="12"/>
      <c r="J1096" s="3" t="str">
        <f t="shared" si="39"/>
        <v>1</v>
      </c>
    </row>
    <row r="1097" spans="2:10" ht="12.75" hidden="1" customHeight="1">
      <c r="B1097" s="34"/>
      <c r="C1097" s="10"/>
      <c r="D1097" s="33"/>
      <c r="E1097" s="33"/>
      <c r="F1097" s="33"/>
      <c r="G1097" s="33"/>
      <c r="H1097" s="72">
        <f t="shared" si="40"/>
        <v>0</v>
      </c>
      <c r="I1097" s="12"/>
      <c r="J1097" s="3" t="str">
        <f t="shared" si="39"/>
        <v>1</v>
      </c>
    </row>
    <row r="1098" spans="2:10" ht="12.75" hidden="1" customHeight="1">
      <c r="B1098" s="34"/>
      <c r="C1098" s="10"/>
      <c r="D1098" s="33"/>
      <c r="E1098" s="33"/>
      <c r="F1098" s="33"/>
      <c r="G1098" s="33"/>
      <c r="H1098" s="72">
        <f t="shared" si="40"/>
        <v>0</v>
      </c>
      <c r="I1098" s="12"/>
      <c r="J1098" s="3" t="str">
        <f t="shared" si="39"/>
        <v>1</v>
      </c>
    </row>
    <row r="1099" spans="2:10" ht="12.75" hidden="1" customHeight="1">
      <c r="B1099" s="34"/>
      <c r="C1099" s="10"/>
      <c r="D1099" s="33"/>
      <c r="E1099" s="33"/>
      <c r="F1099" s="33"/>
      <c r="G1099" s="33"/>
      <c r="H1099" s="72">
        <f t="shared" si="40"/>
        <v>0</v>
      </c>
      <c r="I1099" s="12"/>
      <c r="J1099" s="3" t="str">
        <f t="shared" si="39"/>
        <v>1</v>
      </c>
    </row>
    <row r="1100" spans="2:10" ht="12.75" hidden="1" customHeight="1">
      <c r="B1100" s="34"/>
      <c r="C1100" s="10"/>
      <c r="D1100" s="33"/>
      <c r="E1100" s="33"/>
      <c r="F1100" s="33"/>
      <c r="G1100" s="33"/>
      <c r="H1100" s="72">
        <f t="shared" si="40"/>
        <v>0</v>
      </c>
      <c r="I1100" s="12"/>
      <c r="J1100" s="3" t="str">
        <f t="shared" si="39"/>
        <v>1</v>
      </c>
    </row>
    <row r="1101" spans="2:10" ht="12.75" hidden="1" customHeight="1">
      <c r="B1101" s="34"/>
      <c r="C1101" s="10"/>
      <c r="D1101" s="33"/>
      <c r="E1101" s="33"/>
      <c r="F1101" s="33"/>
      <c r="G1101" s="33"/>
      <c r="H1101" s="72">
        <f t="shared" si="40"/>
        <v>0</v>
      </c>
      <c r="I1101" s="12"/>
      <c r="J1101" s="3" t="str">
        <f t="shared" si="39"/>
        <v>1</v>
      </c>
    </row>
    <row r="1102" spans="2:10" ht="12.75" hidden="1" customHeight="1">
      <c r="B1102" s="34"/>
      <c r="C1102" s="10"/>
      <c r="D1102" s="33"/>
      <c r="E1102" s="33"/>
      <c r="F1102" s="33"/>
      <c r="G1102" s="33"/>
      <c r="H1102" s="72">
        <f t="shared" si="40"/>
        <v>0</v>
      </c>
      <c r="I1102" s="12"/>
      <c r="J1102" s="3" t="str">
        <f t="shared" si="39"/>
        <v>1</v>
      </c>
    </row>
    <row r="1103" spans="2:10" ht="12.75" hidden="1" customHeight="1">
      <c r="B1103" s="34"/>
      <c r="C1103" s="10"/>
      <c r="D1103" s="33"/>
      <c r="E1103" s="33"/>
      <c r="F1103" s="33"/>
      <c r="G1103" s="33"/>
      <c r="H1103" s="72">
        <f t="shared" si="40"/>
        <v>0</v>
      </c>
      <c r="I1103" s="12"/>
      <c r="J1103" s="3" t="str">
        <f t="shared" si="39"/>
        <v>1</v>
      </c>
    </row>
    <row r="1104" spans="2:10" ht="12.75" hidden="1" customHeight="1">
      <c r="B1104" s="34"/>
      <c r="C1104" s="10"/>
      <c r="D1104" s="33"/>
      <c r="E1104" s="33"/>
      <c r="F1104" s="33"/>
      <c r="G1104" s="33"/>
      <c r="H1104" s="72">
        <f t="shared" si="40"/>
        <v>0</v>
      </c>
      <c r="I1104" s="12"/>
      <c r="J1104" s="3" t="str">
        <f t="shared" si="39"/>
        <v>1</v>
      </c>
    </row>
    <row r="1105" spans="2:10" ht="12.75" hidden="1" customHeight="1">
      <c r="B1105" s="34"/>
      <c r="C1105" s="10"/>
      <c r="D1105" s="33"/>
      <c r="E1105" s="33"/>
      <c r="F1105" s="33"/>
      <c r="G1105" s="33"/>
      <c r="H1105" s="72">
        <f t="shared" si="40"/>
        <v>0</v>
      </c>
      <c r="I1105" s="12"/>
      <c r="J1105" s="3" t="str">
        <f t="shared" si="39"/>
        <v>1</v>
      </c>
    </row>
    <row r="1106" spans="2:10" ht="12.75" hidden="1" customHeight="1">
      <c r="B1106" s="34"/>
      <c r="C1106" s="10"/>
      <c r="D1106" s="33"/>
      <c r="E1106" s="33"/>
      <c r="F1106" s="33"/>
      <c r="G1106" s="33"/>
      <c r="H1106" s="72">
        <f t="shared" si="40"/>
        <v>0</v>
      </c>
      <c r="I1106" s="12"/>
      <c r="J1106" s="3" t="str">
        <f t="shared" si="39"/>
        <v>1</v>
      </c>
    </row>
    <row r="1107" spans="2:10" ht="12.75" hidden="1" customHeight="1">
      <c r="B1107" s="34"/>
      <c r="C1107" s="10"/>
      <c r="D1107" s="33"/>
      <c r="E1107" s="33"/>
      <c r="F1107" s="33"/>
      <c r="G1107" s="33"/>
      <c r="H1107" s="72">
        <f t="shared" si="40"/>
        <v>0</v>
      </c>
      <c r="I1107" s="12"/>
      <c r="J1107" s="3" t="str">
        <f t="shared" si="39"/>
        <v>1</v>
      </c>
    </row>
    <row r="1108" spans="2:10" ht="12.75" hidden="1" customHeight="1">
      <c r="B1108" s="34"/>
      <c r="C1108" s="10"/>
      <c r="D1108" s="33"/>
      <c r="E1108" s="33"/>
      <c r="F1108" s="33"/>
      <c r="G1108" s="33"/>
      <c r="H1108" s="72">
        <f t="shared" si="40"/>
        <v>0</v>
      </c>
      <c r="I1108" s="12"/>
      <c r="J1108" s="3" t="str">
        <f t="shared" si="39"/>
        <v>1</v>
      </c>
    </row>
    <row r="1109" spans="2:10" ht="12.75" hidden="1" customHeight="1">
      <c r="B1109" s="34"/>
      <c r="C1109" s="10"/>
      <c r="D1109" s="33"/>
      <c r="E1109" s="33"/>
      <c r="F1109" s="33"/>
      <c r="G1109" s="33"/>
      <c r="H1109" s="72">
        <f t="shared" si="40"/>
        <v>0</v>
      </c>
      <c r="I1109" s="12"/>
      <c r="J1109" s="3" t="str">
        <f t="shared" si="39"/>
        <v>1</v>
      </c>
    </row>
    <row r="1110" spans="2:10" ht="12.75" hidden="1" customHeight="1">
      <c r="B1110" s="34"/>
      <c r="C1110" s="10"/>
      <c r="D1110" s="33"/>
      <c r="E1110" s="33"/>
      <c r="F1110" s="33"/>
      <c r="G1110" s="33"/>
      <c r="H1110" s="72">
        <f t="shared" si="40"/>
        <v>0</v>
      </c>
      <c r="I1110" s="12"/>
      <c r="J1110" s="3" t="str">
        <f t="shared" si="39"/>
        <v>1</v>
      </c>
    </row>
    <row r="1111" spans="2:10" ht="12.75" hidden="1" customHeight="1">
      <c r="B1111" s="34"/>
      <c r="C1111" s="10"/>
      <c r="D1111" s="33"/>
      <c r="E1111" s="33"/>
      <c r="F1111" s="33"/>
      <c r="G1111" s="33"/>
      <c r="H1111" s="72">
        <f t="shared" si="40"/>
        <v>0</v>
      </c>
      <c r="I1111" s="12"/>
      <c r="J1111" s="3" t="str">
        <f t="shared" si="39"/>
        <v>1</v>
      </c>
    </row>
    <row r="1112" spans="2:10" ht="12.75" hidden="1" customHeight="1">
      <c r="B1112" s="34"/>
      <c r="C1112" s="10"/>
      <c r="D1112" s="33"/>
      <c r="E1112" s="33"/>
      <c r="F1112" s="33"/>
      <c r="G1112" s="33"/>
      <c r="H1112" s="72">
        <f t="shared" si="40"/>
        <v>0</v>
      </c>
      <c r="I1112" s="12"/>
      <c r="J1112" s="3" t="str">
        <f t="shared" si="39"/>
        <v>1</v>
      </c>
    </row>
    <row r="1113" spans="2:10" ht="12.75" hidden="1" customHeight="1">
      <c r="B1113" s="34"/>
      <c r="C1113" s="10"/>
      <c r="D1113" s="33"/>
      <c r="E1113" s="33"/>
      <c r="F1113" s="33"/>
      <c r="G1113" s="33"/>
      <c r="H1113" s="72">
        <f t="shared" si="40"/>
        <v>0</v>
      </c>
      <c r="I1113" s="12"/>
      <c r="J1113" s="3" t="str">
        <f t="shared" si="39"/>
        <v>1</v>
      </c>
    </row>
    <row r="1114" spans="2:10" ht="12.75" hidden="1" customHeight="1">
      <c r="B1114" s="34"/>
      <c r="C1114" s="10"/>
      <c r="D1114" s="33"/>
      <c r="E1114" s="33"/>
      <c r="F1114" s="33"/>
      <c r="G1114" s="33"/>
      <c r="H1114" s="72">
        <f t="shared" si="40"/>
        <v>0</v>
      </c>
      <c r="I1114" s="12"/>
      <c r="J1114" s="3" t="str">
        <f t="shared" si="39"/>
        <v>1</v>
      </c>
    </row>
    <row r="1115" spans="2:10" ht="12.75" hidden="1" customHeight="1">
      <c r="B1115" s="34"/>
      <c r="C1115" s="10"/>
      <c r="D1115" s="33"/>
      <c r="E1115" s="33"/>
      <c r="F1115" s="33"/>
      <c r="G1115" s="33"/>
      <c r="H1115" s="72">
        <f t="shared" si="40"/>
        <v>0</v>
      </c>
      <c r="I1115" s="12"/>
      <c r="J1115" s="3" t="str">
        <f t="shared" si="39"/>
        <v>1</v>
      </c>
    </row>
    <row r="1116" spans="2:10" ht="12.75" hidden="1" customHeight="1">
      <c r="B1116" s="34"/>
      <c r="C1116" s="10"/>
      <c r="D1116" s="33"/>
      <c r="E1116" s="33"/>
      <c r="F1116" s="33"/>
      <c r="G1116" s="33"/>
      <c r="H1116" s="72">
        <f t="shared" si="40"/>
        <v>0</v>
      </c>
      <c r="I1116" s="12"/>
      <c r="J1116" s="3" t="str">
        <f t="shared" si="39"/>
        <v>1</v>
      </c>
    </row>
    <row r="1117" spans="2:10" ht="12.75" hidden="1" customHeight="1">
      <c r="B1117" s="34"/>
      <c r="C1117" s="10"/>
      <c r="D1117" s="33"/>
      <c r="E1117" s="33"/>
      <c r="F1117" s="33"/>
      <c r="G1117" s="33"/>
      <c r="H1117" s="72">
        <f t="shared" si="40"/>
        <v>0</v>
      </c>
      <c r="I1117" s="12"/>
      <c r="J1117" s="3" t="str">
        <f t="shared" si="39"/>
        <v>1</v>
      </c>
    </row>
    <row r="1118" spans="2:10" ht="12.75" hidden="1" customHeight="1">
      <c r="B1118" s="34"/>
      <c r="C1118" s="10"/>
      <c r="D1118" s="33"/>
      <c r="E1118" s="33"/>
      <c r="F1118" s="33"/>
      <c r="G1118" s="33"/>
      <c r="H1118" s="72">
        <f t="shared" si="40"/>
        <v>0</v>
      </c>
      <c r="I1118" s="12"/>
      <c r="J1118" s="3" t="str">
        <f t="shared" si="39"/>
        <v>1</v>
      </c>
    </row>
    <row r="1119" spans="2:10" ht="12.75" hidden="1" customHeight="1">
      <c r="B1119" s="34"/>
      <c r="C1119" s="10"/>
      <c r="D1119" s="33"/>
      <c r="E1119" s="33"/>
      <c r="F1119" s="33"/>
      <c r="G1119" s="33"/>
      <c r="H1119" s="72">
        <f t="shared" si="40"/>
        <v>0</v>
      </c>
      <c r="I1119" s="12"/>
      <c r="J1119" s="3" t="str">
        <f t="shared" si="39"/>
        <v>1</v>
      </c>
    </row>
    <row r="1120" spans="2:10" ht="12.75" hidden="1" customHeight="1">
      <c r="B1120" s="34"/>
      <c r="C1120" s="10"/>
      <c r="D1120" s="33"/>
      <c r="E1120" s="33"/>
      <c r="F1120" s="33"/>
      <c r="G1120" s="33"/>
      <c r="H1120" s="72">
        <f t="shared" si="40"/>
        <v>0</v>
      </c>
      <c r="I1120" s="12"/>
      <c r="J1120" s="3" t="str">
        <f t="shared" si="39"/>
        <v>1</v>
      </c>
    </row>
    <row r="1121" spans="2:10" ht="12.75" hidden="1" customHeight="1">
      <c r="B1121" s="34"/>
      <c r="C1121" s="10"/>
      <c r="D1121" s="33"/>
      <c r="E1121" s="33"/>
      <c r="F1121" s="33"/>
      <c r="G1121" s="33"/>
      <c r="H1121" s="72">
        <f t="shared" si="40"/>
        <v>0</v>
      </c>
      <c r="I1121" s="12"/>
      <c r="J1121" s="3" t="str">
        <f t="shared" si="39"/>
        <v>1</v>
      </c>
    </row>
    <row r="1122" spans="2:10" ht="12.75" hidden="1" customHeight="1">
      <c r="B1122" s="34"/>
      <c r="C1122" s="10"/>
      <c r="D1122" s="33"/>
      <c r="E1122" s="33"/>
      <c r="F1122" s="33"/>
      <c r="G1122" s="33"/>
      <c r="H1122" s="72">
        <f t="shared" si="40"/>
        <v>0</v>
      </c>
      <c r="I1122" s="12"/>
      <c r="J1122" s="94" t="str">
        <f t="shared" si="39"/>
        <v>1</v>
      </c>
    </row>
    <row r="1123" spans="2:10" ht="12.75" hidden="1" customHeight="1">
      <c r="B1123" s="13"/>
      <c r="C1123" s="13"/>
      <c r="D1123" s="13"/>
      <c r="E1123" s="13"/>
      <c r="F1123" s="13"/>
      <c r="G1123" s="13"/>
      <c r="H1123" s="79"/>
      <c r="I1123" s="13"/>
    </row>
    <row r="1124" spans="2:10" ht="12.75" hidden="1" customHeight="1">
      <c r="B1124" s="14"/>
      <c r="C1124" s="14"/>
      <c r="D1124" s="14"/>
      <c r="E1124" s="14"/>
      <c r="F1124" s="14"/>
      <c r="G1124" s="14"/>
      <c r="H1124" s="79"/>
      <c r="I1124" s="14"/>
    </row>
    <row r="1125" spans="2:10" ht="12.75" hidden="1" customHeight="1">
      <c r="B1125" s="14"/>
      <c r="C1125" s="14"/>
      <c r="D1125" s="14"/>
      <c r="E1125" s="14"/>
      <c r="F1125" s="14"/>
      <c r="G1125" s="14"/>
      <c r="H1125" s="79"/>
      <c r="I1125" s="14"/>
    </row>
    <row r="1126" spans="2:10" ht="12.75" hidden="1" customHeight="1">
      <c r="B1126" s="14"/>
      <c r="C1126" s="14"/>
      <c r="D1126" s="14"/>
      <c r="E1126" s="14"/>
      <c r="F1126" s="14"/>
      <c r="G1126" s="14"/>
      <c r="H1126" s="79"/>
      <c r="I1126" s="14"/>
    </row>
    <row r="1127" spans="2:10" ht="12.75" hidden="1" customHeight="1">
      <c r="B1127" s="14"/>
      <c r="C1127" s="14"/>
      <c r="D1127" s="14"/>
      <c r="E1127" s="14"/>
      <c r="F1127" s="14"/>
      <c r="G1127" s="14"/>
      <c r="H1127" s="79"/>
      <c r="I1127" s="14"/>
    </row>
    <row r="1128" spans="2:10" ht="12.75" hidden="1" customHeight="1">
      <c r="B1128" s="14"/>
      <c r="C1128" s="14"/>
      <c r="D1128" s="14"/>
      <c r="E1128" s="14"/>
      <c r="F1128" s="14"/>
      <c r="G1128" s="14"/>
      <c r="H1128" s="79"/>
      <c r="I1128" s="14"/>
    </row>
    <row r="1129" spans="2:10" ht="12.75" hidden="1" customHeight="1">
      <c r="B1129" s="14"/>
      <c r="C1129" s="14"/>
      <c r="D1129" s="14"/>
      <c r="E1129" s="14"/>
      <c r="F1129" s="14"/>
      <c r="G1129" s="14"/>
      <c r="H1129" s="79"/>
      <c r="I1129" s="14"/>
    </row>
    <row r="1130" spans="2:10" ht="12.75" hidden="1" customHeight="1">
      <c r="B1130" s="14"/>
      <c r="C1130" s="14"/>
      <c r="D1130" s="14"/>
      <c r="E1130" s="14"/>
      <c r="F1130" s="14"/>
      <c r="G1130" s="14"/>
      <c r="H1130" s="79"/>
      <c r="I1130" s="14"/>
    </row>
    <row r="1131" spans="2:10" ht="12.75" hidden="1" customHeight="1">
      <c r="B1131" s="14"/>
      <c r="C1131" s="14"/>
      <c r="D1131" s="14"/>
      <c r="E1131" s="14"/>
      <c r="F1131" s="14"/>
      <c r="G1131" s="14"/>
      <c r="H1131" s="79"/>
      <c r="I1131" s="14"/>
    </row>
    <row r="1132" spans="2:10" ht="12.75" hidden="1" customHeight="1">
      <c r="B1132" s="14"/>
      <c r="C1132" s="14"/>
      <c r="D1132" s="14"/>
      <c r="E1132" s="14"/>
      <c r="F1132" s="14"/>
      <c r="G1132" s="14"/>
      <c r="H1132" s="79"/>
      <c r="I1132" s="14"/>
    </row>
    <row r="1133" spans="2:10" ht="12.75" hidden="1" customHeight="1">
      <c r="B1133" s="14"/>
      <c r="C1133" s="14"/>
      <c r="D1133" s="14"/>
      <c r="E1133" s="14"/>
      <c r="F1133" s="14"/>
      <c r="G1133" s="14"/>
      <c r="H1133" s="79"/>
      <c r="I1133" s="14"/>
    </row>
    <row r="1134" spans="2:10" ht="12.75" hidden="1" customHeight="1">
      <c r="B1134" s="14"/>
      <c r="C1134" s="14"/>
      <c r="D1134" s="14"/>
      <c r="E1134" s="14"/>
      <c r="F1134" s="14"/>
      <c r="G1134" s="14"/>
      <c r="H1134" s="79"/>
      <c r="I1134" s="14"/>
    </row>
    <row r="1135" spans="2:10" ht="12.75" hidden="1" customHeight="1">
      <c r="B1135" s="14"/>
      <c r="C1135" s="14"/>
      <c r="D1135" s="14"/>
      <c r="E1135" s="14"/>
      <c r="F1135" s="14"/>
      <c r="G1135" s="14"/>
      <c r="H1135" s="79"/>
      <c r="I1135" s="14"/>
    </row>
    <row r="1136" spans="2:10" ht="12.75" hidden="1" customHeight="1">
      <c r="B1136" s="14"/>
      <c r="C1136" s="14"/>
      <c r="D1136" s="14"/>
      <c r="E1136" s="14"/>
      <c r="F1136" s="14"/>
      <c r="G1136" s="14"/>
      <c r="H1136" s="79"/>
      <c r="I1136" s="14"/>
    </row>
    <row r="1137" spans="2:9" ht="12.75" hidden="1" customHeight="1">
      <c r="B1137" s="14"/>
      <c r="C1137" s="14"/>
      <c r="D1137" s="14"/>
      <c r="E1137" s="14"/>
      <c r="F1137" s="14"/>
      <c r="G1137" s="14"/>
      <c r="H1137" s="79"/>
      <c r="I1137" s="14"/>
    </row>
    <row r="1138" spans="2:9" ht="12.75" hidden="1" customHeight="1">
      <c r="B1138" s="14"/>
      <c r="C1138" s="14"/>
      <c r="D1138" s="14"/>
      <c r="E1138" s="14"/>
      <c r="F1138" s="14"/>
      <c r="G1138" s="14"/>
      <c r="H1138" s="79"/>
      <c r="I1138" s="14"/>
    </row>
    <row r="1139" spans="2:9" ht="12.75" hidden="1" customHeight="1">
      <c r="B1139" s="14"/>
      <c r="C1139" s="14"/>
      <c r="D1139" s="14"/>
      <c r="E1139" s="14"/>
      <c r="F1139" s="14"/>
      <c r="G1139" s="14"/>
      <c r="H1139" s="79"/>
      <c r="I1139" s="14"/>
    </row>
    <row r="1140" spans="2:9" ht="12.75" hidden="1" customHeight="1">
      <c r="B1140" s="14"/>
      <c r="C1140" s="14"/>
      <c r="D1140" s="14"/>
      <c r="E1140" s="14"/>
      <c r="F1140" s="14"/>
      <c r="G1140" s="14"/>
      <c r="H1140" s="79"/>
      <c r="I1140" s="14"/>
    </row>
    <row r="1141" spans="2:9" ht="12.75" hidden="1" customHeight="1">
      <c r="B1141" s="14"/>
      <c r="C1141" s="14"/>
      <c r="D1141" s="14"/>
      <c r="E1141" s="14"/>
      <c r="F1141" s="14"/>
      <c r="G1141" s="14"/>
      <c r="H1141" s="79"/>
      <c r="I1141" s="14"/>
    </row>
    <row r="1142" spans="2:9" ht="12.75" hidden="1" customHeight="1">
      <c r="B1142" s="14"/>
      <c r="C1142" s="14"/>
      <c r="D1142" s="14"/>
      <c r="E1142" s="14"/>
      <c r="F1142" s="14"/>
      <c r="G1142" s="14"/>
      <c r="H1142" s="79"/>
      <c r="I1142" s="14"/>
    </row>
    <row r="1143" spans="2:9" ht="12.75" hidden="1" customHeight="1">
      <c r="B1143" s="14"/>
      <c r="C1143" s="14"/>
      <c r="D1143" s="14"/>
      <c r="E1143" s="14"/>
      <c r="F1143" s="14"/>
      <c r="G1143" s="14"/>
      <c r="H1143" s="79"/>
      <c r="I1143" s="14"/>
    </row>
    <row r="1144" spans="2:9" ht="12.75" hidden="1" customHeight="1">
      <c r="B1144" s="14"/>
      <c r="C1144" s="14"/>
      <c r="D1144" s="14"/>
      <c r="E1144" s="14"/>
      <c r="F1144" s="14"/>
      <c r="G1144" s="14"/>
      <c r="H1144" s="79"/>
      <c r="I1144" s="14"/>
    </row>
    <row r="1145" spans="2:9" ht="12.75" hidden="1" customHeight="1">
      <c r="B1145" s="14"/>
      <c r="C1145" s="14"/>
      <c r="D1145" s="14"/>
      <c r="E1145" s="14"/>
      <c r="F1145" s="14"/>
      <c r="G1145" s="14"/>
      <c r="H1145" s="79"/>
      <c r="I1145" s="14"/>
    </row>
    <row r="1146" spans="2:9" ht="12.75" hidden="1" customHeight="1">
      <c r="B1146" s="14"/>
      <c r="C1146" s="14"/>
      <c r="D1146" s="14"/>
      <c r="E1146" s="14"/>
      <c r="F1146" s="14"/>
      <c r="G1146" s="14"/>
      <c r="H1146" s="79"/>
      <c r="I1146" s="14"/>
    </row>
    <row r="1147" spans="2:9" ht="12.75" hidden="1" customHeight="1">
      <c r="B1147" s="14"/>
      <c r="C1147" s="14"/>
      <c r="D1147" s="14"/>
      <c r="E1147" s="14"/>
      <c r="F1147" s="14"/>
      <c r="G1147" s="14"/>
      <c r="H1147" s="79"/>
      <c r="I1147" s="14"/>
    </row>
    <row r="1148" spans="2:9" ht="12.75" hidden="1" customHeight="1">
      <c r="B1148" s="14"/>
      <c r="C1148" s="14"/>
      <c r="D1148" s="14"/>
      <c r="E1148" s="14"/>
      <c r="F1148" s="14"/>
      <c r="G1148" s="14"/>
      <c r="H1148" s="79"/>
      <c r="I1148" s="14"/>
    </row>
    <row r="1149" spans="2:9" ht="12.75" hidden="1" customHeight="1">
      <c r="B1149" s="14"/>
      <c r="C1149" s="14"/>
      <c r="D1149" s="14"/>
      <c r="E1149" s="14"/>
      <c r="F1149" s="14"/>
      <c r="G1149" s="14"/>
      <c r="H1149" s="79"/>
      <c r="I1149" s="14"/>
    </row>
    <row r="1150" spans="2:9" ht="12.75" hidden="1" customHeight="1">
      <c r="B1150" s="14"/>
      <c r="C1150" s="14"/>
      <c r="D1150" s="14"/>
      <c r="E1150" s="14"/>
      <c r="F1150" s="14"/>
      <c r="G1150" s="14"/>
      <c r="H1150" s="79"/>
      <c r="I1150" s="14"/>
    </row>
    <row r="1151" spans="2:9" ht="12.75" hidden="1" customHeight="1">
      <c r="B1151" s="14"/>
      <c r="C1151" s="14"/>
      <c r="D1151" s="14"/>
      <c r="E1151" s="14"/>
      <c r="F1151" s="14"/>
      <c r="G1151" s="14"/>
      <c r="H1151" s="79"/>
      <c r="I1151" s="14"/>
    </row>
    <row r="1152" spans="2:9" ht="12.75" hidden="1" customHeight="1">
      <c r="B1152" s="14"/>
      <c r="C1152" s="14"/>
      <c r="D1152" s="14"/>
      <c r="E1152" s="14"/>
      <c r="F1152" s="14"/>
      <c r="G1152" s="14"/>
      <c r="H1152" s="79"/>
      <c r="I1152" s="14"/>
    </row>
    <row r="1153" spans="2:9" ht="12.75" hidden="1" customHeight="1">
      <c r="B1153" s="14"/>
      <c r="C1153" s="14"/>
      <c r="D1153" s="14"/>
      <c r="E1153" s="14"/>
      <c r="F1153" s="14"/>
      <c r="G1153" s="14"/>
      <c r="H1153" s="79"/>
      <c r="I1153" s="14"/>
    </row>
    <row r="1154" spans="2:9" ht="12.75" hidden="1" customHeight="1">
      <c r="B1154" s="14"/>
      <c r="C1154" s="14"/>
      <c r="D1154" s="14"/>
      <c r="E1154" s="14"/>
      <c r="F1154" s="14"/>
      <c r="G1154" s="14"/>
      <c r="H1154" s="79"/>
      <c r="I1154" s="14"/>
    </row>
    <row r="1155" spans="2:9" ht="12.75" hidden="1" customHeight="1">
      <c r="B1155" s="14"/>
      <c r="C1155" s="14"/>
      <c r="D1155" s="14"/>
      <c r="E1155" s="14"/>
      <c r="F1155" s="14"/>
      <c r="G1155" s="14"/>
      <c r="H1155" s="79"/>
      <c r="I1155" s="14"/>
    </row>
    <row r="1156" spans="2:9" ht="12.75" hidden="1" customHeight="1">
      <c r="B1156" s="14"/>
      <c r="C1156" s="14"/>
      <c r="D1156" s="14"/>
      <c r="E1156" s="14"/>
      <c r="F1156" s="14"/>
      <c r="G1156" s="14"/>
      <c r="H1156" s="79"/>
      <c r="I1156" s="14"/>
    </row>
    <row r="1157" spans="2:9" ht="12.75" hidden="1" customHeight="1">
      <c r="B1157" s="14"/>
      <c r="C1157" s="14"/>
      <c r="D1157" s="14"/>
      <c r="E1157" s="14"/>
      <c r="F1157" s="14"/>
      <c r="G1157" s="14"/>
      <c r="H1157" s="79"/>
      <c r="I1157" s="14"/>
    </row>
    <row r="1158" spans="2:9" ht="12.75" hidden="1" customHeight="1">
      <c r="B1158" s="14"/>
      <c r="C1158" s="14"/>
      <c r="D1158" s="14"/>
      <c r="E1158" s="14"/>
      <c r="F1158" s="14"/>
      <c r="G1158" s="14"/>
      <c r="H1158" s="79"/>
      <c r="I1158" s="14"/>
    </row>
    <row r="1159" spans="2:9" ht="12.75" hidden="1" customHeight="1">
      <c r="B1159" s="14"/>
      <c r="C1159" s="14"/>
      <c r="D1159" s="14"/>
      <c r="E1159" s="14"/>
      <c r="F1159" s="14"/>
      <c r="G1159" s="14"/>
      <c r="H1159" s="79"/>
      <c r="I1159" s="14"/>
    </row>
    <row r="1160" spans="2:9" ht="12.75" hidden="1" customHeight="1">
      <c r="B1160" s="14"/>
      <c r="C1160" s="14"/>
      <c r="D1160" s="14"/>
      <c r="E1160" s="14"/>
      <c r="F1160" s="14"/>
      <c r="G1160" s="14"/>
      <c r="H1160" s="79"/>
      <c r="I1160" s="14"/>
    </row>
    <row r="1161" spans="2:9" ht="12.75" hidden="1" customHeight="1">
      <c r="B1161" s="14"/>
      <c r="C1161" s="14"/>
      <c r="D1161" s="14"/>
      <c r="E1161" s="14"/>
      <c r="F1161" s="14"/>
      <c r="G1161" s="14"/>
      <c r="H1161" s="79"/>
      <c r="I1161" s="14"/>
    </row>
    <row r="1162" spans="2:9" ht="12.75" hidden="1" customHeight="1">
      <c r="B1162" s="14"/>
      <c r="C1162" s="14"/>
      <c r="D1162" s="14"/>
      <c r="E1162" s="14"/>
      <c r="F1162" s="14"/>
      <c r="G1162" s="14"/>
      <c r="H1162" s="79"/>
      <c r="I1162" s="14"/>
    </row>
    <row r="1163" spans="2:9" ht="12.75" hidden="1" customHeight="1">
      <c r="B1163" s="14"/>
      <c r="C1163" s="14"/>
      <c r="D1163" s="14"/>
      <c r="E1163" s="14"/>
      <c r="F1163" s="14"/>
      <c r="G1163" s="14"/>
      <c r="H1163" s="79"/>
      <c r="I1163" s="14"/>
    </row>
    <row r="1164" spans="2:9" ht="12.75" hidden="1" customHeight="1">
      <c r="B1164" s="14"/>
      <c r="C1164" s="14"/>
      <c r="D1164" s="14"/>
      <c r="E1164" s="14"/>
      <c r="F1164" s="14"/>
      <c r="G1164" s="14"/>
      <c r="H1164" s="79"/>
      <c r="I1164" s="14"/>
    </row>
    <row r="1165" spans="2:9" ht="12.75" hidden="1" customHeight="1">
      <c r="B1165" s="14"/>
      <c r="C1165" s="14"/>
      <c r="D1165" s="14"/>
      <c r="E1165" s="14"/>
      <c r="F1165" s="14"/>
      <c r="G1165" s="14"/>
      <c r="H1165" s="79"/>
      <c r="I1165" s="14"/>
    </row>
    <row r="1166" spans="2:9" ht="12.75" hidden="1" customHeight="1">
      <c r="B1166" s="14"/>
      <c r="C1166" s="14"/>
      <c r="D1166" s="14"/>
      <c r="E1166" s="14"/>
      <c r="F1166" s="14"/>
      <c r="G1166" s="14"/>
      <c r="H1166" s="79"/>
      <c r="I1166" s="14"/>
    </row>
    <row r="1167" spans="2:9" ht="12.75" hidden="1" customHeight="1">
      <c r="B1167" s="14"/>
      <c r="C1167" s="14"/>
      <c r="D1167" s="14"/>
      <c r="E1167" s="14"/>
      <c r="F1167" s="14"/>
      <c r="G1167" s="14"/>
      <c r="H1167" s="79"/>
      <c r="I1167" s="14"/>
    </row>
    <row r="1168" spans="2:9" ht="12.75" hidden="1" customHeight="1">
      <c r="B1168" s="14"/>
      <c r="C1168" s="14"/>
      <c r="D1168" s="14"/>
      <c r="E1168" s="14"/>
      <c r="F1168" s="14"/>
      <c r="G1168" s="14"/>
      <c r="H1168" s="79"/>
      <c r="I1168" s="14"/>
    </row>
    <row r="1169" spans="2:9" ht="12.75" hidden="1" customHeight="1">
      <c r="B1169" s="14"/>
      <c r="C1169" s="14"/>
      <c r="D1169" s="14"/>
      <c r="E1169" s="14"/>
      <c r="F1169" s="14"/>
      <c r="G1169" s="14"/>
      <c r="H1169" s="79"/>
      <c r="I1169" s="14"/>
    </row>
    <row r="1170" spans="2:9" ht="12.75" hidden="1" customHeight="1">
      <c r="B1170" s="14"/>
      <c r="C1170" s="14"/>
      <c r="D1170" s="14"/>
      <c r="E1170" s="14"/>
      <c r="F1170" s="14"/>
      <c r="G1170" s="14"/>
      <c r="H1170" s="79"/>
      <c r="I1170" s="14"/>
    </row>
    <row r="1171" spans="2:9" ht="12.75" hidden="1" customHeight="1">
      <c r="B1171" s="14"/>
      <c r="C1171" s="14"/>
      <c r="D1171" s="14"/>
      <c r="E1171" s="14"/>
      <c r="F1171" s="14"/>
      <c r="G1171" s="14"/>
      <c r="H1171" s="79"/>
      <c r="I1171" s="14"/>
    </row>
    <row r="1172" spans="2:9" ht="12.75" hidden="1" customHeight="1">
      <c r="B1172" s="14"/>
      <c r="C1172" s="14"/>
      <c r="D1172" s="14"/>
      <c r="E1172" s="14"/>
      <c r="F1172" s="14"/>
      <c r="G1172" s="14"/>
      <c r="H1172" s="79"/>
      <c r="I1172" s="14"/>
    </row>
    <row r="1173" spans="2:9" ht="12.75" hidden="1" customHeight="1">
      <c r="B1173" s="14"/>
      <c r="C1173" s="14"/>
      <c r="D1173" s="14"/>
      <c r="E1173" s="14"/>
      <c r="F1173" s="14"/>
      <c r="G1173" s="14"/>
      <c r="H1173" s="79"/>
      <c r="I1173" s="14"/>
    </row>
    <row r="1174" spans="2:9" ht="12.75" hidden="1" customHeight="1">
      <c r="B1174" s="14"/>
      <c r="C1174" s="14"/>
      <c r="D1174" s="14"/>
      <c r="E1174" s="14"/>
      <c r="F1174" s="14"/>
      <c r="G1174" s="14"/>
      <c r="H1174" s="79"/>
      <c r="I1174" s="14"/>
    </row>
    <row r="1175" spans="2:9" ht="12.75" hidden="1" customHeight="1">
      <c r="B1175" s="14"/>
      <c r="C1175" s="14"/>
      <c r="D1175" s="14"/>
      <c r="E1175" s="14"/>
      <c r="F1175" s="14"/>
      <c r="G1175" s="14"/>
      <c r="H1175" s="79"/>
      <c r="I1175" s="14"/>
    </row>
    <row r="1176" spans="2:9" ht="12.75" hidden="1" customHeight="1">
      <c r="B1176" s="14"/>
      <c r="C1176" s="14"/>
      <c r="D1176" s="14"/>
      <c r="E1176" s="14"/>
      <c r="F1176" s="14"/>
      <c r="G1176" s="14"/>
      <c r="H1176" s="79"/>
      <c r="I1176" s="14"/>
    </row>
    <row r="1177" spans="2:9" ht="12.75" hidden="1" customHeight="1">
      <c r="B1177" s="14"/>
      <c r="C1177" s="14"/>
      <c r="D1177" s="14"/>
      <c r="E1177" s="14"/>
      <c r="F1177" s="14"/>
      <c r="G1177" s="14"/>
      <c r="H1177" s="79"/>
      <c r="I1177" s="14"/>
    </row>
    <row r="1178" spans="2:9" ht="12.75" hidden="1" customHeight="1">
      <c r="B1178" s="14"/>
      <c r="C1178" s="14"/>
      <c r="D1178" s="14"/>
      <c r="E1178" s="14"/>
      <c r="F1178" s="14"/>
      <c r="G1178" s="14"/>
      <c r="H1178" s="79"/>
      <c r="I1178" s="14"/>
    </row>
    <row r="1179" spans="2:9" ht="12.75" hidden="1" customHeight="1">
      <c r="B1179" s="14"/>
      <c r="C1179" s="14"/>
      <c r="D1179" s="14"/>
      <c r="E1179" s="14"/>
      <c r="F1179" s="14"/>
      <c r="G1179" s="14"/>
      <c r="H1179" s="79"/>
      <c r="I1179" s="14"/>
    </row>
    <row r="1180" spans="2:9" ht="12.75" hidden="1" customHeight="1">
      <c r="B1180" s="14"/>
      <c r="C1180" s="14"/>
      <c r="D1180" s="14"/>
      <c r="E1180" s="14"/>
      <c r="F1180" s="14"/>
      <c r="G1180" s="14"/>
      <c r="H1180" s="79"/>
      <c r="I1180" s="14"/>
    </row>
    <row r="1181" spans="2:9" ht="12.75" hidden="1" customHeight="1">
      <c r="B1181" s="14"/>
      <c r="C1181" s="14"/>
      <c r="D1181" s="14"/>
      <c r="E1181" s="14"/>
      <c r="F1181" s="14"/>
      <c r="G1181" s="14"/>
      <c r="H1181" s="79"/>
      <c r="I1181" s="14"/>
    </row>
    <row r="1182" spans="2:9" ht="12.75" hidden="1" customHeight="1">
      <c r="B1182" s="14"/>
      <c r="C1182" s="14"/>
      <c r="D1182" s="14"/>
      <c r="E1182" s="14"/>
      <c r="F1182" s="14"/>
      <c r="G1182" s="14"/>
      <c r="H1182" s="79"/>
      <c r="I1182" s="14"/>
    </row>
    <row r="1183" spans="2:9" ht="12.75" hidden="1" customHeight="1">
      <c r="B1183" s="14"/>
      <c r="C1183" s="14"/>
      <c r="D1183" s="14"/>
      <c r="E1183" s="14"/>
      <c r="F1183" s="14"/>
      <c r="G1183" s="14"/>
      <c r="H1183" s="79"/>
      <c r="I1183" s="14"/>
    </row>
    <row r="1184" spans="2:9" ht="12.75" hidden="1" customHeight="1">
      <c r="B1184" s="14"/>
      <c r="C1184" s="14"/>
      <c r="D1184" s="14"/>
      <c r="E1184" s="14"/>
      <c r="F1184" s="14"/>
      <c r="G1184" s="14"/>
      <c r="H1184" s="79"/>
      <c r="I1184" s="14"/>
    </row>
    <row r="1185" spans="2:9" ht="12.75" hidden="1" customHeight="1">
      <c r="B1185" s="14"/>
      <c r="C1185" s="14"/>
      <c r="D1185" s="14"/>
      <c r="E1185" s="14"/>
      <c r="F1185" s="14"/>
      <c r="G1185" s="14"/>
      <c r="H1185" s="79"/>
      <c r="I1185" s="14"/>
    </row>
    <row r="1186" spans="2:9" ht="12.75" hidden="1" customHeight="1">
      <c r="B1186" s="14"/>
      <c r="C1186" s="14"/>
      <c r="D1186" s="14"/>
      <c r="E1186" s="14"/>
      <c r="F1186" s="14"/>
      <c r="G1186" s="14"/>
      <c r="H1186" s="79"/>
      <c r="I1186" s="14"/>
    </row>
    <row r="1187" spans="2:9" ht="12.75" hidden="1" customHeight="1">
      <c r="B1187" s="14"/>
      <c r="C1187" s="14"/>
      <c r="D1187" s="14"/>
      <c r="E1187" s="14"/>
      <c r="F1187" s="14"/>
      <c r="G1187" s="14"/>
      <c r="H1187" s="79"/>
      <c r="I1187" s="14"/>
    </row>
    <row r="1188" spans="2:9" ht="12.75" hidden="1" customHeight="1">
      <c r="B1188" s="14"/>
      <c r="C1188" s="14"/>
      <c r="D1188" s="14"/>
      <c r="E1188" s="14"/>
      <c r="F1188" s="14"/>
      <c r="G1188" s="14"/>
      <c r="H1188" s="79"/>
      <c r="I1188" s="14"/>
    </row>
    <row r="1189" spans="2:9" ht="12.75" hidden="1" customHeight="1">
      <c r="B1189" s="14"/>
      <c r="C1189" s="14"/>
      <c r="D1189" s="14"/>
      <c r="E1189" s="14"/>
      <c r="F1189" s="14"/>
      <c r="G1189" s="14"/>
      <c r="H1189" s="79"/>
      <c r="I1189" s="14"/>
    </row>
    <row r="1190" spans="2:9" ht="12.75" hidden="1" customHeight="1">
      <c r="B1190" s="14"/>
      <c r="C1190" s="14"/>
      <c r="D1190" s="14"/>
      <c r="E1190" s="14"/>
      <c r="F1190" s="14"/>
      <c r="G1190" s="14"/>
      <c r="H1190" s="79"/>
      <c r="I1190" s="14"/>
    </row>
    <row r="1191" spans="2:9" ht="12.75" hidden="1" customHeight="1">
      <c r="B1191" s="14"/>
      <c r="C1191" s="14"/>
      <c r="D1191" s="14"/>
      <c r="E1191" s="14"/>
      <c r="F1191" s="14"/>
      <c r="G1191" s="14"/>
      <c r="H1191" s="79"/>
      <c r="I1191" s="14"/>
    </row>
    <row r="1192" spans="2:9" ht="12.75" hidden="1" customHeight="1">
      <c r="B1192" s="14"/>
      <c r="C1192" s="14"/>
      <c r="D1192" s="14"/>
      <c r="E1192" s="14"/>
      <c r="F1192" s="14"/>
      <c r="G1192" s="14"/>
      <c r="H1192" s="79"/>
      <c r="I1192" s="14"/>
    </row>
    <row r="1193" spans="2:9" ht="12.75" hidden="1" customHeight="1">
      <c r="B1193" s="14"/>
      <c r="C1193" s="14"/>
      <c r="D1193" s="14"/>
      <c r="E1193" s="14"/>
      <c r="F1193" s="14"/>
      <c r="G1193" s="14"/>
      <c r="H1193" s="79"/>
      <c r="I1193" s="14"/>
    </row>
    <row r="1194" spans="2:9" ht="12.75" hidden="1" customHeight="1">
      <c r="B1194" s="14"/>
      <c r="C1194" s="14"/>
      <c r="D1194" s="14"/>
      <c r="E1194" s="14"/>
      <c r="F1194" s="14"/>
      <c r="G1194" s="14"/>
      <c r="H1194" s="79"/>
      <c r="I1194" s="14"/>
    </row>
    <row r="1195" spans="2:9" ht="12.75" hidden="1" customHeight="1">
      <c r="B1195" s="14"/>
      <c r="C1195" s="14"/>
      <c r="D1195" s="14"/>
      <c r="E1195" s="14"/>
      <c r="F1195" s="14"/>
      <c r="G1195" s="14"/>
      <c r="H1195" s="79"/>
      <c r="I1195" s="14"/>
    </row>
    <row r="1196" spans="2:9" ht="12.75" hidden="1" customHeight="1">
      <c r="B1196" s="14"/>
      <c r="C1196" s="14"/>
      <c r="D1196" s="14"/>
      <c r="E1196" s="14"/>
      <c r="F1196" s="14"/>
      <c r="G1196" s="14"/>
      <c r="H1196" s="79"/>
      <c r="I1196" s="14"/>
    </row>
    <row r="1197" spans="2:9" ht="12.75" hidden="1" customHeight="1">
      <c r="B1197" s="14"/>
      <c r="C1197" s="14"/>
      <c r="D1197" s="14"/>
      <c r="E1197" s="14"/>
      <c r="F1197" s="14"/>
      <c r="G1197" s="14"/>
      <c r="H1197" s="79"/>
      <c r="I1197" s="14"/>
    </row>
    <row r="1198" spans="2:9" ht="12.75" hidden="1" customHeight="1">
      <c r="B1198" s="14"/>
      <c r="C1198" s="14"/>
      <c r="D1198" s="14"/>
      <c r="E1198" s="14"/>
      <c r="F1198" s="14"/>
      <c r="G1198" s="14"/>
      <c r="H1198" s="79"/>
      <c r="I1198" s="14"/>
    </row>
    <row r="1199" spans="2:9" ht="12.75" hidden="1" customHeight="1">
      <c r="B1199" s="14"/>
      <c r="C1199" s="14"/>
      <c r="D1199" s="14"/>
      <c r="E1199" s="14"/>
      <c r="F1199" s="14"/>
      <c r="G1199" s="14"/>
      <c r="H1199" s="79"/>
      <c r="I1199" s="14"/>
    </row>
    <row r="1200" spans="2:9" ht="12.75" hidden="1" customHeight="1">
      <c r="B1200" s="14"/>
      <c r="C1200" s="14"/>
      <c r="D1200" s="14"/>
      <c r="E1200" s="14"/>
      <c r="F1200" s="14"/>
      <c r="G1200" s="14"/>
      <c r="H1200" s="79"/>
      <c r="I1200" s="14"/>
    </row>
    <row r="1201" spans="2:9" ht="12.75" hidden="1" customHeight="1">
      <c r="B1201" s="14"/>
      <c r="C1201" s="14"/>
      <c r="D1201" s="14"/>
      <c r="E1201" s="14"/>
      <c r="F1201" s="14"/>
      <c r="G1201" s="14"/>
      <c r="H1201" s="79"/>
      <c r="I1201" s="14"/>
    </row>
    <row r="1202" spans="2:9" ht="12.75" hidden="1" customHeight="1">
      <c r="B1202" s="14"/>
      <c r="C1202" s="14"/>
      <c r="D1202" s="14"/>
      <c r="E1202" s="14"/>
      <c r="F1202" s="14"/>
      <c r="G1202" s="14"/>
      <c r="H1202" s="79"/>
      <c r="I1202" s="14"/>
    </row>
    <row r="1203" spans="2:9" ht="12.75" hidden="1" customHeight="1">
      <c r="B1203" s="14"/>
      <c r="C1203" s="14"/>
      <c r="D1203" s="14"/>
      <c r="E1203" s="14"/>
      <c r="F1203" s="14"/>
      <c r="G1203" s="14"/>
      <c r="H1203" s="79"/>
      <c r="I1203" s="14"/>
    </row>
    <row r="1204" spans="2:9" ht="12.75" hidden="1" customHeight="1">
      <c r="B1204" s="14"/>
      <c r="C1204" s="14"/>
      <c r="D1204" s="14"/>
      <c r="E1204" s="14"/>
      <c r="F1204" s="14"/>
      <c r="G1204" s="14"/>
      <c r="H1204" s="79"/>
      <c r="I1204" s="14"/>
    </row>
    <row r="1205" spans="2:9" ht="12.75" hidden="1" customHeight="1">
      <c r="B1205" s="14"/>
      <c r="C1205" s="14"/>
      <c r="D1205" s="14"/>
      <c r="E1205" s="14"/>
      <c r="F1205" s="14"/>
      <c r="G1205" s="14"/>
      <c r="H1205" s="79"/>
      <c r="I1205" s="14"/>
    </row>
    <row r="1206" spans="2:9" ht="12.75" hidden="1" customHeight="1">
      <c r="B1206" s="14"/>
      <c r="C1206" s="14"/>
      <c r="D1206" s="14"/>
      <c r="E1206" s="14"/>
      <c r="F1206" s="14"/>
      <c r="G1206" s="14"/>
      <c r="H1206" s="79"/>
      <c r="I1206" s="14"/>
    </row>
    <row r="1207" spans="2:9" ht="12.75" hidden="1" customHeight="1">
      <c r="B1207" s="14"/>
      <c r="C1207" s="14"/>
      <c r="D1207" s="14"/>
      <c r="E1207" s="14"/>
      <c r="F1207" s="14"/>
      <c r="G1207" s="14"/>
      <c r="H1207" s="79"/>
      <c r="I1207" s="14"/>
    </row>
    <row r="1208" spans="2:9" ht="12.75" hidden="1" customHeight="1">
      <c r="B1208" s="14"/>
      <c r="C1208" s="14"/>
      <c r="D1208" s="14"/>
      <c r="E1208" s="14"/>
      <c r="F1208" s="14"/>
      <c r="G1208" s="14"/>
      <c r="H1208" s="79"/>
      <c r="I1208" s="14"/>
    </row>
    <row r="1209" spans="2:9" ht="12.75" hidden="1" customHeight="1">
      <c r="B1209" s="14"/>
      <c r="C1209" s="14"/>
      <c r="D1209" s="14"/>
      <c r="E1209" s="14"/>
      <c r="F1209" s="14"/>
      <c r="G1209" s="14"/>
      <c r="H1209" s="79"/>
      <c r="I1209" s="14"/>
    </row>
    <row r="1210" spans="2:9" ht="12.75" hidden="1" customHeight="1">
      <c r="B1210" s="14"/>
      <c r="C1210" s="14"/>
      <c r="D1210" s="14"/>
      <c r="E1210" s="14"/>
      <c r="F1210" s="14"/>
      <c r="G1210" s="14"/>
      <c r="H1210" s="79"/>
      <c r="I1210" s="14"/>
    </row>
    <row r="1211" spans="2:9" ht="12.75" hidden="1" customHeight="1">
      <c r="B1211" s="14"/>
      <c r="C1211" s="14"/>
      <c r="D1211" s="14"/>
      <c r="E1211" s="14"/>
      <c r="F1211" s="14"/>
      <c r="G1211" s="14"/>
      <c r="H1211" s="79"/>
      <c r="I1211" s="14"/>
    </row>
    <row r="1212" spans="2:9" ht="12.75" hidden="1" customHeight="1">
      <c r="B1212" s="14"/>
      <c r="C1212" s="14"/>
      <c r="D1212" s="14"/>
      <c r="E1212" s="14"/>
      <c r="F1212" s="14"/>
      <c r="G1212" s="14"/>
      <c r="H1212" s="79"/>
      <c r="I1212" s="14"/>
    </row>
    <row r="1213" spans="2:9" ht="12.75" hidden="1" customHeight="1">
      <c r="B1213" s="14"/>
      <c r="C1213" s="14"/>
      <c r="D1213" s="14"/>
      <c r="E1213" s="14"/>
      <c r="F1213" s="14"/>
      <c r="G1213" s="14"/>
      <c r="H1213" s="79"/>
      <c r="I1213" s="14"/>
    </row>
    <row r="1214" spans="2:9" ht="12.75" hidden="1" customHeight="1">
      <c r="B1214" s="14"/>
      <c r="C1214" s="14"/>
      <c r="D1214" s="14"/>
      <c r="E1214" s="14"/>
      <c r="F1214" s="14"/>
      <c r="G1214" s="14"/>
      <c r="H1214" s="79"/>
      <c r="I1214" s="14"/>
    </row>
    <row r="1215" spans="2:9" ht="12.75" hidden="1" customHeight="1">
      <c r="B1215" s="14"/>
      <c r="C1215" s="14"/>
      <c r="D1215" s="14"/>
      <c r="E1215" s="14"/>
      <c r="F1215" s="14"/>
      <c r="G1215" s="14"/>
      <c r="H1215" s="79"/>
      <c r="I1215" s="14"/>
    </row>
    <row r="1216" spans="2:9" ht="12.75" hidden="1" customHeight="1">
      <c r="B1216" s="14"/>
      <c r="C1216" s="14"/>
      <c r="D1216" s="14"/>
      <c r="E1216" s="14"/>
      <c r="F1216" s="14"/>
      <c r="G1216" s="14"/>
      <c r="H1216" s="79"/>
      <c r="I1216" s="14"/>
    </row>
    <row r="1217" spans="2:9" ht="12.75" hidden="1" customHeight="1">
      <c r="B1217" s="14"/>
      <c r="C1217" s="14"/>
      <c r="D1217" s="14"/>
      <c r="E1217" s="14"/>
      <c r="F1217" s="14"/>
      <c r="G1217" s="14"/>
      <c r="H1217" s="79"/>
      <c r="I1217" s="14"/>
    </row>
    <row r="1218" spans="2:9" ht="12.75" hidden="1" customHeight="1">
      <c r="B1218" s="14"/>
      <c r="C1218" s="14"/>
      <c r="D1218" s="14"/>
      <c r="E1218" s="14"/>
      <c r="F1218" s="14"/>
      <c r="G1218" s="14"/>
      <c r="H1218" s="79"/>
      <c r="I1218" s="14"/>
    </row>
    <row r="1219" spans="2:9" ht="12.75" hidden="1" customHeight="1">
      <c r="B1219" s="14"/>
      <c r="C1219" s="14"/>
      <c r="D1219" s="14"/>
      <c r="E1219" s="14"/>
      <c r="F1219" s="14"/>
      <c r="G1219" s="14"/>
      <c r="H1219" s="79"/>
      <c r="I1219" s="14"/>
    </row>
    <row r="1220" spans="2:9" ht="12.75" hidden="1" customHeight="1">
      <c r="B1220" s="14"/>
      <c r="C1220" s="14"/>
      <c r="D1220" s="14"/>
      <c r="E1220" s="14"/>
      <c r="F1220" s="14"/>
      <c r="G1220" s="14"/>
      <c r="H1220" s="79"/>
      <c r="I1220" s="14"/>
    </row>
    <row r="1221" spans="2:9" ht="12.75" hidden="1" customHeight="1">
      <c r="B1221" s="14"/>
      <c r="C1221" s="14"/>
      <c r="D1221" s="14"/>
      <c r="E1221" s="14"/>
      <c r="F1221" s="14"/>
      <c r="G1221" s="14"/>
      <c r="H1221" s="79"/>
      <c r="I1221" s="14"/>
    </row>
    <row r="1222" spans="2:9" ht="12.75" hidden="1" customHeight="1">
      <c r="B1222" s="14"/>
      <c r="C1222" s="14"/>
      <c r="D1222" s="14"/>
      <c r="E1222" s="14"/>
      <c r="F1222" s="14"/>
      <c r="G1222" s="14"/>
      <c r="H1222" s="79"/>
      <c r="I1222" s="14"/>
    </row>
    <row r="1223" spans="2:9" ht="12.75" hidden="1" customHeight="1">
      <c r="B1223" s="14"/>
      <c r="C1223" s="14"/>
      <c r="D1223" s="14"/>
      <c r="E1223" s="14"/>
      <c r="F1223" s="14"/>
      <c r="G1223" s="14"/>
      <c r="H1223" s="79"/>
      <c r="I1223" s="14"/>
    </row>
    <row r="1224" spans="2:9" ht="12.75" hidden="1" customHeight="1">
      <c r="B1224" s="14"/>
      <c r="C1224" s="14"/>
      <c r="D1224" s="14"/>
      <c r="E1224" s="14"/>
      <c r="F1224" s="14"/>
      <c r="G1224" s="14"/>
      <c r="H1224" s="79"/>
      <c r="I1224" s="14"/>
    </row>
    <row r="1225" spans="2:9" ht="12.75" hidden="1" customHeight="1">
      <c r="B1225" s="14"/>
      <c r="C1225" s="14"/>
      <c r="D1225" s="14"/>
      <c r="E1225" s="14"/>
      <c r="F1225" s="14"/>
      <c r="G1225" s="14"/>
      <c r="H1225" s="79"/>
      <c r="I1225" s="14"/>
    </row>
    <row r="1226" spans="2:9" ht="12.75" hidden="1" customHeight="1">
      <c r="B1226" s="14"/>
      <c r="C1226" s="14"/>
      <c r="D1226" s="14"/>
      <c r="E1226" s="14"/>
      <c r="F1226" s="14"/>
      <c r="G1226" s="14"/>
      <c r="H1226" s="79"/>
      <c r="I1226" s="14"/>
    </row>
    <row r="1227" spans="2:9" ht="12.75" hidden="1" customHeight="1">
      <c r="B1227" s="14"/>
      <c r="C1227" s="14"/>
      <c r="D1227" s="14"/>
      <c r="E1227" s="14"/>
      <c r="F1227" s="14"/>
      <c r="G1227" s="14"/>
      <c r="H1227" s="79"/>
      <c r="I1227" s="14"/>
    </row>
    <row r="1228" spans="2:9" ht="12.75" hidden="1" customHeight="1">
      <c r="B1228" s="14"/>
      <c r="C1228" s="14"/>
      <c r="D1228" s="14"/>
      <c r="E1228" s="14"/>
      <c r="F1228" s="14"/>
      <c r="G1228" s="14"/>
      <c r="H1228" s="79"/>
      <c r="I1228" s="14"/>
    </row>
    <row r="1229" spans="2:9" ht="12.75" hidden="1" customHeight="1">
      <c r="B1229" s="14"/>
      <c r="C1229" s="14"/>
      <c r="D1229" s="14"/>
      <c r="E1229" s="14"/>
      <c r="F1229" s="14"/>
      <c r="G1229" s="14"/>
      <c r="H1229" s="79"/>
      <c r="I1229" s="14"/>
    </row>
    <row r="1230" spans="2:9" ht="12.75" hidden="1" customHeight="1">
      <c r="B1230" s="14"/>
      <c r="C1230" s="14"/>
      <c r="D1230" s="14"/>
      <c r="E1230" s="14"/>
      <c r="F1230" s="14"/>
      <c r="G1230" s="14"/>
      <c r="H1230" s="79"/>
      <c r="I1230" s="14"/>
    </row>
    <row r="1231" spans="2:9" ht="12.75" hidden="1" customHeight="1">
      <c r="B1231" s="14"/>
      <c r="C1231" s="14"/>
      <c r="D1231" s="14"/>
      <c r="E1231" s="14"/>
      <c r="F1231" s="14"/>
      <c r="G1231" s="14"/>
      <c r="H1231" s="79"/>
      <c r="I1231" s="14"/>
    </row>
    <row r="1232" spans="2:9" ht="12.75" hidden="1" customHeight="1">
      <c r="B1232" s="14"/>
      <c r="C1232" s="14"/>
      <c r="D1232" s="14"/>
      <c r="E1232" s="14"/>
      <c r="F1232" s="14"/>
      <c r="G1232" s="14"/>
      <c r="H1232" s="79"/>
      <c r="I1232" s="14"/>
    </row>
    <row r="1233" spans="2:9" ht="12.75" hidden="1" customHeight="1">
      <c r="B1233" s="14"/>
      <c r="C1233" s="14"/>
      <c r="D1233" s="14"/>
      <c r="E1233" s="14"/>
      <c r="F1233" s="14"/>
      <c r="G1233" s="14"/>
      <c r="H1233" s="79"/>
      <c r="I1233" s="14"/>
    </row>
    <row r="1234" spans="2:9" ht="12.75" hidden="1" customHeight="1">
      <c r="B1234" s="14"/>
      <c r="C1234" s="14"/>
      <c r="D1234" s="14"/>
      <c r="E1234" s="14"/>
      <c r="F1234" s="14"/>
      <c r="G1234" s="14"/>
      <c r="H1234" s="79"/>
      <c r="I1234" s="14"/>
    </row>
    <row r="1235" spans="2:9" ht="12.75" hidden="1" customHeight="1">
      <c r="B1235" s="14"/>
      <c r="C1235" s="14"/>
      <c r="D1235" s="14"/>
      <c r="E1235" s="14"/>
      <c r="F1235" s="14"/>
      <c r="G1235" s="14"/>
      <c r="H1235" s="79"/>
      <c r="I1235" s="14"/>
    </row>
    <row r="1236" spans="2:9" ht="12.75" hidden="1" customHeight="1">
      <c r="B1236" s="14"/>
      <c r="C1236" s="14"/>
      <c r="D1236" s="14"/>
      <c r="E1236" s="14"/>
      <c r="F1236" s="14"/>
      <c r="G1236" s="14"/>
      <c r="H1236" s="79"/>
      <c r="I1236" s="14"/>
    </row>
    <row r="1237" spans="2:9" ht="12.75" hidden="1" customHeight="1">
      <c r="B1237" s="14"/>
      <c r="C1237" s="14"/>
      <c r="D1237" s="14"/>
      <c r="E1237" s="14"/>
      <c r="F1237" s="14"/>
      <c r="G1237" s="14"/>
      <c r="H1237" s="79"/>
      <c r="I1237" s="14"/>
    </row>
    <row r="1238" spans="2:9" ht="12.75" hidden="1" customHeight="1">
      <c r="B1238" s="14"/>
      <c r="C1238" s="14"/>
      <c r="D1238" s="14"/>
      <c r="E1238" s="14"/>
      <c r="F1238" s="14"/>
      <c r="G1238" s="14"/>
      <c r="H1238" s="79"/>
      <c r="I1238" s="14"/>
    </row>
    <row r="1239" spans="2:9" ht="12.75" hidden="1" customHeight="1">
      <c r="B1239" s="14"/>
      <c r="C1239" s="14"/>
      <c r="D1239" s="14"/>
      <c r="E1239" s="14"/>
      <c r="F1239" s="14"/>
      <c r="G1239" s="14"/>
      <c r="H1239" s="79"/>
      <c r="I1239" s="14"/>
    </row>
    <row r="1240" spans="2:9" ht="12.75" hidden="1" customHeight="1">
      <c r="B1240" s="14"/>
      <c r="C1240" s="14"/>
      <c r="D1240" s="14"/>
      <c r="E1240" s="14"/>
      <c r="F1240" s="14"/>
      <c r="G1240" s="14"/>
      <c r="H1240" s="79"/>
      <c r="I1240" s="14"/>
    </row>
    <row r="1241" spans="2:9" ht="12.75" hidden="1" customHeight="1">
      <c r="B1241" s="14"/>
      <c r="C1241" s="14"/>
      <c r="D1241" s="14"/>
      <c r="E1241" s="14"/>
      <c r="F1241" s="14"/>
      <c r="G1241" s="14"/>
      <c r="H1241" s="79"/>
      <c r="I1241" s="14"/>
    </row>
    <row r="1242" spans="2:9" ht="12.75" hidden="1" customHeight="1">
      <c r="C1242" s="14"/>
      <c r="D1242" s="14"/>
      <c r="E1242" s="14"/>
      <c r="F1242" s="14"/>
      <c r="G1242" s="14"/>
      <c r="H1242" s="79"/>
      <c r="I1242" s="14"/>
    </row>
    <row r="1243" spans="2:9" ht="12.75" hidden="1" customHeight="1">
      <c r="C1243" s="14"/>
      <c r="D1243" s="14"/>
      <c r="E1243" s="14"/>
      <c r="F1243" s="14"/>
      <c r="G1243" s="14"/>
      <c r="H1243" s="79"/>
      <c r="I1243" s="14"/>
    </row>
    <row r="1244" spans="2:9" ht="12.75" hidden="1" customHeight="1">
      <c r="C1244" s="14"/>
      <c r="D1244" s="14"/>
      <c r="E1244" s="14"/>
      <c r="F1244" s="14"/>
      <c r="G1244" s="14"/>
      <c r="H1244" s="79"/>
      <c r="I1244" s="14"/>
    </row>
    <row r="1245" spans="2:9" ht="12.75" hidden="1" customHeight="1">
      <c r="C1245" s="14"/>
      <c r="D1245" s="14"/>
      <c r="E1245" s="14"/>
      <c r="F1245" s="14"/>
      <c r="G1245" s="14"/>
      <c r="H1245" s="79"/>
      <c r="I1245" s="14"/>
    </row>
    <row r="1246" spans="2:9" ht="12.75" hidden="1" customHeight="1">
      <c r="C1246" s="14"/>
      <c r="D1246" s="14"/>
      <c r="E1246" s="14"/>
      <c r="F1246" s="14"/>
      <c r="G1246" s="14"/>
      <c r="H1246" s="79"/>
      <c r="I1246" s="14"/>
    </row>
    <row r="1247" spans="2:9" ht="12.75" hidden="1" customHeight="1">
      <c r="C1247" s="14"/>
      <c r="D1247" s="14"/>
      <c r="E1247" s="14"/>
      <c r="F1247" s="14"/>
      <c r="G1247" s="14"/>
      <c r="H1247" s="79"/>
      <c r="I1247" s="14"/>
    </row>
    <row r="1248" spans="2:9" ht="12.75" hidden="1" customHeight="1">
      <c r="C1248" s="14"/>
      <c r="D1248" s="14"/>
      <c r="E1248" s="14"/>
      <c r="F1248" s="14"/>
      <c r="G1248" s="14"/>
      <c r="H1248" s="79"/>
      <c r="I1248" s="14"/>
    </row>
    <row r="1249" spans="2:9" ht="12.75" hidden="1" customHeight="1">
      <c r="C1249" s="14"/>
      <c r="D1249" s="14"/>
      <c r="E1249" s="14"/>
      <c r="F1249" s="14"/>
      <c r="G1249" s="14"/>
      <c r="H1249" s="79"/>
      <c r="I1249" s="14"/>
    </row>
    <row r="1250" spans="2:9" ht="12.75" hidden="1" customHeight="1">
      <c r="B1250" s="14"/>
      <c r="C1250" s="14"/>
      <c r="D1250" s="14"/>
      <c r="E1250" s="14"/>
      <c r="F1250" s="14"/>
      <c r="G1250" s="14"/>
      <c r="H1250" s="79"/>
      <c r="I1250" s="14"/>
    </row>
    <row r="1251" spans="2:9" ht="12.75" hidden="1" customHeight="1">
      <c r="B1251" s="14"/>
      <c r="C1251" s="14"/>
      <c r="D1251" s="14"/>
      <c r="E1251" s="14"/>
      <c r="F1251" s="14"/>
      <c r="G1251" s="14"/>
      <c r="H1251" s="79"/>
      <c r="I1251" s="14"/>
    </row>
    <row r="1252" spans="2:9" ht="12.75" hidden="1" customHeight="1">
      <c r="B1252" s="14"/>
      <c r="C1252" s="14"/>
      <c r="D1252" s="14"/>
      <c r="E1252" s="14"/>
      <c r="F1252" s="14"/>
      <c r="G1252" s="14"/>
      <c r="H1252" s="79"/>
      <c r="I1252" s="14"/>
    </row>
    <row r="1253" spans="2:9" ht="12.75" hidden="1" customHeight="1">
      <c r="B1253" s="14"/>
      <c r="C1253" s="14"/>
      <c r="D1253" s="14"/>
      <c r="E1253" s="14"/>
      <c r="F1253" s="14"/>
      <c r="G1253" s="14"/>
      <c r="H1253" s="79"/>
      <c r="I1253" s="14"/>
    </row>
    <row r="1254" spans="2:9" ht="12.75" hidden="1" customHeight="1">
      <c r="B1254" s="14"/>
      <c r="C1254" s="14"/>
      <c r="D1254" s="14"/>
      <c r="E1254" s="14"/>
      <c r="F1254" s="14"/>
      <c r="G1254" s="14"/>
      <c r="H1254" s="79"/>
      <c r="I1254" s="14"/>
    </row>
    <row r="1255" spans="2:9" ht="12.75" hidden="1" customHeight="1">
      <c r="B1255" s="14"/>
      <c r="C1255" s="14"/>
      <c r="D1255" s="14"/>
      <c r="E1255" s="14"/>
      <c r="F1255" s="14"/>
      <c r="G1255" s="14"/>
      <c r="H1255" s="79"/>
      <c r="I1255" s="14"/>
    </row>
    <row r="1256" spans="2:9" ht="12.75" hidden="1" customHeight="1">
      <c r="B1256" s="14"/>
      <c r="C1256" s="14"/>
      <c r="D1256" s="14"/>
      <c r="E1256" s="14"/>
      <c r="F1256" s="14"/>
      <c r="G1256" s="14"/>
      <c r="H1256" s="79"/>
      <c r="I1256" s="14"/>
    </row>
    <row r="1257" spans="2:9" ht="12.75" hidden="1" customHeight="1">
      <c r="B1257" s="14"/>
      <c r="C1257" s="14"/>
      <c r="D1257" s="14"/>
      <c r="E1257" s="14"/>
      <c r="F1257" s="14"/>
      <c r="G1257" s="14"/>
      <c r="H1257" s="79"/>
      <c r="I1257" s="14"/>
    </row>
    <row r="1258" spans="2:9" ht="12.75" hidden="1" customHeight="1">
      <c r="B1258" s="14"/>
      <c r="C1258" s="14"/>
      <c r="D1258" s="14"/>
      <c r="E1258" s="14"/>
      <c r="F1258" s="14"/>
      <c r="G1258" s="14"/>
      <c r="H1258" s="79"/>
      <c r="I1258" s="14"/>
    </row>
    <row r="1259" spans="2:9" ht="12.75" hidden="1" customHeight="1">
      <c r="B1259" s="14"/>
      <c r="C1259" s="14"/>
      <c r="D1259" s="14"/>
      <c r="E1259" s="14"/>
      <c r="F1259" s="14"/>
      <c r="G1259" s="14"/>
      <c r="H1259" s="79"/>
      <c r="I1259" s="14"/>
    </row>
    <row r="1260" spans="2:9" ht="12.75" hidden="1" customHeight="1">
      <c r="B1260" s="14"/>
      <c r="C1260" s="14"/>
      <c r="D1260" s="14"/>
      <c r="E1260" s="14"/>
      <c r="F1260" s="14"/>
      <c r="G1260" s="14"/>
      <c r="H1260" s="79"/>
      <c r="I1260" s="14"/>
    </row>
    <row r="1261" spans="2:9" ht="12.75" hidden="1" customHeight="1">
      <c r="B1261" s="14"/>
      <c r="C1261" s="14"/>
      <c r="D1261" s="14"/>
      <c r="E1261" s="14"/>
      <c r="F1261" s="14"/>
      <c r="G1261" s="14"/>
      <c r="H1261" s="79"/>
      <c r="I1261" s="14"/>
    </row>
    <row r="1262" spans="2:9" ht="12.75" hidden="1" customHeight="1">
      <c r="B1262" s="14"/>
      <c r="C1262" s="14"/>
      <c r="D1262" s="14"/>
      <c r="E1262" s="14"/>
      <c r="F1262" s="14"/>
      <c r="G1262" s="14"/>
      <c r="H1262" s="79"/>
      <c r="I1262" s="14"/>
    </row>
    <row r="1263" spans="2:9" ht="12.75" hidden="1" customHeight="1">
      <c r="B1263" s="14"/>
      <c r="C1263" s="14"/>
      <c r="D1263" s="14"/>
      <c r="E1263" s="14"/>
      <c r="F1263" s="14"/>
      <c r="G1263" s="14"/>
      <c r="H1263" s="79"/>
      <c r="I1263" s="14"/>
    </row>
    <row r="1264" spans="2:9" ht="12.75" hidden="1" customHeight="1">
      <c r="B1264" s="14"/>
      <c r="C1264" s="14"/>
      <c r="D1264" s="14"/>
      <c r="E1264" s="14"/>
      <c r="F1264" s="14"/>
      <c r="G1264" s="14"/>
      <c r="H1264" s="79"/>
      <c r="I1264" s="14"/>
    </row>
    <row r="1265" spans="2:9" ht="12.75" hidden="1" customHeight="1">
      <c r="B1265" s="14"/>
      <c r="C1265" s="14"/>
      <c r="D1265" s="14"/>
      <c r="E1265" s="14"/>
      <c r="F1265" s="14"/>
      <c r="G1265" s="14"/>
      <c r="H1265" s="79"/>
      <c r="I1265" s="14"/>
    </row>
    <row r="1266" spans="2:9" ht="12.75" hidden="1" customHeight="1">
      <c r="B1266" s="14"/>
      <c r="C1266" s="14"/>
      <c r="D1266" s="14"/>
      <c r="E1266" s="14"/>
      <c r="F1266" s="14"/>
      <c r="G1266" s="14"/>
      <c r="H1266" s="79"/>
      <c r="I1266" s="14"/>
    </row>
    <row r="1267" spans="2:9" ht="12.75" hidden="1" customHeight="1">
      <c r="B1267" s="14"/>
      <c r="C1267" s="14"/>
      <c r="D1267" s="14"/>
      <c r="E1267" s="14"/>
      <c r="F1267" s="14"/>
      <c r="G1267" s="14"/>
      <c r="H1267" s="79"/>
      <c r="I1267" s="14"/>
    </row>
    <row r="1268" spans="2:9" ht="12.75" hidden="1" customHeight="1">
      <c r="B1268" s="14"/>
      <c r="C1268" s="14"/>
      <c r="D1268" s="14"/>
      <c r="E1268" s="14"/>
      <c r="F1268" s="14"/>
      <c r="G1268" s="14"/>
      <c r="H1268" s="79"/>
      <c r="I1268" s="14"/>
    </row>
    <row r="1269" spans="2:9" ht="12.75" hidden="1" customHeight="1">
      <c r="B1269" s="14"/>
      <c r="C1269" s="14"/>
      <c r="D1269" s="14"/>
      <c r="E1269" s="14"/>
      <c r="F1269" s="14"/>
      <c r="G1269" s="14"/>
      <c r="H1269" s="79"/>
      <c r="I1269" s="14"/>
    </row>
    <row r="1270" spans="2:9" ht="12.75" hidden="1" customHeight="1">
      <c r="B1270" s="14"/>
      <c r="C1270" s="14"/>
      <c r="D1270" s="14"/>
      <c r="E1270" s="14"/>
      <c r="F1270" s="14"/>
      <c r="G1270" s="14"/>
      <c r="H1270" s="79"/>
      <c r="I1270" s="14"/>
    </row>
    <row r="1271" spans="2:9" ht="12.75" hidden="1" customHeight="1">
      <c r="B1271" s="14"/>
      <c r="C1271" s="14"/>
      <c r="D1271" s="14"/>
      <c r="E1271" s="14"/>
      <c r="F1271" s="14"/>
      <c r="G1271" s="14"/>
      <c r="H1271" s="79"/>
      <c r="I1271" s="14"/>
    </row>
    <row r="1272" spans="2:9" ht="12.75" hidden="1" customHeight="1">
      <c r="B1272" s="14"/>
      <c r="C1272" s="14"/>
      <c r="D1272" s="14"/>
      <c r="E1272" s="14"/>
      <c r="F1272" s="14"/>
      <c r="G1272" s="14"/>
      <c r="H1272" s="79"/>
      <c r="I1272" s="14"/>
    </row>
    <row r="1273" spans="2:9" ht="12.75" hidden="1" customHeight="1">
      <c r="B1273" s="14"/>
      <c r="C1273" s="14"/>
      <c r="D1273" s="14"/>
      <c r="E1273" s="14"/>
      <c r="F1273" s="14"/>
      <c r="G1273" s="14"/>
      <c r="H1273" s="79"/>
      <c r="I1273" s="14"/>
    </row>
    <row r="1274" spans="2:9" ht="12.75" hidden="1" customHeight="1">
      <c r="B1274" s="14"/>
      <c r="C1274" s="14"/>
      <c r="D1274" s="14"/>
      <c r="E1274" s="14"/>
      <c r="F1274" s="14"/>
      <c r="G1274" s="14"/>
      <c r="H1274" s="79"/>
      <c r="I1274" s="14"/>
    </row>
    <row r="1275" spans="2:9" ht="12.75" hidden="1" customHeight="1">
      <c r="B1275" s="14"/>
      <c r="C1275" s="14"/>
      <c r="D1275" s="14"/>
      <c r="E1275" s="14"/>
      <c r="F1275" s="14"/>
      <c r="G1275" s="14"/>
      <c r="H1275" s="79"/>
      <c r="I1275" s="14"/>
    </row>
    <row r="1276" spans="2:9" ht="12.75" hidden="1" customHeight="1">
      <c r="B1276" s="14"/>
      <c r="C1276" s="14"/>
      <c r="D1276" s="14"/>
      <c r="E1276" s="14"/>
      <c r="F1276" s="14"/>
      <c r="G1276" s="14"/>
      <c r="H1276" s="79"/>
      <c r="I1276" s="14"/>
    </row>
    <row r="1277" spans="2:9" ht="12.75" hidden="1" customHeight="1">
      <c r="B1277" s="14"/>
      <c r="C1277" s="14"/>
      <c r="D1277" s="14"/>
      <c r="E1277" s="14"/>
      <c r="F1277" s="14"/>
      <c r="G1277" s="14"/>
      <c r="H1277" s="79"/>
      <c r="I1277" s="14"/>
    </row>
    <row r="1278" spans="2:9" ht="12.75" hidden="1" customHeight="1">
      <c r="B1278" s="14"/>
      <c r="C1278" s="14"/>
      <c r="D1278" s="14"/>
      <c r="E1278" s="14"/>
      <c r="F1278" s="14"/>
      <c r="G1278" s="14"/>
      <c r="H1278" s="79"/>
      <c r="I1278" s="14"/>
    </row>
    <row r="1279" spans="2:9" ht="12.75" hidden="1" customHeight="1">
      <c r="B1279" s="14"/>
      <c r="C1279" s="14"/>
      <c r="D1279" s="14"/>
      <c r="E1279" s="14"/>
      <c r="F1279" s="14"/>
      <c r="G1279" s="14"/>
      <c r="H1279" s="79"/>
      <c r="I1279" s="14"/>
    </row>
    <row r="1280" spans="2:9" ht="12.75" hidden="1" customHeight="1">
      <c r="B1280" s="14"/>
      <c r="C1280" s="14"/>
      <c r="D1280" s="14"/>
      <c r="E1280" s="14"/>
      <c r="F1280" s="14"/>
      <c r="G1280" s="14"/>
      <c r="H1280" s="79"/>
      <c r="I1280" s="14"/>
    </row>
    <row r="1281" spans="2:9" ht="12.75" hidden="1" customHeight="1">
      <c r="B1281" s="14"/>
      <c r="C1281" s="14"/>
      <c r="D1281" s="14"/>
      <c r="E1281" s="14"/>
      <c r="F1281" s="14"/>
      <c r="G1281" s="14"/>
      <c r="H1281" s="79"/>
      <c r="I1281" s="14"/>
    </row>
    <row r="1282" spans="2:9" ht="12.75" hidden="1" customHeight="1">
      <c r="B1282" s="14"/>
      <c r="C1282" s="14"/>
      <c r="D1282" s="14"/>
      <c r="E1282" s="14"/>
      <c r="F1282" s="14"/>
      <c r="G1282" s="14"/>
      <c r="H1282" s="79"/>
      <c r="I1282" s="14"/>
    </row>
    <row r="1283" spans="2:9" ht="12.75" hidden="1" customHeight="1">
      <c r="B1283" s="14"/>
      <c r="C1283" s="14"/>
      <c r="D1283" s="14"/>
      <c r="E1283" s="14"/>
      <c r="F1283" s="14"/>
      <c r="G1283" s="14"/>
      <c r="H1283" s="79"/>
      <c r="I1283" s="14"/>
    </row>
    <row r="1284" spans="2:9" ht="12.75" hidden="1" customHeight="1">
      <c r="B1284" s="14"/>
      <c r="C1284" s="14"/>
      <c r="D1284" s="14"/>
      <c r="E1284" s="14"/>
      <c r="F1284" s="14"/>
      <c r="G1284" s="14"/>
      <c r="H1284" s="79"/>
      <c r="I1284" s="14"/>
    </row>
    <row r="1285" spans="2:9" ht="12.75" hidden="1" customHeight="1">
      <c r="B1285" s="14"/>
      <c r="C1285" s="14"/>
      <c r="D1285" s="14"/>
      <c r="E1285" s="14"/>
      <c r="F1285" s="14"/>
      <c r="G1285" s="14"/>
      <c r="H1285" s="79"/>
      <c r="I1285" s="14"/>
    </row>
    <row r="1286" spans="2:9" ht="12.75" hidden="1" customHeight="1">
      <c r="B1286" s="14"/>
      <c r="C1286" s="14"/>
      <c r="D1286" s="14"/>
      <c r="E1286" s="14"/>
      <c r="F1286" s="14"/>
      <c r="G1286" s="14"/>
      <c r="H1286" s="79"/>
      <c r="I1286" s="14"/>
    </row>
    <row r="1287" spans="2:9" ht="12.75" hidden="1" customHeight="1">
      <c r="B1287" s="14"/>
      <c r="C1287" s="14"/>
      <c r="D1287" s="14"/>
      <c r="E1287" s="14"/>
      <c r="F1287" s="14"/>
      <c r="G1287" s="14"/>
      <c r="H1287" s="79"/>
      <c r="I1287" s="14"/>
    </row>
    <row r="1288" spans="2:9" ht="12.75" hidden="1" customHeight="1">
      <c r="B1288" s="14"/>
      <c r="C1288" s="14"/>
      <c r="D1288" s="14"/>
      <c r="E1288" s="14"/>
      <c r="F1288" s="14"/>
      <c r="G1288" s="14"/>
      <c r="H1288" s="79"/>
      <c r="I1288" s="14"/>
    </row>
    <row r="1289" spans="2:9" ht="12.75" hidden="1" customHeight="1">
      <c r="B1289" s="14"/>
      <c r="C1289" s="14"/>
      <c r="D1289" s="14"/>
      <c r="E1289" s="14"/>
      <c r="F1289" s="14"/>
      <c r="G1289" s="14"/>
      <c r="H1289" s="79"/>
      <c r="I1289" s="14"/>
    </row>
    <row r="1290" spans="2:9" ht="12.75" hidden="1" customHeight="1">
      <c r="B1290" s="14"/>
      <c r="C1290" s="14"/>
      <c r="D1290" s="14"/>
      <c r="E1290" s="14"/>
      <c r="F1290" s="14"/>
      <c r="G1290" s="14"/>
      <c r="H1290" s="79"/>
      <c r="I1290" s="14"/>
    </row>
    <row r="1291" spans="2:9" ht="12.75" hidden="1" customHeight="1">
      <c r="B1291" s="14"/>
      <c r="C1291" s="14"/>
      <c r="D1291" s="14"/>
      <c r="E1291" s="14"/>
      <c r="F1291" s="14"/>
      <c r="G1291" s="14"/>
      <c r="H1291" s="79"/>
      <c r="I1291" s="14"/>
    </row>
    <row r="1292" spans="2:9" ht="12.75" hidden="1" customHeight="1">
      <c r="B1292" s="14"/>
      <c r="C1292" s="14"/>
      <c r="D1292" s="14"/>
      <c r="E1292" s="14"/>
      <c r="F1292" s="14"/>
      <c r="G1292" s="14"/>
      <c r="H1292" s="79"/>
      <c r="I1292" s="14"/>
    </row>
    <row r="1293" spans="2:9" ht="12.75" hidden="1" customHeight="1">
      <c r="B1293" s="14"/>
      <c r="C1293" s="14"/>
      <c r="D1293" s="14"/>
      <c r="E1293" s="14"/>
      <c r="F1293" s="14"/>
      <c r="G1293" s="14"/>
      <c r="H1293" s="79"/>
      <c r="I1293" s="14"/>
    </row>
    <row r="1294" spans="2:9" ht="12.75" hidden="1" customHeight="1">
      <c r="B1294" s="14"/>
      <c r="C1294" s="14"/>
      <c r="D1294" s="14"/>
      <c r="E1294" s="14"/>
      <c r="F1294" s="14"/>
      <c r="G1294" s="14"/>
      <c r="H1294" s="79"/>
      <c r="I1294" s="14"/>
    </row>
    <row r="1295" spans="2:9" ht="12.75" hidden="1" customHeight="1">
      <c r="B1295" s="14"/>
      <c r="C1295" s="14"/>
      <c r="D1295" s="14"/>
      <c r="E1295" s="14"/>
      <c r="F1295" s="14"/>
      <c r="G1295" s="14"/>
      <c r="H1295" s="79"/>
      <c r="I1295" s="14"/>
    </row>
    <row r="1296" spans="2:9" ht="12.75" hidden="1" customHeight="1">
      <c r="B1296" s="14"/>
      <c r="C1296" s="14"/>
      <c r="D1296" s="14"/>
      <c r="E1296" s="14"/>
      <c r="F1296" s="14"/>
      <c r="G1296" s="14"/>
      <c r="H1296" s="79"/>
      <c r="I1296" s="14"/>
    </row>
    <row r="1297" spans="2:9" ht="12.75" hidden="1" customHeight="1">
      <c r="B1297" s="14"/>
      <c r="C1297" s="14"/>
      <c r="D1297" s="14"/>
      <c r="E1297" s="14"/>
      <c r="F1297" s="14"/>
      <c r="G1297" s="14"/>
      <c r="H1297" s="79"/>
      <c r="I1297" s="14"/>
    </row>
    <row r="1298" spans="2:9" ht="12.75" hidden="1" customHeight="1">
      <c r="B1298" s="14"/>
      <c r="C1298" s="14"/>
      <c r="D1298" s="14"/>
      <c r="E1298" s="14"/>
      <c r="F1298" s="14"/>
      <c r="G1298" s="14"/>
      <c r="H1298" s="79"/>
      <c r="I1298" s="14"/>
    </row>
    <row r="1299" spans="2:9" ht="12.75" hidden="1" customHeight="1">
      <c r="B1299" s="14"/>
      <c r="C1299" s="14"/>
      <c r="D1299" s="14"/>
      <c r="E1299" s="14"/>
      <c r="F1299" s="14"/>
      <c r="G1299" s="14"/>
      <c r="H1299" s="79"/>
      <c r="I1299" s="14"/>
    </row>
    <row r="1300" spans="2:9" ht="12.75" hidden="1" customHeight="1">
      <c r="B1300" s="14"/>
      <c r="C1300" s="14"/>
      <c r="D1300" s="14"/>
      <c r="E1300" s="14"/>
      <c r="F1300" s="14"/>
      <c r="G1300" s="14"/>
      <c r="H1300" s="79"/>
      <c r="I1300" s="14"/>
    </row>
    <row r="1301" spans="2:9" ht="12.75" hidden="1" customHeight="1">
      <c r="B1301" s="14"/>
      <c r="C1301" s="14"/>
      <c r="D1301" s="14"/>
      <c r="E1301" s="14"/>
      <c r="F1301" s="14"/>
      <c r="G1301" s="14"/>
      <c r="H1301" s="79"/>
      <c r="I1301" s="14"/>
    </row>
    <row r="1302" spans="2:9" ht="12.75" hidden="1" customHeight="1">
      <c r="B1302" s="14"/>
      <c r="C1302" s="14"/>
      <c r="D1302" s="14"/>
      <c r="E1302" s="14"/>
      <c r="F1302" s="14"/>
      <c r="G1302" s="14"/>
      <c r="H1302" s="79"/>
      <c r="I1302" s="14"/>
    </row>
    <row r="1303" spans="2:9" ht="12.75" hidden="1" customHeight="1">
      <c r="B1303" s="14"/>
      <c r="C1303" s="14"/>
      <c r="D1303" s="14"/>
      <c r="E1303" s="14"/>
      <c r="F1303" s="14"/>
      <c r="G1303" s="14"/>
      <c r="H1303" s="79"/>
      <c r="I1303" s="14"/>
    </row>
    <row r="1304" spans="2:9" ht="12.75" hidden="1" customHeight="1">
      <c r="B1304" s="14"/>
      <c r="C1304" s="14"/>
      <c r="D1304" s="14"/>
      <c r="E1304" s="14"/>
      <c r="F1304" s="14"/>
      <c r="G1304" s="14"/>
      <c r="H1304" s="79"/>
      <c r="I1304" s="14"/>
    </row>
    <row r="1305" spans="2:9" ht="12.75" hidden="1" customHeight="1">
      <c r="B1305" s="14"/>
      <c r="C1305" s="14"/>
      <c r="D1305" s="14"/>
      <c r="E1305" s="14"/>
      <c r="F1305" s="14"/>
      <c r="G1305" s="14"/>
      <c r="H1305" s="79"/>
      <c r="I1305" s="14"/>
    </row>
    <row r="1306" spans="2:9" ht="12.75" hidden="1" customHeight="1">
      <c r="B1306" s="14"/>
      <c r="C1306" s="14"/>
      <c r="D1306" s="14"/>
      <c r="E1306" s="14"/>
      <c r="F1306" s="14"/>
      <c r="G1306" s="14"/>
      <c r="H1306" s="79"/>
      <c r="I1306" s="14"/>
    </row>
    <row r="1307" spans="2:9" ht="12.75" hidden="1" customHeight="1">
      <c r="B1307" s="14"/>
      <c r="C1307" s="14"/>
      <c r="D1307" s="14"/>
      <c r="E1307" s="14"/>
      <c r="F1307" s="14"/>
      <c r="G1307" s="14"/>
      <c r="H1307" s="79"/>
      <c r="I1307" s="14"/>
    </row>
    <row r="1308" spans="2:9" ht="12.75" hidden="1" customHeight="1">
      <c r="B1308" s="14"/>
      <c r="C1308" s="14"/>
      <c r="D1308" s="14"/>
      <c r="E1308" s="14"/>
      <c r="F1308" s="14"/>
      <c r="G1308" s="14"/>
      <c r="H1308" s="79"/>
      <c r="I1308" s="14"/>
    </row>
    <row r="1309" spans="2:9" ht="12.75" hidden="1" customHeight="1">
      <c r="B1309" s="14"/>
      <c r="C1309" s="14"/>
      <c r="D1309" s="14"/>
      <c r="E1309" s="14"/>
      <c r="F1309" s="14"/>
      <c r="G1309" s="14"/>
      <c r="H1309" s="79"/>
      <c r="I1309" s="14"/>
    </row>
    <row r="1310" spans="2:9" ht="12.75" hidden="1" customHeight="1">
      <c r="B1310" s="14"/>
      <c r="C1310" s="14"/>
      <c r="D1310" s="14"/>
      <c r="E1310" s="14"/>
      <c r="F1310" s="14"/>
      <c r="G1310" s="14"/>
      <c r="H1310" s="79"/>
      <c r="I1310" s="14"/>
    </row>
    <row r="1311" spans="2:9" ht="12.75" hidden="1" customHeight="1">
      <c r="B1311" s="14"/>
      <c r="C1311" s="14"/>
      <c r="D1311" s="14"/>
      <c r="E1311" s="14"/>
      <c r="F1311" s="14"/>
      <c r="G1311" s="14"/>
      <c r="H1311" s="79"/>
      <c r="I1311" s="14"/>
    </row>
    <row r="1312" spans="2:9" ht="12.75" hidden="1" customHeight="1">
      <c r="B1312" s="14"/>
      <c r="C1312" s="14"/>
      <c r="D1312" s="14"/>
      <c r="E1312" s="14"/>
      <c r="F1312" s="14"/>
      <c r="G1312" s="14"/>
      <c r="H1312" s="79"/>
      <c r="I1312" s="14"/>
    </row>
    <row r="1313" spans="2:9" ht="12.75" hidden="1" customHeight="1">
      <c r="B1313" s="14"/>
      <c r="C1313" s="14"/>
      <c r="D1313" s="14"/>
      <c r="E1313" s="14"/>
      <c r="F1313" s="14"/>
      <c r="G1313" s="14"/>
      <c r="H1313" s="79"/>
      <c r="I1313" s="14"/>
    </row>
    <row r="1314" spans="2:9" ht="12.75" hidden="1" customHeight="1">
      <c r="B1314" s="14"/>
      <c r="C1314" s="14"/>
      <c r="D1314" s="14"/>
      <c r="E1314" s="14"/>
      <c r="F1314" s="14"/>
      <c r="G1314" s="14"/>
      <c r="H1314" s="79"/>
      <c r="I1314" s="14"/>
    </row>
    <row r="1315" spans="2:9" ht="12.75" hidden="1" customHeight="1">
      <c r="B1315" s="14"/>
      <c r="C1315" s="14"/>
      <c r="D1315" s="14"/>
      <c r="E1315" s="14"/>
      <c r="F1315" s="14"/>
      <c r="G1315" s="14"/>
      <c r="H1315" s="79"/>
      <c r="I1315" s="14"/>
    </row>
    <row r="1316" spans="2:9" ht="12.75" hidden="1" customHeight="1">
      <c r="B1316" s="14"/>
      <c r="C1316" s="14"/>
      <c r="D1316" s="14"/>
      <c r="E1316" s="14"/>
      <c r="F1316" s="14"/>
      <c r="G1316" s="14"/>
      <c r="H1316" s="79"/>
      <c r="I1316" s="14"/>
    </row>
    <row r="1317" spans="2:9" ht="12.75" hidden="1" customHeight="1">
      <c r="B1317" s="14"/>
      <c r="C1317" s="14"/>
      <c r="D1317" s="14"/>
      <c r="E1317" s="14"/>
      <c r="F1317" s="14"/>
      <c r="G1317" s="14"/>
      <c r="H1317" s="79"/>
      <c r="I1317" s="14"/>
    </row>
    <row r="1318" spans="2:9" ht="12.75" hidden="1" customHeight="1">
      <c r="B1318" s="14"/>
      <c r="C1318" s="14"/>
      <c r="D1318" s="14"/>
      <c r="E1318" s="14"/>
      <c r="F1318" s="14"/>
      <c r="G1318" s="14"/>
      <c r="H1318" s="79"/>
      <c r="I1318" s="14"/>
    </row>
    <row r="1319" spans="2:9" ht="12.75" hidden="1" customHeight="1">
      <c r="B1319" s="14"/>
      <c r="C1319" s="14"/>
      <c r="D1319" s="14"/>
      <c r="E1319" s="14"/>
      <c r="F1319" s="14"/>
      <c r="G1319" s="14"/>
      <c r="H1319" s="79"/>
      <c r="I1319" s="14"/>
    </row>
    <row r="1320" spans="2:9" ht="12.75" hidden="1" customHeight="1">
      <c r="B1320" s="14"/>
      <c r="C1320" s="14"/>
      <c r="D1320" s="14"/>
      <c r="E1320" s="14"/>
      <c r="F1320" s="14"/>
      <c r="G1320" s="14"/>
      <c r="H1320" s="79"/>
      <c r="I1320" s="14"/>
    </row>
    <row r="1321" spans="2:9" ht="12.75" hidden="1" customHeight="1">
      <c r="B1321" s="14"/>
      <c r="C1321" s="14"/>
      <c r="D1321" s="14"/>
      <c r="E1321" s="14"/>
      <c r="F1321" s="14"/>
      <c r="G1321" s="14"/>
      <c r="H1321" s="79"/>
      <c r="I1321" s="14"/>
    </row>
    <row r="1322" spans="2:9" ht="12.75" hidden="1" customHeight="1">
      <c r="B1322" s="14"/>
      <c r="C1322" s="14"/>
      <c r="D1322" s="14"/>
      <c r="E1322" s="14"/>
      <c r="F1322" s="14"/>
      <c r="G1322" s="14"/>
      <c r="H1322" s="79"/>
      <c r="I1322" s="14"/>
    </row>
    <row r="1323" spans="2:9" ht="12.75" hidden="1" customHeight="1">
      <c r="B1323" s="14"/>
      <c r="C1323" s="14"/>
      <c r="D1323" s="14"/>
      <c r="E1323" s="14"/>
      <c r="F1323" s="14"/>
      <c r="G1323" s="14"/>
      <c r="H1323" s="79"/>
      <c r="I1323" s="14"/>
    </row>
    <row r="1324" spans="2:9" ht="12.75" hidden="1" customHeight="1">
      <c r="B1324" s="14"/>
      <c r="C1324" s="14"/>
      <c r="D1324" s="14"/>
      <c r="E1324" s="14"/>
      <c r="F1324" s="14"/>
      <c r="G1324" s="14"/>
      <c r="H1324" s="79"/>
      <c r="I1324" s="14"/>
    </row>
    <row r="1325" spans="2:9" ht="12.75" hidden="1" customHeight="1">
      <c r="B1325" s="14"/>
      <c r="C1325" s="14"/>
      <c r="D1325" s="14"/>
      <c r="E1325" s="14"/>
      <c r="F1325" s="14"/>
      <c r="G1325" s="14"/>
      <c r="H1325" s="79"/>
      <c r="I1325" s="14"/>
    </row>
    <row r="1326" spans="2:9" ht="12.75" hidden="1" customHeight="1">
      <c r="B1326" s="14"/>
      <c r="C1326" s="14"/>
      <c r="D1326" s="14"/>
      <c r="E1326" s="14"/>
      <c r="F1326" s="14"/>
      <c r="G1326" s="14"/>
      <c r="H1326" s="79"/>
      <c r="I1326" s="14"/>
    </row>
    <row r="1327" spans="2:9" ht="12.75" hidden="1" customHeight="1">
      <c r="B1327" s="14"/>
      <c r="C1327" s="14"/>
      <c r="D1327" s="14"/>
      <c r="E1327" s="14"/>
      <c r="F1327" s="14"/>
      <c r="G1327" s="14"/>
      <c r="H1327" s="79"/>
      <c r="I1327" s="14"/>
    </row>
    <row r="1328" spans="2:9" ht="12.75" hidden="1" customHeight="1">
      <c r="B1328" s="14"/>
      <c r="C1328" s="14"/>
      <c r="D1328" s="14"/>
      <c r="E1328" s="14"/>
      <c r="F1328" s="14"/>
      <c r="G1328" s="14"/>
      <c r="H1328" s="79"/>
      <c r="I1328" s="14"/>
    </row>
    <row r="1329" spans="2:9" ht="12.75" hidden="1" customHeight="1">
      <c r="B1329" s="14"/>
      <c r="C1329" s="14"/>
      <c r="D1329" s="14"/>
      <c r="E1329" s="14"/>
      <c r="F1329" s="14"/>
      <c r="G1329" s="14"/>
      <c r="H1329" s="79"/>
      <c r="I1329" s="14"/>
    </row>
    <row r="1330" spans="2:9" ht="12.75" hidden="1" customHeight="1">
      <c r="B1330" s="14"/>
      <c r="C1330" s="14"/>
      <c r="D1330" s="14"/>
      <c r="E1330" s="14"/>
      <c r="F1330" s="14"/>
      <c r="G1330" s="14"/>
      <c r="H1330" s="79"/>
      <c r="I1330" s="14"/>
    </row>
    <row r="1331" spans="2:9" ht="12.75" hidden="1" customHeight="1">
      <c r="B1331" s="14"/>
      <c r="C1331" s="14"/>
      <c r="D1331" s="14"/>
      <c r="E1331" s="14"/>
      <c r="F1331" s="14"/>
      <c r="G1331" s="14"/>
      <c r="H1331" s="79"/>
      <c r="I1331" s="14"/>
    </row>
    <row r="1332" spans="2:9" ht="12.75" hidden="1" customHeight="1">
      <c r="B1332" s="14"/>
      <c r="C1332" s="14"/>
      <c r="D1332" s="14"/>
      <c r="E1332" s="14"/>
      <c r="F1332" s="14"/>
      <c r="G1332" s="14"/>
      <c r="H1332" s="79"/>
      <c r="I1332" s="14"/>
    </row>
    <row r="1333" spans="2:9" ht="12.75" hidden="1" customHeight="1">
      <c r="B1333" s="14"/>
      <c r="C1333" s="14"/>
      <c r="D1333" s="14"/>
      <c r="E1333" s="14"/>
      <c r="F1333" s="14"/>
      <c r="G1333" s="14"/>
      <c r="H1333" s="79"/>
      <c r="I1333" s="14"/>
    </row>
    <row r="1334" spans="2:9" ht="12.75" hidden="1" customHeight="1">
      <c r="B1334" s="14"/>
      <c r="C1334" s="14"/>
      <c r="D1334" s="14"/>
      <c r="E1334" s="14"/>
      <c r="F1334" s="14"/>
      <c r="G1334" s="14"/>
      <c r="H1334" s="79"/>
      <c r="I1334" s="14"/>
    </row>
    <row r="1335" spans="2:9" ht="12.75" hidden="1" customHeight="1">
      <c r="B1335" s="14"/>
      <c r="C1335" s="14"/>
      <c r="D1335" s="14"/>
      <c r="E1335" s="14"/>
      <c r="F1335" s="14"/>
      <c r="G1335" s="14"/>
      <c r="H1335" s="79"/>
      <c r="I1335" s="14"/>
    </row>
    <row r="1336" spans="2:9" ht="12.75" hidden="1" customHeight="1">
      <c r="B1336" s="14"/>
      <c r="C1336" s="14"/>
      <c r="D1336" s="14"/>
      <c r="E1336" s="14"/>
      <c r="F1336" s="14"/>
      <c r="G1336" s="14"/>
      <c r="H1336" s="79"/>
      <c r="I1336" s="14"/>
    </row>
    <row r="1337" spans="2:9" ht="12.75" hidden="1" customHeight="1">
      <c r="B1337" s="14"/>
      <c r="C1337" s="14"/>
      <c r="D1337" s="14"/>
      <c r="E1337" s="14"/>
      <c r="F1337" s="14"/>
      <c r="G1337" s="14"/>
      <c r="H1337" s="79"/>
      <c r="I1337" s="14"/>
    </row>
    <row r="1338" spans="2:9" ht="12.75" hidden="1" customHeight="1">
      <c r="B1338" s="14"/>
      <c r="C1338" s="14"/>
      <c r="D1338" s="14"/>
      <c r="E1338" s="14"/>
      <c r="F1338" s="14"/>
      <c r="G1338" s="14"/>
      <c r="H1338" s="79"/>
      <c r="I1338" s="14"/>
    </row>
    <row r="1339" spans="2:9" ht="12.75" hidden="1" customHeight="1">
      <c r="B1339" s="14"/>
      <c r="C1339" s="14"/>
      <c r="D1339" s="14"/>
      <c r="E1339" s="14"/>
      <c r="F1339" s="14"/>
      <c r="G1339" s="14"/>
      <c r="H1339" s="79"/>
      <c r="I1339" s="14"/>
    </row>
    <row r="1340" spans="2:9" ht="12.75" hidden="1" customHeight="1">
      <c r="B1340" s="14"/>
      <c r="C1340" s="14"/>
      <c r="D1340" s="14"/>
      <c r="E1340" s="14"/>
      <c r="F1340" s="14"/>
      <c r="G1340" s="14"/>
      <c r="H1340" s="79"/>
      <c r="I1340" s="14"/>
    </row>
    <row r="1341" spans="2:9" ht="12.75" hidden="1" customHeight="1">
      <c r="B1341" s="14"/>
      <c r="C1341" s="14"/>
      <c r="D1341" s="14"/>
      <c r="E1341" s="14"/>
      <c r="F1341" s="14"/>
      <c r="G1341" s="14"/>
      <c r="H1341" s="79"/>
      <c r="I1341" s="14"/>
    </row>
    <row r="1342" spans="2:9" ht="12.75" hidden="1" customHeight="1">
      <c r="B1342" s="14"/>
      <c r="C1342" s="14"/>
      <c r="D1342" s="14"/>
      <c r="E1342" s="14"/>
      <c r="F1342" s="14"/>
      <c r="G1342" s="14"/>
      <c r="H1342" s="79"/>
      <c r="I1342" s="14"/>
    </row>
    <row r="1343" spans="2:9" ht="12.75" hidden="1" customHeight="1">
      <c r="B1343" s="14"/>
      <c r="C1343" s="14"/>
      <c r="D1343" s="14"/>
      <c r="E1343" s="14"/>
      <c r="F1343" s="14"/>
      <c r="G1343" s="14"/>
      <c r="H1343" s="79"/>
      <c r="I1343" s="14"/>
    </row>
    <row r="1344" spans="2:9" ht="12.75" hidden="1" customHeight="1">
      <c r="B1344" s="14"/>
      <c r="C1344" s="14"/>
      <c r="D1344" s="14"/>
      <c r="E1344" s="14"/>
      <c r="F1344" s="14"/>
      <c r="G1344" s="14"/>
      <c r="H1344" s="79"/>
      <c r="I1344" s="14"/>
    </row>
    <row r="1345" spans="2:9" ht="12.75" hidden="1" customHeight="1">
      <c r="B1345" s="14"/>
      <c r="C1345" s="14"/>
      <c r="D1345" s="14"/>
      <c r="E1345" s="14"/>
      <c r="F1345" s="14"/>
      <c r="G1345" s="14"/>
      <c r="H1345" s="79"/>
      <c r="I1345" s="14"/>
    </row>
    <row r="1346" spans="2:9" ht="12.75" hidden="1" customHeight="1">
      <c r="B1346" s="14"/>
      <c r="C1346" s="14"/>
      <c r="D1346" s="14"/>
      <c r="E1346" s="14"/>
      <c r="F1346" s="14"/>
      <c r="G1346" s="14"/>
      <c r="H1346" s="79"/>
      <c r="I1346" s="14"/>
    </row>
    <row r="1347" spans="2:9" ht="12.75" hidden="1" customHeight="1">
      <c r="B1347" s="14"/>
      <c r="C1347" s="14"/>
      <c r="D1347" s="14"/>
      <c r="E1347" s="14"/>
      <c r="F1347" s="14"/>
      <c r="G1347" s="14"/>
      <c r="H1347" s="79"/>
      <c r="I1347" s="14"/>
    </row>
    <row r="1348" spans="2:9" ht="12.75" hidden="1" customHeight="1">
      <c r="B1348" s="14"/>
      <c r="C1348" s="14"/>
      <c r="D1348" s="14"/>
      <c r="E1348" s="14"/>
      <c r="F1348" s="14"/>
      <c r="G1348" s="14"/>
      <c r="H1348" s="79"/>
      <c r="I1348" s="14"/>
    </row>
    <row r="1349" spans="2:9" ht="12.75" hidden="1" customHeight="1">
      <c r="B1349" s="14"/>
      <c r="C1349" s="14"/>
      <c r="D1349" s="14"/>
      <c r="E1349" s="14"/>
      <c r="F1349" s="14"/>
      <c r="G1349" s="14"/>
      <c r="H1349" s="79"/>
      <c r="I1349" s="14"/>
    </row>
    <row r="1350" spans="2:9" ht="12.75" hidden="1" customHeight="1">
      <c r="B1350" s="14"/>
      <c r="C1350" s="14"/>
      <c r="D1350" s="14"/>
      <c r="E1350" s="14"/>
      <c r="F1350" s="14"/>
      <c r="G1350" s="14"/>
      <c r="H1350" s="79"/>
      <c r="I1350" s="14"/>
    </row>
    <row r="1351" spans="2:9" ht="12.75" hidden="1" customHeight="1">
      <c r="B1351" s="14"/>
      <c r="C1351" s="14"/>
      <c r="D1351" s="14"/>
      <c r="E1351" s="14"/>
      <c r="F1351" s="14"/>
      <c r="G1351" s="14"/>
      <c r="H1351" s="79"/>
      <c r="I1351" s="14"/>
    </row>
    <row r="1352" spans="2:9" ht="12.75" hidden="1" customHeight="1">
      <c r="B1352" s="14"/>
      <c r="C1352" s="14"/>
      <c r="D1352" s="14"/>
      <c r="E1352" s="14"/>
      <c r="F1352" s="14"/>
      <c r="G1352" s="14"/>
      <c r="H1352" s="79"/>
      <c r="I1352" s="14"/>
    </row>
    <row r="1353" spans="2:9" ht="12.75" hidden="1" customHeight="1">
      <c r="B1353" s="14"/>
      <c r="C1353" s="14"/>
      <c r="D1353" s="14"/>
      <c r="E1353" s="14"/>
      <c r="F1353" s="14"/>
      <c r="G1353" s="14"/>
      <c r="H1353" s="79"/>
      <c r="I1353" s="14"/>
    </row>
    <row r="1354" spans="2:9" ht="12.75" hidden="1" customHeight="1">
      <c r="B1354" s="14"/>
      <c r="C1354" s="14"/>
      <c r="D1354" s="14"/>
      <c r="E1354" s="14"/>
      <c r="F1354" s="14"/>
      <c r="G1354" s="14"/>
      <c r="H1354" s="79"/>
      <c r="I1354" s="14"/>
    </row>
    <row r="1355" spans="2:9" ht="12.75" hidden="1" customHeight="1">
      <c r="B1355" s="14"/>
      <c r="C1355" s="14"/>
      <c r="D1355" s="14"/>
      <c r="E1355" s="14"/>
      <c r="F1355" s="14"/>
      <c r="G1355" s="14"/>
      <c r="H1355" s="79"/>
      <c r="I1355" s="14"/>
    </row>
    <row r="1356" spans="2:9" ht="12.75" hidden="1" customHeight="1">
      <c r="B1356" s="14"/>
      <c r="C1356" s="14"/>
      <c r="D1356" s="14"/>
      <c r="E1356" s="14"/>
      <c r="F1356" s="14"/>
      <c r="G1356" s="14"/>
      <c r="H1356" s="79"/>
      <c r="I1356" s="14"/>
    </row>
    <row r="1357" spans="2:9" ht="12.75" hidden="1" customHeight="1">
      <c r="B1357" s="14"/>
      <c r="C1357" s="14"/>
      <c r="D1357" s="14"/>
      <c r="E1357" s="14"/>
      <c r="F1357" s="14"/>
      <c r="G1357" s="14"/>
      <c r="H1357" s="79"/>
      <c r="I1357" s="14"/>
    </row>
    <row r="1358" spans="2:9" ht="12.75" hidden="1" customHeight="1">
      <c r="B1358" s="14"/>
      <c r="C1358" s="14"/>
      <c r="D1358" s="14"/>
      <c r="E1358" s="14"/>
      <c r="F1358" s="14"/>
      <c r="G1358" s="14"/>
      <c r="H1358" s="79"/>
      <c r="I1358" s="14"/>
    </row>
    <row r="1359" spans="2:9" ht="12.75" hidden="1" customHeight="1">
      <c r="B1359" s="14"/>
      <c r="C1359" s="14"/>
      <c r="D1359" s="14"/>
      <c r="E1359" s="14"/>
      <c r="F1359" s="14"/>
      <c r="G1359" s="14"/>
      <c r="H1359" s="79"/>
      <c r="I1359" s="14"/>
    </row>
    <row r="1360" spans="2:9" ht="12.75" hidden="1" customHeight="1">
      <c r="B1360" s="14"/>
      <c r="C1360" s="14"/>
      <c r="D1360" s="14"/>
      <c r="E1360" s="14"/>
      <c r="F1360" s="14"/>
      <c r="G1360" s="14"/>
      <c r="H1360" s="79"/>
      <c r="I1360" s="14"/>
    </row>
    <row r="1361" spans="2:9" ht="12.75" hidden="1" customHeight="1">
      <c r="B1361" s="14"/>
      <c r="C1361" s="14"/>
      <c r="D1361" s="14"/>
      <c r="E1361" s="14"/>
      <c r="F1361" s="14"/>
      <c r="G1361" s="14"/>
      <c r="H1361" s="79"/>
      <c r="I1361" s="14"/>
    </row>
    <row r="1362" spans="2:9" ht="12.75" hidden="1" customHeight="1">
      <c r="B1362" s="14"/>
      <c r="C1362" s="14"/>
      <c r="D1362" s="14"/>
      <c r="E1362" s="14"/>
      <c r="F1362" s="14"/>
      <c r="G1362" s="14"/>
      <c r="H1362" s="79"/>
      <c r="I1362" s="14"/>
    </row>
    <row r="1363" spans="2:9" ht="12.75" hidden="1" customHeight="1">
      <c r="B1363" s="14"/>
      <c r="C1363" s="14"/>
      <c r="D1363" s="14"/>
      <c r="E1363" s="14"/>
      <c r="F1363" s="14"/>
      <c r="G1363" s="14"/>
      <c r="H1363" s="79"/>
      <c r="I1363" s="14"/>
    </row>
    <row r="1364" spans="2:9" ht="12.75" hidden="1" customHeight="1">
      <c r="B1364" s="14"/>
      <c r="C1364" s="14"/>
      <c r="D1364" s="14"/>
      <c r="E1364" s="14"/>
      <c r="F1364" s="14"/>
      <c r="G1364" s="14"/>
      <c r="H1364" s="79"/>
      <c r="I1364" s="14"/>
    </row>
    <row r="1365" spans="2:9" ht="12.75" hidden="1" customHeight="1">
      <c r="B1365" s="14"/>
      <c r="C1365" s="14"/>
      <c r="D1365" s="14"/>
      <c r="E1365" s="14"/>
      <c r="F1365" s="14"/>
      <c r="G1365" s="14"/>
      <c r="H1365" s="79"/>
      <c r="I1365" s="14"/>
    </row>
    <row r="1366" spans="2:9" ht="12.75" hidden="1" customHeight="1">
      <c r="B1366" s="14"/>
      <c r="C1366" s="14"/>
      <c r="D1366" s="14"/>
      <c r="E1366" s="14"/>
      <c r="F1366" s="14"/>
      <c r="G1366" s="14"/>
      <c r="H1366" s="79"/>
      <c r="I1366" s="14"/>
    </row>
    <row r="1367" spans="2:9" ht="12.75" hidden="1" customHeight="1">
      <c r="B1367" s="14"/>
      <c r="C1367" s="14"/>
      <c r="D1367" s="14"/>
      <c r="E1367" s="14"/>
      <c r="F1367" s="14"/>
      <c r="G1367" s="14"/>
      <c r="H1367" s="79"/>
      <c r="I1367" s="14"/>
    </row>
    <row r="1368" spans="2:9" ht="12.75" hidden="1" customHeight="1">
      <c r="B1368" s="14"/>
      <c r="C1368" s="14"/>
      <c r="D1368" s="14"/>
      <c r="E1368" s="14"/>
      <c r="F1368" s="14"/>
      <c r="G1368" s="14"/>
      <c r="H1368" s="79"/>
      <c r="I1368" s="14"/>
    </row>
    <row r="1369" spans="2:9" ht="12.75" hidden="1" customHeight="1">
      <c r="B1369" s="14"/>
      <c r="C1369" s="14"/>
      <c r="D1369" s="14"/>
      <c r="E1369" s="14"/>
      <c r="F1369" s="14"/>
      <c r="G1369" s="14"/>
      <c r="H1369" s="79"/>
      <c r="I1369" s="14"/>
    </row>
    <row r="1370" spans="2:9" ht="12.75" hidden="1" customHeight="1">
      <c r="B1370" s="14"/>
      <c r="C1370" s="14"/>
      <c r="D1370" s="14"/>
      <c r="E1370" s="14"/>
      <c r="F1370" s="14"/>
      <c r="G1370" s="14"/>
      <c r="H1370" s="79"/>
      <c r="I1370" s="14"/>
    </row>
    <row r="1371" spans="2:9" ht="12.75" hidden="1" customHeight="1">
      <c r="B1371" s="14"/>
      <c r="C1371" s="14"/>
      <c r="D1371" s="14"/>
      <c r="E1371" s="14"/>
      <c r="F1371" s="14"/>
      <c r="G1371" s="14"/>
      <c r="H1371" s="79"/>
      <c r="I1371" s="14"/>
    </row>
    <row r="1372" spans="2:9" ht="12.75" hidden="1" customHeight="1">
      <c r="B1372" s="14"/>
      <c r="C1372" s="14"/>
      <c r="D1372" s="14"/>
      <c r="E1372" s="14"/>
      <c r="F1372" s="14"/>
      <c r="G1372" s="14"/>
      <c r="H1372" s="79"/>
      <c r="I1372" s="14"/>
    </row>
    <row r="1373" spans="2:9" ht="12.75" hidden="1" customHeight="1">
      <c r="B1373" s="14"/>
      <c r="C1373" s="14"/>
      <c r="D1373" s="14"/>
      <c r="E1373" s="14"/>
      <c r="F1373" s="14"/>
      <c r="G1373" s="14"/>
      <c r="H1373" s="79"/>
      <c r="I1373" s="14"/>
    </row>
    <row r="1374" spans="2:9" ht="12.75" hidden="1" customHeight="1">
      <c r="B1374" s="14"/>
      <c r="C1374" s="14"/>
      <c r="D1374" s="14"/>
      <c r="E1374" s="14"/>
      <c r="F1374" s="14"/>
      <c r="G1374" s="14"/>
      <c r="H1374" s="79"/>
      <c r="I1374" s="14"/>
    </row>
    <row r="1375" spans="2:9" ht="12.75" hidden="1" customHeight="1">
      <c r="B1375" s="14"/>
      <c r="C1375" s="14"/>
      <c r="D1375" s="14"/>
      <c r="E1375" s="14"/>
      <c r="F1375" s="14"/>
      <c r="G1375" s="14"/>
      <c r="H1375" s="79"/>
      <c r="I1375" s="14"/>
    </row>
    <row r="1376" spans="2:9" ht="12.75" hidden="1" customHeight="1">
      <c r="B1376" s="14"/>
      <c r="C1376" s="14"/>
      <c r="D1376" s="14"/>
      <c r="E1376" s="14"/>
      <c r="F1376" s="14"/>
      <c r="G1376" s="14"/>
      <c r="H1376" s="79"/>
      <c r="I1376" s="14"/>
    </row>
    <row r="1377" spans="2:9" ht="12.75" hidden="1" customHeight="1">
      <c r="B1377" s="14"/>
      <c r="C1377" s="14"/>
      <c r="D1377" s="14"/>
      <c r="E1377" s="14"/>
      <c r="F1377" s="14"/>
      <c r="G1377" s="14"/>
      <c r="H1377" s="79"/>
      <c r="I1377" s="14"/>
    </row>
    <row r="1378" spans="2:9" ht="12.75" hidden="1" customHeight="1">
      <c r="B1378" s="14"/>
      <c r="C1378" s="14"/>
      <c r="D1378" s="14"/>
      <c r="E1378" s="14"/>
      <c r="F1378" s="14"/>
      <c r="G1378" s="14"/>
      <c r="H1378" s="79"/>
      <c r="I1378" s="14"/>
    </row>
    <row r="1379" spans="2:9" ht="12.75" hidden="1" customHeight="1">
      <c r="B1379" s="14"/>
      <c r="C1379" s="14"/>
      <c r="D1379" s="14"/>
      <c r="E1379" s="14"/>
      <c r="F1379" s="14"/>
      <c r="G1379" s="14"/>
      <c r="H1379" s="79"/>
      <c r="I1379" s="14"/>
    </row>
    <row r="1380" spans="2:9" ht="12.75" hidden="1" customHeight="1">
      <c r="B1380" s="14"/>
      <c r="C1380" s="14"/>
      <c r="D1380" s="14"/>
      <c r="E1380" s="14"/>
      <c r="F1380" s="14"/>
      <c r="G1380" s="14"/>
      <c r="H1380" s="79"/>
      <c r="I1380" s="14"/>
    </row>
    <row r="1381" spans="2:9" ht="12.75" hidden="1" customHeight="1">
      <c r="B1381" s="14"/>
      <c r="C1381" s="14"/>
      <c r="D1381" s="14"/>
      <c r="E1381" s="14"/>
      <c r="F1381" s="14"/>
      <c r="G1381" s="14"/>
      <c r="H1381" s="79"/>
      <c r="I1381" s="14"/>
    </row>
    <row r="1382" spans="2:9" ht="12.75" hidden="1" customHeight="1">
      <c r="B1382" s="14"/>
      <c r="C1382" s="14"/>
      <c r="D1382" s="14"/>
      <c r="E1382" s="14"/>
      <c r="F1382" s="14"/>
      <c r="G1382" s="14"/>
      <c r="H1382" s="79"/>
      <c r="I1382" s="14"/>
    </row>
    <row r="1383" spans="2:9" ht="12.75" hidden="1" customHeight="1">
      <c r="B1383" s="14"/>
      <c r="C1383" s="14"/>
      <c r="D1383" s="14"/>
      <c r="E1383" s="14"/>
      <c r="F1383" s="14"/>
      <c r="G1383" s="14"/>
      <c r="H1383" s="79"/>
      <c r="I1383" s="14"/>
    </row>
    <row r="1384" spans="2:9" ht="12.75" hidden="1" customHeight="1">
      <c r="B1384" s="14"/>
      <c r="C1384" s="14"/>
      <c r="D1384" s="14"/>
      <c r="E1384" s="14"/>
      <c r="F1384" s="14"/>
      <c r="G1384" s="14"/>
      <c r="H1384" s="79"/>
      <c r="I1384" s="14"/>
    </row>
    <row r="1385" spans="2:9" ht="12.75" hidden="1" customHeight="1">
      <c r="B1385" s="14"/>
      <c r="C1385" s="14"/>
      <c r="D1385" s="14"/>
      <c r="E1385" s="14"/>
      <c r="F1385" s="14"/>
      <c r="G1385" s="14"/>
      <c r="H1385" s="79"/>
      <c r="I1385" s="14"/>
    </row>
    <row r="1386" spans="2:9" ht="12.75" hidden="1" customHeight="1">
      <c r="B1386" s="14"/>
      <c r="C1386" s="14"/>
      <c r="D1386" s="14"/>
      <c r="E1386" s="14"/>
      <c r="F1386" s="14"/>
      <c r="G1386" s="14"/>
      <c r="H1386" s="79"/>
      <c r="I1386" s="14"/>
    </row>
    <row r="1387" spans="2:9" ht="12.75" hidden="1" customHeight="1">
      <c r="B1387" s="14"/>
      <c r="C1387" s="14"/>
      <c r="D1387" s="14"/>
      <c r="E1387" s="14"/>
      <c r="F1387" s="14"/>
      <c r="G1387" s="14"/>
      <c r="H1387" s="79"/>
      <c r="I1387" s="14"/>
    </row>
    <row r="1388" spans="2:9" ht="12.75" hidden="1" customHeight="1">
      <c r="B1388" s="14"/>
      <c r="C1388" s="14"/>
      <c r="D1388" s="14"/>
      <c r="E1388" s="14"/>
      <c r="F1388" s="14"/>
      <c r="G1388" s="14"/>
      <c r="H1388" s="79"/>
      <c r="I1388" s="14"/>
    </row>
    <row r="1389" spans="2:9" ht="12.75" hidden="1" customHeight="1">
      <c r="B1389" s="14"/>
      <c r="C1389" s="14"/>
      <c r="D1389" s="14"/>
      <c r="E1389" s="14"/>
      <c r="F1389" s="14"/>
      <c r="G1389" s="14"/>
      <c r="H1389" s="79"/>
      <c r="I1389" s="14"/>
    </row>
    <row r="1390" spans="2:9" ht="12.75" hidden="1" customHeight="1">
      <c r="B1390" s="14"/>
      <c r="C1390" s="14"/>
      <c r="D1390" s="14"/>
      <c r="E1390" s="14"/>
      <c r="F1390" s="14"/>
      <c r="G1390" s="14"/>
      <c r="H1390" s="79"/>
      <c r="I1390" s="14"/>
    </row>
    <row r="1391" spans="2:9" ht="12.75" hidden="1" customHeight="1">
      <c r="B1391" s="14"/>
      <c r="C1391" s="14"/>
      <c r="D1391" s="14"/>
      <c r="E1391" s="14"/>
      <c r="F1391" s="14"/>
      <c r="G1391" s="14"/>
      <c r="H1391" s="79"/>
      <c r="I1391" s="14"/>
    </row>
    <row r="1392" spans="2:9" ht="12.75" hidden="1" customHeight="1">
      <c r="B1392" s="14"/>
      <c r="C1392" s="14"/>
      <c r="D1392" s="14"/>
      <c r="E1392" s="14"/>
      <c r="F1392" s="14"/>
      <c r="G1392" s="14"/>
      <c r="H1392" s="79"/>
      <c r="I1392" s="14"/>
    </row>
    <row r="1393" spans="2:9" ht="12.75" hidden="1" customHeight="1">
      <c r="B1393" s="14"/>
      <c r="C1393" s="14"/>
      <c r="D1393" s="14"/>
      <c r="E1393" s="14"/>
      <c r="F1393" s="14"/>
      <c r="G1393" s="14"/>
      <c r="H1393" s="79"/>
      <c r="I1393" s="14"/>
    </row>
    <row r="1394" spans="2:9" ht="12.75" hidden="1" customHeight="1">
      <c r="B1394" s="14"/>
      <c r="C1394" s="14"/>
      <c r="D1394" s="14"/>
      <c r="E1394" s="14"/>
      <c r="F1394" s="14"/>
      <c r="G1394" s="14"/>
      <c r="H1394" s="79"/>
      <c r="I1394" s="14"/>
    </row>
    <row r="1395" spans="2:9" ht="12.75" hidden="1" customHeight="1">
      <c r="B1395" s="14"/>
      <c r="C1395" s="14"/>
      <c r="D1395" s="14"/>
      <c r="E1395" s="14"/>
      <c r="F1395" s="14"/>
      <c r="G1395" s="14"/>
      <c r="H1395" s="79"/>
      <c r="I1395" s="14"/>
    </row>
    <row r="1396" spans="2:9" ht="12.75" hidden="1" customHeight="1">
      <c r="B1396" s="14"/>
      <c r="C1396" s="14"/>
      <c r="D1396" s="14"/>
      <c r="E1396" s="14"/>
      <c r="F1396" s="14"/>
      <c r="G1396" s="14"/>
      <c r="H1396" s="79"/>
      <c r="I1396" s="14"/>
    </row>
    <row r="1397" spans="2:9" ht="12.75" hidden="1" customHeight="1">
      <c r="B1397" s="14"/>
      <c r="C1397" s="14"/>
      <c r="D1397" s="14"/>
      <c r="E1397" s="14"/>
      <c r="F1397" s="14"/>
      <c r="G1397" s="14"/>
      <c r="H1397" s="79"/>
      <c r="I1397" s="14"/>
    </row>
    <row r="1398" spans="2:9" ht="12.75" hidden="1" customHeight="1">
      <c r="B1398" s="14"/>
      <c r="C1398" s="14"/>
      <c r="D1398" s="14"/>
      <c r="E1398" s="14"/>
      <c r="F1398" s="14"/>
      <c r="G1398" s="14"/>
      <c r="H1398" s="79"/>
      <c r="I1398" s="14"/>
    </row>
    <row r="1399" spans="2:9" ht="12.75" hidden="1" customHeight="1">
      <c r="B1399" s="14"/>
      <c r="C1399" s="14"/>
      <c r="D1399" s="14"/>
      <c r="E1399" s="14"/>
      <c r="F1399" s="14"/>
      <c r="G1399" s="14"/>
      <c r="H1399" s="79"/>
      <c r="I1399" s="14"/>
    </row>
    <row r="1400" spans="2:9" ht="12.75" hidden="1" customHeight="1">
      <c r="B1400" s="14"/>
      <c r="C1400" s="14"/>
      <c r="D1400" s="14"/>
      <c r="E1400" s="14"/>
      <c r="F1400" s="14"/>
      <c r="G1400" s="14"/>
      <c r="H1400" s="79"/>
      <c r="I1400" s="14"/>
    </row>
    <row r="1401" spans="2:9" ht="12.75" hidden="1" customHeight="1">
      <c r="B1401" s="14"/>
      <c r="C1401" s="14"/>
      <c r="D1401" s="14"/>
      <c r="E1401" s="14"/>
      <c r="F1401" s="14"/>
      <c r="G1401" s="14"/>
      <c r="H1401" s="79"/>
      <c r="I1401" s="14"/>
    </row>
    <row r="1402" spans="2:9" ht="12.75" hidden="1" customHeight="1">
      <c r="B1402" s="14"/>
      <c r="C1402" s="14"/>
      <c r="D1402" s="14"/>
      <c r="E1402" s="14"/>
      <c r="F1402" s="14"/>
      <c r="G1402" s="14"/>
      <c r="H1402" s="79"/>
      <c r="I1402" s="14"/>
    </row>
    <row r="1403" spans="2:9" ht="12.75" hidden="1" customHeight="1">
      <c r="B1403" s="14"/>
      <c r="C1403" s="14"/>
      <c r="D1403" s="14"/>
      <c r="E1403" s="14"/>
      <c r="F1403" s="14"/>
      <c r="G1403" s="14"/>
      <c r="H1403" s="79"/>
      <c r="I1403" s="14"/>
    </row>
    <row r="1404" spans="2:9" ht="12.75" hidden="1" customHeight="1">
      <c r="B1404" s="14"/>
      <c r="C1404" s="14"/>
      <c r="D1404" s="14"/>
      <c r="E1404" s="14"/>
      <c r="F1404" s="14"/>
      <c r="G1404" s="14"/>
      <c r="H1404" s="79"/>
      <c r="I1404" s="14"/>
    </row>
    <row r="1405" spans="2:9" ht="12.75" hidden="1" customHeight="1">
      <c r="B1405" s="14"/>
      <c r="C1405" s="14"/>
      <c r="D1405" s="14"/>
      <c r="E1405" s="14"/>
      <c r="F1405" s="14"/>
      <c r="G1405" s="14"/>
      <c r="H1405" s="79"/>
      <c r="I1405" s="14"/>
    </row>
    <row r="1406" spans="2:9" ht="12.75" hidden="1" customHeight="1">
      <c r="B1406" s="14"/>
      <c r="C1406" s="14"/>
      <c r="D1406" s="14"/>
      <c r="E1406" s="14"/>
      <c r="F1406" s="14"/>
      <c r="G1406" s="14"/>
      <c r="H1406" s="79"/>
      <c r="I1406" s="14"/>
    </row>
    <row r="1407" spans="2:9" ht="12.75" hidden="1" customHeight="1">
      <c r="B1407" s="14"/>
      <c r="C1407" s="14"/>
      <c r="D1407" s="14"/>
      <c r="E1407" s="14"/>
      <c r="F1407" s="14"/>
      <c r="G1407" s="14"/>
      <c r="H1407" s="79"/>
      <c r="I1407" s="14"/>
    </row>
    <row r="1408" spans="2:9" ht="12.75" hidden="1" customHeight="1">
      <c r="B1408" s="14"/>
      <c r="C1408" s="14"/>
      <c r="D1408" s="14"/>
      <c r="E1408" s="14"/>
      <c r="F1408" s="14"/>
      <c r="G1408" s="14"/>
      <c r="H1408" s="79"/>
      <c r="I1408" s="14"/>
    </row>
    <row r="1409" spans="2:9" ht="12.75" hidden="1" customHeight="1">
      <c r="B1409" s="14"/>
      <c r="C1409" s="14"/>
      <c r="D1409" s="14"/>
      <c r="E1409" s="14"/>
      <c r="F1409" s="14"/>
      <c r="G1409" s="14"/>
      <c r="H1409" s="79"/>
      <c r="I1409" s="14"/>
    </row>
    <row r="1410" spans="2:9" ht="12.75" hidden="1" customHeight="1">
      <c r="B1410" s="14"/>
      <c r="C1410" s="14"/>
      <c r="D1410" s="14"/>
      <c r="E1410" s="14"/>
      <c r="F1410" s="14"/>
      <c r="G1410" s="14"/>
      <c r="H1410" s="79"/>
      <c r="I1410" s="14"/>
    </row>
    <row r="1411" spans="2:9" ht="12.75" hidden="1" customHeight="1">
      <c r="B1411" s="14"/>
      <c r="C1411" s="14"/>
      <c r="D1411" s="14"/>
      <c r="E1411" s="14"/>
      <c r="F1411" s="14"/>
      <c r="G1411" s="14"/>
      <c r="H1411" s="79"/>
      <c r="I1411" s="14"/>
    </row>
    <row r="1412" spans="2:9" ht="12.75" hidden="1" customHeight="1">
      <c r="B1412" s="14"/>
      <c r="C1412" s="14"/>
      <c r="D1412" s="14"/>
      <c r="E1412" s="14"/>
      <c r="F1412" s="14"/>
      <c r="G1412" s="14"/>
      <c r="H1412" s="79"/>
      <c r="I1412" s="14"/>
    </row>
    <row r="1413" spans="2:9" ht="12.75" hidden="1" customHeight="1">
      <c r="B1413" s="14"/>
      <c r="C1413" s="14"/>
      <c r="D1413" s="14"/>
      <c r="E1413" s="14"/>
      <c r="F1413" s="14"/>
      <c r="G1413" s="14"/>
      <c r="H1413" s="79"/>
      <c r="I1413" s="14"/>
    </row>
    <row r="1414" spans="2:9" ht="12.75" hidden="1" customHeight="1">
      <c r="B1414" s="14"/>
      <c r="C1414" s="14"/>
      <c r="D1414" s="14"/>
      <c r="E1414" s="14"/>
      <c r="F1414" s="14"/>
      <c r="G1414" s="14"/>
      <c r="H1414" s="79"/>
      <c r="I1414" s="14"/>
    </row>
    <row r="1415" spans="2:9" ht="12.75" hidden="1" customHeight="1">
      <c r="B1415" s="14"/>
      <c r="C1415" s="14"/>
      <c r="D1415" s="14"/>
      <c r="E1415" s="14"/>
      <c r="F1415" s="14"/>
      <c r="G1415" s="14"/>
      <c r="H1415" s="79"/>
      <c r="I1415" s="14"/>
    </row>
    <row r="1416" spans="2:9" ht="12.75" hidden="1" customHeight="1">
      <c r="B1416" s="14"/>
      <c r="C1416" s="14"/>
      <c r="D1416" s="14"/>
      <c r="E1416" s="14"/>
      <c r="F1416" s="14"/>
      <c r="G1416" s="14"/>
      <c r="H1416" s="79"/>
      <c r="I1416" s="14"/>
    </row>
    <row r="1417" spans="2:9" ht="12.75" hidden="1" customHeight="1">
      <c r="B1417" s="14"/>
      <c r="C1417" s="14"/>
      <c r="D1417" s="14"/>
      <c r="E1417" s="14"/>
      <c r="F1417" s="14"/>
      <c r="G1417" s="14"/>
      <c r="H1417" s="79"/>
      <c r="I1417" s="14"/>
    </row>
    <row r="1418" spans="2:9" ht="12.75" hidden="1" customHeight="1">
      <c r="B1418" s="14"/>
      <c r="C1418" s="14"/>
      <c r="D1418" s="14"/>
      <c r="E1418" s="14"/>
      <c r="F1418" s="14"/>
      <c r="G1418" s="14"/>
      <c r="H1418" s="79"/>
      <c r="I1418" s="14"/>
    </row>
    <row r="1419" spans="2:9" ht="12.75" hidden="1" customHeight="1">
      <c r="B1419" s="14"/>
      <c r="C1419" s="14"/>
      <c r="D1419" s="14"/>
      <c r="E1419" s="14"/>
      <c r="F1419" s="14"/>
      <c r="G1419" s="14"/>
      <c r="H1419" s="79"/>
      <c r="I1419" s="14"/>
    </row>
    <row r="1420" spans="2:9" ht="12.75" hidden="1" customHeight="1">
      <c r="B1420" s="14"/>
      <c r="C1420" s="14"/>
      <c r="D1420" s="14"/>
      <c r="E1420" s="14"/>
      <c r="F1420" s="14"/>
      <c r="G1420" s="14"/>
      <c r="H1420" s="79"/>
      <c r="I1420" s="14"/>
    </row>
    <row r="1421" spans="2:9" ht="12.75" hidden="1" customHeight="1">
      <c r="B1421" s="14"/>
      <c r="C1421" s="14"/>
      <c r="D1421" s="14"/>
      <c r="E1421" s="14"/>
      <c r="F1421" s="14"/>
      <c r="G1421" s="14"/>
      <c r="H1421" s="79"/>
      <c r="I1421" s="14"/>
    </row>
    <row r="1422" spans="2:9" ht="12.75" hidden="1" customHeight="1">
      <c r="B1422" s="14"/>
      <c r="C1422" s="14"/>
      <c r="D1422" s="14"/>
      <c r="E1422" s="14"/>
      <c r="F1422" s="14"/>
      <c r="G1422" s="14"/>
      <c r="H1422" s="79"/>
      <c r="I1422" s="14"/>
    </row>
    <row r="1423" spans="2:9" ht="12.75" hidden="1" customHeight="1">
      <c r="B1423" s="14"/>
      <c r="C1423" s="14"/>
      <c r="D1423" s="14"/>
      <c r="E1423" s="14"/>
      <c r="F1423" s="14"/>
      <c r="G1423" s="14"/>
      <c r="H1423" s="79"/>
      <c r="I1423" s="14"/>
    </row>
    <row r="1424" spans="2:9" ht="12.75" hidden="1" customHeight="1">
      <c r="B1424" s="14"/>
      <c r="C1424" s="14"/>
      <c r="D1424" s="14"/>
      <c r="E1424" s="14"/>
      <c r="F1424" s="14"/>
      <c r="G1424" s="14"/>
      <c r="H1424" s="79"/>
      <c r="I1424" s="14"/>
    </row>
    <row r="1425" spans="2:9" ht="12.75" hidden="1" customHeight="1">
      <c r="B1425" s="14"/>
      <c r="C1425" s="14"/>
      <c r="D1425" s="14"/>
      <c r="E1425" s="14"/>
      <c r="F1425" s="14"/>
      <c r="G1425" s="14"/>
      <c r="H1425" s="79"/>
      <c r="I1425" s="14"/>
    </row>
    <row r="1426" spans="2:9" ht="12.75" hidden="1" customHeight="1">
      <c r="B1426" s="14"/>
      <c r="C1426" s="14"/>
      <c r="D1426" s="14"/>
      <c r="E1426" s="14"/>
      <c r="F1426" s="14"/>
      <c r="G1426" s="14"/>
      <c r="H1426" s="79"/>
      <c r="I1426" s="14"/>
    </row>
    <row r="1427" spans="2:9" ht="12.75" hidden="1" customHeight="1">
      <c r="B1427" s="14"/>
      <c r="C1427" s="14"/>
      <c r="D1427" s="14"/>
      <c r="E1427" s="14"/>
      <c r="F1427" s="14"/>
      <c r="G1427" s="14"/>
      <c r="H1427" s="79"/>
      <c r="I1427" s="14"/>
    </row>
    <row r="1428" spans="2:9" ht="12.75" hidden="1" customHeight="1">
      <c r="B1428" s="14"/>
      <c r="C1428" s="14"/>
      <c r="D1428" s="14"/>
      <c r="E1428" s="14"/>
      <c r="F1428" s="14"/>
      <c r="G1428" s="14"/>
      <c r="H1428" s="79"/>
      <c r="I1428" s="14"/>
    </row>
    <row r="1429" spans="2:9" ht="12.75" hidden="1" customHeight="1">
      <c r="B1429" s="14"/>
      <c r="C1429" s="14"/>
      <c r="D1429" s="14"/>
      <c r="E1429" s="14"/>
      <c r="F1429" s="14"/>
      <c r="G1429" s="14"/>
      <c r="H1429" s="79"/>
      <c r="I1429" s="14"/>
    </row>
    <row r="1430" spans="2:9" ht="12.75" hidden="1" customHeight="1">
      <c r="B1430" s="14"/>
      <c r="C1430" s="14"/>
      <c r="D1430" s="14"/>
      <c r="E1430" s="14"/>
      <c r="F1430" s="14"/>
      <c r="G1430" s="14"/>
      <c r="H1430" s="79"/>
      <c r="I1430" s="14"/>
    </row>
    <row r="1431" spans="2:9" ht="12.75" hidden="1" customHeight="1">
      <c r="B1431" s="14"/>
      <c r="C1431" s="14"/>
      <c r="D1431" s="14"/>
      <c r="E1431" s="14"/>
      <c r="F1431" s="14"/>
      <c r="G1431" s="14"/>
      <c r="H1431" s="79"/>
      <c r="I1431" s="14"/>
    </row>
    <row r="1432" spans="2:9" ht="12.75" hidden="1" customHeight="1">
      <c r="B1432" s="14"/>
      <c r="C1432" s="14"/>
      <c r="D1432" s="14"/>
      <c r="E1432" s="14"/>
      <c r="F1432" s="14"/>
      <c r="G1432" s="14"/>
      <c r="H1432" s="79"/>
      <c r="I1432" s="14"/>
    </row>
    <row r="1433" spans="2:9" ht="12.75" hidden="1" customHeight="1">
      <c r="B1433" s="14"/>
      <c r="C1433" s="14"/>
      <c r="D1433" s="14"/>
      <c r="E1433" s="14"/>
      <c r="F1433" s="14"/>
      <c r="G1433" s="14"/>
      <c r="H1433" s="79"/>
      <c r="I1433" s="14"/>
    </row>
    <row r="1434" spans="2:9" ht="12.75" hidden="1" customHeight="1">
      <c r="B1434" s="14"/>
      <c r="C1434" s="14"/>
      <c r="D1434" s="14"/>
      <c r="E1434" s="14"/>
      <c r="F1434" s="14"/>
      <c r="G1434" s="14"/>
      <c r="H1434" s="79"/>
      <c r="I1434" s="14"/>
    </row>
    <row r="1435" spans="2:9" ht="12.75" hidden="1" customHeight="1">
      <c r="B1435" s="14"/>
      <c r="C1435" s="14"/>
      <c r="D1435" s="14"/>
      <c r="E1435" s="14"/>
      <c r="F1435" s="14"/>
      <c r="G1435" s="14"/>
      <c r="H1435" s="79"/>
      <c r="I1435" s="14"/>
    </row>
    <row r="1436" spans="2:9" ht="12.75" hidden="1" customHeight="1">
      <c r="B1436" s="14"/>
      <c r="C1436" s="14"/>
      <c r="D1436" s="14"/>
      <c r="E1436" s="14"/>
      <c r="F1436" s="14"/>
      <c r="G1436" s="14"/>
      <c r="H1436" s="79"/>
      <c r="I1436" s="14"/>
    </row>
    <row r="1437" spans="2:9" ht="12.75" hidden="1" customHeight="1">
      <c r="B1437" s="14"/>
      <c r="C1437" s="14"/>
      <c r="D1437" s="14"/>
      <c r="E1437" s="14"/>
      <c r="F1437" s="14"/>
      <c r="G1437" s="14"/>
      <c r="H1437" s="79"/>
      <c r="I1437" s="14"/>
    </row>
    <row r="1438" spans="2:9" ht="12.75" hidden="1" customHeight="1">
      <c r="B1438" s="14"/>
      <c r="C1438" s="14"/>
      <c r="D1438" s="14"/>
      <c r="E1438" s="14"/>
      <c r="F1438" s="14"/>
      <c r="G1438" s="14"/>
      <c r="H1438" s="79"/>
      <c r="I1438" s="14"/>
    </row>
    <row r="1439" spans="2:9" ht="12.75" hidden="1" customHeight="1">
      <c r="B1439" s="14"/>
      <c r="C1439" s="14"/>
      <c r="D1439" s="14"/>
      <c r="E1439" s="14"/>
      <c r="F1439" s="14"/>
      <c r="G1439" s="14"/>
      <c r="H1439" s="79"/>
      <c r="I1439" s="14"/>
    </row>
    <row r="1440" spans="2:9" ht="12.75" hidden="1" customHeight="1">
      <c r="B1440" s="14"/>
      <c r="C1440" s="14"/>
      <c r="D1440" s="14"/>
      <c r="E1440" s="14"/>
      <c r="F1440" s="14"/>
      <c r="G1440" s="14"/>
      <c r="H1440" s="79"/>
      <c r="I1440" s="14"/>
    </row>
    <row r="1441" spans="2:9" ht="12.75" hidden="1" customHeight="1">
      <c r="B1441" s="14"/>
      <c r="C1441" s="14"/>
      <c r="D1441" s="14"/>
      <c r="E1441" s="14"/>
      <c r="F1441" s="14"/>
      <c r="G1441" s="14"/>
      <c r="H1441" s="79"/>
      <c r="I1441" s="14"/>
    </row>
    <row r="1442" spans="2:9" ht="12.75" hidden="1" customHeight="1">
      <c r="B1442" s="14"/>
      <c r="C1442" s="14"/>
      <c r="D1442" s="14"/>
      <c r="E1442" s="14"/>
      <c r="F1442" s="14"/>
      <c r="G1442" s="14"/>
      <c r="H1442" s="79"/>
      <c r="I1442" s="14"/>
    </row>
    <row r="1443" spans="2:9" ht="12.75" hidden="1" customHeight="1">
      <c r="B1443" s="14"/>
      <c r="C1443" s="14"/>
      <c r="D1443" s="14"/>
      <c r="E1443" s="14"/>
      <c r="F1443" s="14"/>
      <c r="G1443" s="14"/>
      <c r="H1443" s="79"/>
      <c r="I1443" s="14"/>
    </row>
    <row r="1444" spans="2:9" ht="12.75" hidden="1" customHeight="1">
      <c r="B1444" s="14"/>
      <c r="C1444" s="14"/>
      <c r="D1444" s="14"/>
      <c r="E1444" s="14"/>
      <c r="F1444" s="14"/>
      <c r="G1444" s="14"/>
      <c r="H1444" s="79"/>
      <c r="I1444" s="14"/>
    </row>
    <row r="1445" spans="2:9" ht="12.75" hidden="1" customHeight="1">
      <c r="B1445" s="14"/>
      <c r="C1445" s="14"/>
      <c r="D1445" s="14"/>
      <c r="E1445" s="14"/>
      <c r="F1445" s="14"/>
      <c r="G1445" s="14"/>
      <c r="H1445" s="79"/>
      <c r="I1445" s="14"/>
    </row>
    <row r="1446" spans="2:9" ht="12.75" hidden="1" customHeight="1">
      <c r="B1446" s="14"/>
      <c r="C1446" s="14"/>
      <c r="D1446" s="14"/>
      <c r="E1446" s="14"/>
      <c r="F1446" s="14"/>
      <c r="G1446" s="14"/>
      <c r="H1446" s="79"/>
      <c r="I1446" s="14"/>
    </row>
    <row r="1447" spans="2:9" ht="12.75" hidden="1" customHeight="1">
      <c r="B1447" s="14"/>
      <c r="C1447" s="14"/>
      <c r="D1447" s="14"/>
      <c r="E1447" s="14"/>
      <c r="F1447" s="14"/>
      <c r="G1447" s="14"/>
      <c r="H1447" s="79"/>
      <c r="I1447" s="14"/>
    </row>
    <row r="1448" spans="2:9" ht="12.75" hidden="1" customHeight="1">
      <c r="B1448" s="14"/>
      <c r="C1448" s="14"/>
      <c r="D1448" s="14"/>
      <c r="E1448" s="14"/>
      <c r="F1448" s="14"/>
      <c r="G1448" s="14"/>
      <c r="H1448" s="79"/>
      <c r="I1448" s="14"/>
    </row>
    <row r="1449" spans="2:9" ht="12.75" hidden="1" customHeight="1">
      <c r="B1449" s="14"/>
      <c r="C1449" s="14"/>
      <c r="D1449" s="14"/>
      <c r="E1449" s="14"/>
      <c r="F1449" s="14"/>
      <c r="G1449" s="14"/>
      <c r="H1449" s="79"/>
      <c r="I1449" s="14"/>
    </row>
    <row r="1450" spans="2:9" ht="12.75" hidden="1" customHeight="1">
      <c r="B1450" s="14"/>
      <c r="C1450" s="14"/>
      <c r="D1450" s="14"/>
      <c r="E1450" s="14"/>
      <c r="F1450" s="14"/>
      <c r="G1450" s="14"/>
      <c r="H1450" s="79"/>
      <c r="I1450" s="14"/>
    </row>
    <row r="1451" spans="2:9" ht="12.75" hidden="1" customHeight="1">
      <c r="B1451" s="14"/>
      <c r="C1451" s="14"/>
      <c r="D1451" s="14"/>
      <c r="E1451" s="14"/>
      <c r="F1451" s="14"/>
      <c r="G1451" s="14"/>
      <c r="H1451" s="79"/>
      <c r="I1451" s="14"/>
    </row>
    <row r="1452" spans="2:9" ht="12.75" hidden="1" customHeight="1">
      <c r="B1452" s="14"/>
      <c r="C1452" s="14"/>
      <c r="D1452" s="14"/>
      <c r="E1452" s="14"/>
      <c r="F1452" s="14"/>
      <c r="G1452" s="14"/>
      <c r="H1452" s="79"/>
      <c r="I1452" s="14"/>
    </row>
    <row r="1453" spans="2:9" ht="12.75" hidden="1" customHeight="1">
      <c r="B1453" s="14"/>
      <c r="C1453" s="14"/>
      <c r="D1453" s="14"/>
      <c r="E1453" s="14"/>
      <c r="F1453" s="14"/>
      <c r="G1453" s="14"/>
      <c r="H1453" s="79"/>
      <c r="I1453" s="14"/>
    </row>
    <row r="1454" spans="2:9" ht="12.75" hidden="1" customHeight="1">
      <c r="B1454" s="14"/>
      <c r="C1454" s="14"/>
      <c r="D1454" s="14"/>
      <c r="E1454" s="14"/>
      <c r="F1454" s="14"/>
      <c r="G1454" s="14"/>
      <c r="H1454" s="79"/>
      <c r="I1454" s="14"/>
    </row>
    <row r="1455" spans="2:9" ht="12.75" hidden="1" customHeight="1">
      <c r="B1455" s="14"/>
      <c r="C1455" s="14"/>
      <c r="D1455" s="14"/>
      <c r="E1455" s="14"/>
      <c r="F1455" s="14"/>
      <c r="G1455" s="14"/>
      <c r="H1455" s="79"/>
      <c r="I1455" s="14"/>
    </row>
    <row r="1456" spans="2:9" ht="12.75" hidden="1" customHeight="1">
      <c r="B1456" s="14"/>
      <c r="C1456" s="14"/>
      <c r="D1456" s="14"/>
      <c r="E1456" s="14"/>
      <c r="F1456" s="14"/>
      <c r="G1456" s="14"/>
      <c r="H1456" s="79"/>
      <c r="I1456" s="14"/>
    </row>
    <row r="1457" spans="2:9" ht="12.75" hidden="1" customHeight="1">
      <c r="B1457" s="14"/>
      <c r="C1457" s="14"/>
      <c r="D1457" s="14"/>
      <c r="E1457" s="14"/>
      <c r="F1457" s="14"/>
      <c r="G1457" s="14"/>
      <c r="H1457" s="79"/>
      <c r="I1457" s="14"/>
    </row>
    <row r="1458" spans="2:9" ht="12.75" hidden="1" customHeight="1">
      <c r="B1458" s="14"/>
      <c r="C1458" s="14"/>
      <c r="D1458" s="14"/>
      <c r="E1458" s="14"/>
      <c r="F1458" s="14"/>
      <c r="G1458" s="14"/>
      <c r="H1458" s="79"/>
      <c r="I1458" s="14"/>
    </row>
    <row r="1459" spans="2:9" ht="12.75" hidden="1" customHeight="1">
      <c r="B1459" s="14"/>
      <c r="C1459" s="14"/>
      <c r="D1459" s="14"/>
      <c r="E1459" s="14"/>
      <c r="F1459" s="14"/>
      <c r="G1459" s="14"/>
      <c r="H1459" s="79"/>
      <c r="I1459" s="14"/>
    </row>
    <row r="1460" spans="2:9" ht="12.75" hidden="1" customHeight="1">
      <c r="B1460" s="14"/>
      <c r="C1460" s="14"/>
      <c r="D1460" s="14"/>
      <c r="E1460" s="14"/>
      <c r="F1460" s="14"/>
      <c r="G1460" s="14"/>
      <c r="H1460" s="79"/>
      <c r="I1460" s="14"/>
    </row>
    <row r="1461" spans="2:9" ht="12.75" hidden="1" customHeight="1">
      <c r="B1461" s="14"/>
      <c r="C1461" s="14"/>
      <c r="D1461" s="14"/>
      <c r="E1461" s="14"/>
      <c r="F1461" s="14"/>
      <c r="G1461" s="14"/>
      <c r="H1461" s="79"/>
      <c r="I1461" s="14"/>
    </row>
    <row r="1462" spans="2:9" ht="12.75" hidden="1" customHeight="1">
      <c r="B1462" s="14"/>
      <c r="C1462" s="14"/>
      <c r="D1462" s="14"/>
      <c r="E1462" s="14"/>
      <c r="F1462" s="14"/>
      <c r="G1462" s="14"/>
      <c r="H1462" s="79"/>
      <c r="I1462" s="14"/>
    </row>
    <row r="1463" spans="2:9" ht="12.75" hidden="1" customHeight="1">
      <c r="B1463" s="14"/>
      <c r="C1463" s="14"/>
      <c r="D1463" s="14"/>
      <c r="E1463" s="14"/>
      <c r="F1463" s="14"/>
      <c r="G1463" s="14"/>
      <c r="H1463" s="79"/>
      <c r="I1463" s="14"/>
    </row>
    <row r="1464" spans="2:9" ht="12.75" hidden="1" customHeight="1">
      <c r="B1464" s="14"/>
      <c r="C1464" s="14"/>
      <c r="D1464" s="14"/>
      <c r="E1464" s="14"/>
      <c r="F1464" s="14"/>
      <c r="G1464" s="14"/>
      <c r="H1464" s="79"/>
      <c r="I1464" s="14"/>
    </row>
    <row r="1465" spans="2:9" ht="12.75" hidden="1" customHeight="1">
      <c r="B1465" s="14"/>
      <c r="C1465" s="14"/>
      <c r="D1465" s="14"/>
      <c r="E1465" s="14"/>
      <c r="F1465" s="14"/>
      <c r="G1465" s="14"/>
      <c r="H1465" s="79"/>
      <c r="I1465" s="14"/>
    </row>
    <row r="1466" spans="2:9" ht="12.75" hidden="1" customHeight="1">
      <c r="B1466" s="14"/>
      <c r="C1466" s="14"/>
      <c r="D1466" s="14"/>
      <c r="E1466" s="14"/>
      <c r="F1466" s="14"/>
      <c r="G1466" s="14"/>
      <c r="H1466" s="79"/>
      <c r="I1466" s="14"/>
    </row>
    <row r="1467" spans="2:9" ht="12.75" hidden="1" customHeight="1">
      <c r="B1467" s="14"/>
      <c r="C1467" s="14"/>
      <c r="D1467" s="14"/>
      <c r="E1467" s="14"/>
      <c r="F1467" s="14"/>
      <c r="G1467" s="14"/>
      <c r="H1467" s="79"/>
      <c r="I1467" s="14"/>
    </row>
    <row r="1468" spans="2:9" ht="12.75" hidden="1" customHeight="1">
      <c r="B1468" s="14"/>
      <c r="C1468" s="14"/>
      <c r="D1468" s="14"/>
      <c r="E1468" s="14"/>
      <c r="F1468" s="14"/>
      <c r="G1468" s="14"/>
      <c r="H1468" s="79"/>
      <c r="I1468" s="14"/>
    </row>
    <row r="1469" spans="2:9" ht="12.75" hidden="1" customHeight="1">
      <c r="B1469" s="14"/>
      <c r="C1469" s="14"/>
      <c r="D1469" s="14"/>
      <c r="E1469" s="14"/>
      <c r="F1469" s="14"/>
      <c r="G1469" s="14"/>
      <c r="H1469" s="79"/>
      <c r="I1469" s="14"/>
    </row>
    <row r="1470" spans="2:9" ht="12.75" hidden="1" customHeight="1">
      <c r="B1470" s="14"/>
      <c r="C1470" s="14"/>
      <c r="D1470" s="14"/>
      <c r="E1470" s="14"/>
      <c r="F1470" s="14"/>
      <c r="G1470" s="14"/>
      <c r="H1470" s="79"/>
      <c r="I1470" s="14"/>
    </row>
    <row r="1471" spans="2:9" ht="12.75" hidden="1" customHeight="1">
      <c r="B1471" s="14"/>
      <c r="C1471" s="14"/>
      <c r="D1471" s="14"/>
      <c r="E1471" s="14"/>
      <c r="F1471" s="14"/>
      <c r="G1471" s="14"/>
      <c r="H1471" s="79"/>
      <c r="I1471" s="14"/>
    </row>
    <row r="1472" spans="2:9" ht="12.75" hidden="1" customHeight="1">
      <c r="B1472" s="14"/>
      <c r="C1472" s="14"/>
      <c r="D1472" s="14"/>
      <c r="E1472" s="14"/>
      <c r="F1472" s="14"/>
      <c r="G1472" s="14"/>
      <c r="H1472" s="79"/>
      <c r="I1472" s="14"/>
    </row>
    <row r="1473" spans="2:9" ht="12.75" hidden="1" customHeight="1">
      <c r="B1473" s="14"/>
      <c r="C1473" s="14"/>
      <c r="D1473" s="14"/>
      <c r="E1473" s="14"/>
      <c r="F1473" s="14"/>
      <c r="G1473" s="14"/>
      <c r="H1473" s="79"/>
      <c r="I1473" s="14"/>
    </row>
    <row r="1474" spans="2:9" ht="12.75" hidden="1" customHeight="1">
      <c r="B1474" s="14"/>
      <c r="C1474" s="14"/>
      <c r="D1474" s="14"/>
      <c r="E1474" s="14"/>
      <c r="F1474" s="14"/>
      <c r="G1474" s="14"/>
      <c r="H1474" s="79"/>
      <c r="I1474" s="14"/>
    </row>
    <row r="1475" spans="2:9" ht="12.75" hidden="1" customHeight="1">
      <c r="B1475" s="14"/>
      <c r="C1475" s="14"/>
      <c r="D1475" s="14"/>
      <c r="E1475" s="14"/>
      <c r="F1475" s="14"/>
      <c r="G1475" s="14"/>
      <c r="H1475" s="79"/>
      <c r="I1475" s="14"/>
    </row>
    <row r="1476" spans="2:9" ht="12.75" hidden="1" customHeight="1">
      <c r="B1476" s="14"/>
      <c r="C1476" s="14"/>
      <c r="D1476" s="14"/>
      <c r="E1476" s="14"/>
      <c r="F1476" s="14"/>
      <c r="G1476" s="14"/>
      <c r="H1476" s="79"/>
      <c r="I1476" s="14"/>
    </row>
    <row r="1477" spans="2:9" ht="12.75" hidden="1" customHeight="1">
      <c r="B1477" s="14"/>
      <c r="C1477" s="14"/>
      <c r="D1477" s="14"/>
      <c r="E1477" s="14"/>
      <c r="F1477" s="14"/>
      <c r="G1477" s="14"/>
      <c r="H1477" s="79"/>
      <c r="I1477" s="14"/>
    </row>
    <row r="1478" spans="2:9" ht="12.75" hidden="1" customHeight="1">
      <c r="B1478" s="14"/>
      <c r="C1478" s="14"/>
      <c r="D1478" s="14"/>
      <c r="E1478" s="14"/>
      <c r="F1478" s="14"/>
      <c r="G1478" s="14"/>
      <c r="H1478" s="79"/>
      <c r="I1478" s="14"/>
    </row>
    <row r="1479" spans="2:9" ht="12.75" hidden="1" customHeight="1">
      <c r="B1479" s="14"/>
      <c r="C1479" s="14"/>
      <c r="D1479" s="14"/>
      <c r="E1479" s="14"/>
      <c r="F1479" s="14"/>
      <c r="G1479" s="14"/>
      <c r="H1479" s="79"/>
      <c r="I1479" s="14"/>
    </row>
    <row r="1480" spans="2:9" ht="12.75" hidden="1" customHeight="1">
      <c r="B1480" s="14"/>
      <c r="C1480" s="14"/>
      <c r="D1480" s="14"/>
      <c r="E1480" s="14"/>
      <c r="F1480" s="14"/>
      <c r="G1480" s="14"/>
      <c r="H1480" s="79"/>
      <c r="I1480" s="14"/>
    </row>
    <row r="1481" spans="2:9" ht="12.75" hidden="1" customHeight="1">
      <c r="B1481" s="14"/>
      <c r="C1481" s="14"/>
      <c r="D1481" s="14"/>
      <c r="E1481" s="14"/>
      <c r="F1481" s="14"/>
      <c r="G1481" s="14"/>
      <c r="H1481" s="79"/>
      <c r="I1481" s="14"/>
    </row>
    <row r="1482" spans="2:9" ht="12.75" hidden="1" customHeight="1">
      <c r="B1482" s="14"/>
      <c r="C1482" s="14"/>
      <c r="D1482" s="14"/>
      <c r="E1482" s="14"/>
      <c r="F1482" s="14"/>
      <c r="G1482" s="14"/>
      <c r="H1482" s="79"/>
      <c r="I1482" s="14"/>
    </row>
    <row r="1483" spans="2:9" ht="12.75" hidden="1" customHeight="1">
      <c r="B1483" s="14"/>
      <c r="C1483" s="14"/>
      <c r="D1483" s="14"/>
      <c r="E1483" s="14"/>
      <c r="F1483" s="14"/>
      <c r="G1483" s="14"/>
      <c r="H1483" s="79"/>
      <c r="I1483" s="14"/>
    </row>
    <row r="1484" spans="2:9" ht="12.75" hidden="1" customHeight="1">
      <c r="B1484" s="14"/>
      <c r="C1484" s="14"/>
      <c r="D1484" s="14"/>
      <c r="E1484" s="14"/>
      <c r="F1484" s="14"/>
      <c r="G1484" s="14"/>
      <c r="H1484" s="79"/>
      <c r="I1484" s="14"/>
    </row>
    <row r="1485" spans="2:9" ht="12.75" hidden="1" customHeight="1">
      <c r="B1485" s="14"/>
      <c r="C1485" s="14"/>
      <c r="D1485" s="14"/>
      <c r="E1485" s="14"/>
      <c r="F1485" s="14"/>
      <c r="G1485" s="14"/>
      <c r="H1485" s="79"/>
      <c r="I1485" s="14"/>
    </row>
    <row r="1486" spans="2:9" ht="12.75" hidden="1" customHeight="1">
      <c r="B1486" s="14"/>
      <c r="C1486" s="14"/>
      <c r="D1486" s="14"/>
      <c r="E1486" s="14"/>
      <c r="F1486" s="14"/>
      <c r="G1486" s="14"/>
      <c r="H1486" s="79"/>
      <c r="I1486" s="14"/>
    </row>
    <row r="1487" spans="2:9" ht="12.75" hidden="1" customHeight="1">
      <c r="B1487" s="14"/>
      <c r="C1487" s="14"/>
      <c r="D1487" s="14"/>
      <c r="E1487" s="14"/>
      <c r="F1487" s="14"/>
      <c r="G1487" s="14"/>
      <c r="H1487" s="79"/>
      <c r="I1487" s="14"/>
    </row>
    <row r="1488" spans="2:9" ht="12.75" hidden="1" customHeight="1">
      <c r="B1488" s="14"/>
      <c r="C1488" s="14"/>
      <c r="D1488" s="14"/>
      <c r="E1488" s="14"/>
      <c r="F1488" s="14"/>
      <c r="G1488" s="14"/>
      <c r="H1488" s="79"/>
      <c r="I1488" s="14"/>
    </row>
    <row r="1489" spans="2:9" ht="12.75" hidden="1" customHeight="1">
      <c r="B1489" s="14"/>
      <c r="C1489" s="14"/>
      <c r="D1489" s="14"/>
      <c r="E1489" s="14"/>
      <c r="F1489" s="14"/>
      <c r="G1489" s="14"/>
      <c r="H1489" s="79"/>
      <c r="I1489" s="14"/>
    </row>
    <row r="1490" spans="2:9" ht="12.75" hidden="1" customHeight="1">
      <c r="B1490" s="14"/>
      <c r="C1490" s="14"/>
      <c r="D1490" s="14"/>
      <c r="E1490" s="14"/>
      <c r="F1490" s="14"/>
      <c r="G1490" s="14"/>
      <c r="H1490" s="79"/>
      <c r="I1490" s="14"/>
    </row>
    <row r="1491" spans="2:9" ht="12.75" hidden="1" customHeight="1">
      <c r="B1491" s="14"/>
      <c r="C1491" s="14"/>
      <c r="D1491" s="14"/>
      <c r="E1491" s="14"/>
      <c r="F1491" s="14"/>
      <c r="G1491" s="14"/>
      <c r="H1491" s="79"/>
      <c r="I1491" s="14"/>
    </row>
    <row r="1492" spans="2:9" ht="12.75" hidden="1" customHeight="1">
      <c r="B1492" s="14"/>
      <c r="C1492" s="14"/>
      <c r="D1492" s="14"/>
      <c r="E1492" s="14"/>
      <c r="F1492" s="14"/>
      <c r="G1492" s="14"/>
      <c r="H1492" s="79"/>
      <c r="I1492" s="14"/>
    </row>
    <row r="1493" spans="2:9" ht="12.75" hidden="1" customHeight="1">
      <c r="B1493" s="14"/>
      <c r="C1493" s="14"/>
      <c r="D1493" s="14"/>
      <c r="E1493" s="14"/>
      <c r="F1493" s="14"/>
      <c r="G1493" s="14"/>
      <c r="H1493" s="79"/>
      <c r="I1493" s="14"/>
    </row>
    <row r="1494" spans="2:9" ht="12.75" hidden="1" customHeight="1">
      <c r="B1494" s="14"/>
      <c r="C1494" s="14"/>
      <c r="D1494" s="14"/>
      <c r="E1494" s="14"/>
      <c r="F1494" s="14"/>
      <c r="G1494" s="14"/>
      <c r="H1494" s="79"/>
      <c r="I1494" s="14"/>
    </row>
    <row r="1495" spans="2:9" ht="12.75" hidden="1" customHeight="1">
      <c r="B1495" s="14"/>
      <c r="C1495" s="14"/>
      <c r="D1495" s="14"/>
      <c r="E1495" s="14"/>
      <c r="F1495" s="14"/>
      <c r="G1495" s="14"/>
      <c r="H1495" s="79"/>
      <c r="I1495" s="14"/>
    </row>
    <row r="1496" spans="2:9" ht="12.75" hidden="1" customHeight="1">
      <c r="B1496" s="14"/>
      <c r="C1496" s="14"/>
      <c r="D1496" s="14"/>
      <c r="E1496" s="14"/>
      <c r="F1496" s="14"/>
      <c r="G1496" s="14"/>
      <c r="H1496" s="79"/>
      <c r="I1496" s="14"/>
    </row>
    <row r="1497" spans="2:9" ht="12.75" hidden="1" customHeight="1">
      <c r="B1497" s="14"/>
      <c r="C1497" s="14"/>
      <c r="D1497" s="14"/>
      <c r="E1497" s="14"/>
      <c r="F1497" s="14"/>
      <c r="G1497" s="14"/>
      <c r="H1497" s="79"/>
      <c r="I1497" s="14"/>
    </row>
    <row r="1498" spans="2:9" ht="12.75" hidden="1" customHeight="1">
      <c r="B1498" s="14"/>
      <c r="C1498" s="14"/>
      <c r="D1498" s="14"/>
      <c r="E1498" s="14"/>
      <c r="F1498" s="14"/>
      <c r="G1498" s="14"/>
      <c r="H1498" s="79"/>
      <c r="I1498" s="14"/>
    </row>
    <row r="1499" spans="2:9" ht="12.75" hidden="1" customHeight="1">
      <c r="B1499" s="14"/>
      <c r="C1499" s="14"/>
      <c r="D1499" s="14"/>
      <c r="E1499" s="14"/>
      <c r="F1499" s="14"/>
      <c r="G1499" s="14"/>
      <c r="H1499" s="79"/>
      <c r="I1499" s="14"/>
    </row>
    <row r="1500" spans="2:9" ht="12.75" hidden="1" customHeight="1">
      <c r="B1500" s="14"/>
      <c r="C1500" s="14"/>
      <c r="D1500" s="14"/>
      <c r="E1500" s="14"/>
      <c r="F1500" s="14"/>
      <c r="G1500" s="14"/>
      <c r="H1500" s="79"/>
      <c r="I1500" s="14"/>
    </row>
    <row r="1501" spans="2:9" ht="12.75" hidden="1" customHeight="1">
      <c r="B1501" s="14"/>
      <c r="C1501" s="14"/>
      <c r="D1501" s="14"/>
      <c r="E1501" s="14"/>
      <c r="F1501" s="14"/>
      <c r="G1501" s="14"/>
      <c r="H1501" s="79"/>
      <c r="I1501" s="14"/>
    </row>
    <row r="1502" spans="2:9" ht="12.75" hidden="1" customHeight="1">
      <c r="B1502" s="14"/>
      <c r="C1502" s="14"/>
      <c r="D1502" s="14"/>
      <c r="E1502" s="14"/>
      <c r="F1502" s="14"/>
      <c r="G1502" s="14"/>
      <c r="H1502" s="79"/>
      <c r="I1502" s="14"/>
    </row>
    <row r="1503" spans="2:9" ht="12.75" hidden="1" customHeight="1">
      <c r="B1503" s="14"/>
      <c r="C1503" s="14"/>
      <c r="D1503" s="14"/>
      <c r="E1503" s="14"/>
      <c r="F1503" s="14"/>
      <c r="G1503" s="14"/>
      <c r="H1503" s="79"/>
      <c r="I1503" s="14"/>
    </row>
    <row r="1504" spans="2:9" ht="12.75" hidden="1" customHeight="1">
      <c r="B1504" s="14"/>
      <c r="C1504" s="14"/>
      <c r="D1504" s="14"/>
      <c r="E1504" s="14"/>
      <c r="F1504" s="14"/>
      <c r="G1504" s="14"/>
      <c r="H1504" s="79"/>
      <c r="I1504" s="14"/>
    </row>
    <row r="1505" spans="2:9" ht="12.75" hidden="1" customHeight="1">
      <c r="B1505" s="14"/>
      <c r="C1505" s="14"/>
      <c r="D1505" s="14"/>
      <c r="E1505" s="14"/>
      <c r="F1505" s="14"/>
      <c r="G1505" s="14"/>
      <c r="H1505" s="79"/>
      <c r="I1505" s="14"/>
    </row>
    <row r="1506" spans="2:9" ht="12.75" hidden="1" customHeight="1">
      <c r="B1506" s="14"/>
      <c r="C1506" s="14"/>
      <c r="D1506" s="14"/>
      <c r="E1506" s="14"/>
      <c r="F1506" s="14"/>
      <c r="G1506" s="14"/>
      <c r="H1506" s="79"/>
      <c r="I1506" s="14"/>
    </row>
    <row r="1507" spans="2:9" ht="12.75" hidden="1" customHeight="1">
      <c r="B1507" s="14"/>
      <c r="C1507" s="14"/>
      <c r="D1507" s="14"/>
      <c r="E1507" s="14"/>
      <c r="F1507" s="14"/>
      <c r="G1507" s="14"/>
      <c r="H1507" s="79"/>
      <c r="I1507" s="14"/>
    </row>
    <row r="1508" spans="2:9" ht="12.75" hidden="1" customHeight="1">
      <c r="B1508" s="14"/>
      <c r="C1508" s="14"/>
      <c r="D1508" s="14"/>
      <c r="E1508" s="14"/>
      <c r="F1508" s="14"/>
      <c r="G1508" s="14"/>
      <c r="H1508" s="79"/>
      <c r="I1508" s="14"/>
    </row>
    <row r="1509" spans="2:9" ht="12.75" hidden="1" customHeight="1">
      <c r="B1509" s="14"/>
      <c r="C1509" s="14"/>
      <c r="D1509" s="14"/>
      <c r="E1509" s="14"/>
      <c r="F1509" s="14"/>
      <c r="G1509" s="14"/>
      <c r="H1509" s="79"/>
      <c r="I1509" s="14"/>
    </row>
    <row r="1510" spans="2:9" ht="12.75" hidden="1" customHeight="1">
      <c r="B1510" s="14"/>
      <c r="C1510" s="14"/>
      <c r="D1510" s="14"/>
      <c r="E1510" s="14"/>
      <c r="F1510" s="14"/>
      <c r="G1510" s="14"/>
      <c r="H1510" s="79"/>
      <c r="I1510" s="14"/>
    </row>
    <row r="1511" spans="2:9" ht="12.75" hidden="1" customHeight="1">
      <c r="B1511" s="14"/>
      <c r="C1511" s="14"/>
      <c r="D1511" s="14"/>
      <c r="E1511" s="14"/>
      <c r="F1511" s="14"/>
      <c r="G1511" s="14"/>
      <c r="H1511" s="79"/>
      <c r="I1511" s="14"/>
    </row>
    <row r="1512" spans="2:9" ht="12.75" hidden="1" customHeight="1">
      <c r="B1512" s="14"/>
      <c r="C1512" s="14"/>
      <c r="D1512" s="14"/>
      <c r="E1512" s="14"/>
      <c r="F1512" s="14"/>
      <c r="G1512" s="14"/>
      <c r="H1512" s="79"/>
      <c r="I1512" s="14"/>
    </row>
    <row r="1513" spans="2:9" ht="12.75" hidden="1" customHeight="1">
      <c r="B1513" s="14"/>
      <c r="C1513" s="14"/>
      <c r="D1513" s="14"/>
      <c r="E1513" s="14"/>
      <c r="F1513" s="14"/>
      <c r="G1513" s="14"/>
      <c r="H1513" s="79"/>
      <c r="I1513" s="14"/>
    </row>
    <row r="1514" spans="2:9" ht="12.75" hidden="1" customHeight="1">
      <c r="B1514" s="14"/>
      <c r="C1514" s="14"/>
      <c r="D1514" s="14"/>
      <c r="E1514" s="14"/>
      <c r="F1514" s="14"/>
      <c r="G1514" s="14"/>
      <c r="H1514" s="79"/>
      <c r="I1514" s="14"/>
    </row>
    <row r="1515" spans="2:9" ht="12.75" hidden="1" customHeight="1">
      <c r="B1515" s="14"/>
      <c r="C1515" s="14"/>
      <c r="D1515" s="14"/>
      <c r="E1515" s="14"/>
      <c r="F1515" s="14"/>
      <c r="G1515" s="14"/>
      <c r="H1515" s="79"/>
      <c r="I1515" s="14"/>
    </row>
    <row r="1516" spans="2:9" ht="12.75" hidden="1" customHeight="1">
      <c r="B1516" s="14"/>
      <c r="C1516" s="14"/>
      <c r="D1516" s="14"/>
      <c r="E1516" s="14"/>
      <c r="F1516" s="14"/>
      <c r="G1516" s="14"/>
      <c r="H1516" s="79"/>
      <c r="I1516" s="14"/>
    </row>
    <row r="1517" spans="2:9" ht="12.75" hidden="1" customHeight="1">
      <c r="B1517" s="14"/>
      <c r="C1517" s="14"/>
      <c r="D1517" s="14"/>
      <c r="E1517" s="14"/>
      <c r="F1517" s="14"/>
      <c r="G1517" s="14"/>
      <c r="H1517" s="79"/>
      <c r="I1517" s="14"/>
    </row>
    <row r="1518" spans="2:9" ht="12.75" hidden="1" customHeight="1">
      <c r="B1518" s="14"/>
      <c r="C1518" s="14"/>
      <c r="D1518" s="14"/>
      <c r="E1518" s="14"/>
      <c r="F1518" s="14"/>
      <c r="G1518" s="14"/>
      <c r="H1518" s="79"/>
      <c r="I1518" s="14"/>
    </row>
    <row r="1519" spans="2:9" ht="12.75" hidden="1" customHeight="1">
      <c r="B1519" s="14"/>
      <c r="C1519" s="14"/>
      <c r="D1519" s="14"/>
      <c r="E1519" s="14"/>
      <c r="F1519" s="14"/>
      <c r="G1519" s="14"/>
      <c r="H1519" s="79"/>
      <c r="I1519" s="14"/>
    </row>
    <row r="1520" spans="2:9" ht="12.75" hidden="1" customHeight="1">
      <c r="B1520" s="14"/>
      <c r="C1520" s="14"/>
      <c r="D1520" s="14"/>
      <c r="E1520" s="14"/>
      <c r="F1520" s="14"/>
      <c r="G1520" s="14"/>
      <c r="H1520" s="79"/>
      <c r="I1520" s="14"/>
    </row>
    <row r="1521" spans="2:9" ht="12.75" hidden="1" customHeight="1">
      <c r="B1521" s="14"/>
      <c r="C1521" s="14"/>
      <c r="D1521" s="14"/>
      <c r="E1521" s="14"/>
      <c r="F1521" s="14"/>
      <c r="G1521" s="14"/>
      <c r="H1521" s="79"/>
      <c r="I1521" s="14"/>
    </row>
    <row r="1522" spans="2:9" ht="12.75" hidden="1" customHeight="1">
      <c r="B1522" s="14"/>
      <c r="C1522" s="14"/>
      <c r="D1522" s="14"/>
      <c r="E1522" s="14"/>
      <c r="F1522" s="14"/>
      <c r="G1522" s="14"/>
      <c r="H1522" s="79"/>
      <c r="I1522" s="14"/>
    </row>
    <row r="1523" spans="2:9" ht="12.75" hidden="1" customHeight="1">
      <c r="B1523" s="14"/>
      <c r="C1523" s="14"/>
      <c r="D1523" s="14"/>
      <c r="E1523" s="14"/>
      <c r="F1523" s="14"/>
      <c r="G1523" s="14"/>
      <c r="H1523" s="79"/>
      <c r="I1523" s="14"/>
    </row>
    <row r="1524" spans="2:9" ht="12.75" hidden="1" customHeight="1">
      <c r="B1524" s="14"/>
      <c r="C1524" s="14"/>
      <c r="D1524" s="14"/>
      <c r="E1524" s="14"/>
      <c r="F1524" s="14"/>
      <c r="G1524" s="14"/>
      <c r="H1524" s="79"/>
      <c r="I1524" s="14"/>
    </row>
    <row r="1525" spans="2:9" ht="12.75" hidden="1" customHeight="1">
      <c r="B1525" s="14"/>
      <c r="C1525" s="14"/>
      <c r="D1525" s="14"/>
      <c r="E1525" s="14"/>
      <c r="F1525" s="14"/>
      <c r="G1525" s="14"/>
      <c r="H1525" s="79"/>
      <c r="I1525" s="14"/>
    </row>
    <row r="1526" spans="2:9" ht="12.75" hidden="1" customHeight="1">
      <c r="B1526" s="14"/>
      <c r="C1526" s="14"/>
      <c r="D1526" s="14"/>
      <c r="E1526" s="14"/>
      <c r="F1526" s="14"/>
      <c r="G1526" s="14"/>
      <c r="H1526" s="79"/>
      <c r="I1526" s="14"/>
    </row>
    <row r="1527" spans="2:9" ht="12.75" hidden="1" customHeight="1">
      <c r="B1527" s="14"/>
      <c r="C1527" s="14"/>
      <c r="D1527" s="14"/>
      <c r="E1527" s="14"/>
      <c r="F1527" s="14"/>
      <c r="G1527" s="14"/>
      <c r="H1527" s="79"/>
      <c r="I1527" s="14"/>
    </row>
    <row r="1528" spans="2:9" ht="12.75" hidden="1" customHeight="1">
      <c r="B1528" s="14"/>
      <c r="C1528" s="14"/>
      <c r="D1528" s="14"/>
      <c r="E1528" s="14"/>
      <c r="F1528" s="14"/>
      <c r="G1528" s="14"/>
      <c r="H1528" s="79"/>
      <c r="I1528" s="14"/>
    </row>
    <row r="1529" spans="2:9" ht="12.75" hidden="1" customHeight="1">
      <c r="B1529" s="14"/>
      <c r="C1529" s="14"/>
      <c r="D1529" s="14"/>
      <c r="E1529" s="14"/>
      <c r="F1529" s="14"/>
      <c r="G1529" s="14"/>
      <c r="H1529" s="79"/>
      <c r="I1529" s="14"/>
    </row>
    <row r="1530" spans="2:9" ht="12.75" hidden="1" customHeight="1">
      <c r="B1530" s="14"/>
      <c r="C1530" s="14"/>
      <c r="D1530" s="14"/>
      <c r="E1530" s="14"/>
      <c r="F1530" s="14"/>
      <c r="G1530" s="14"/>
      <c r="H1530" s="79"/>
      <c r="I1530" s="14"/>
    </row>
    <row r="1531" spans="2:9" ht="12.75" hidden="1" customHeight="1">
      <c r="B1531" s="14"/>
      <c r="C1531" s="14"/>
      <c r="D1531" s="14"/>
      <c r="E1531" s="14"/>
      <c r="F1531" s="14"/>
      <c r="G1531" s="14"/>
      <c r="H1531" s="79"/>
      <c r="I1531" s="14"/>
    </row>
    <row r="1532" spans="2:9" ht="12.75" hidden="1" customHeight="1">
      <c r="B1532" s="14"/>
      <c r="C1532" s="14"/>
      <c r="D1532" s="14"/>
      <c r="E1532" s="14"/>
      <c r="F1532" s="14"/>
      <c r="G1532" s="14"/>
      <c r="H1532" s="79"/>
      <c r="I1532" s="14"/>
    </row>
    <row r="1533" spans="2:9" ht="12.75" hidden="1" customHeight="1">
      <c r="B1533" s="14"/>
      <c r="C1533" s="14"/>
      <c r="D1533" s="14"/>
      <c r="E1533" s="14"/>
      <c r="F1533" s="14"/>
      <c r="G1533" s="14"/>
      <c r="H1533" s="79"/>
      <c r="I1533" s="14"/>
    </row>
    <row r="1534" spans="2:9" ht="12.75" hidden="1" customHeight="1">
      <c r="B1534" s="14"/>
      <c r="C1534" s="14"/>
      <c r="D1534" s="14"/>
      <c r="E1534" s="14"/>
      <c r="F1534" s="14"/>
      <c r="G1534" s="14"/>
      <c r="H1534" s="79"/>
      <c r="I1534" s="14"/>
    </row>
    <row r="1535" spans="2:9" ht="12.75" hidden="1" customHeight="1">
      <c r="B1535" s="14"/>
      <c r="C1535" s="14"/>
      <c r="D1535" s="14"/>
      <c r="E1535" s="14"/>
      <c r="F1535" s="14"/>
      <c r="G1535" s="14"/>
      <c r="H1535" s="79"/>
      <c r="I1535" s="14"/>
    </row>
    <row r="1536" spans="2:9" ht="12.75" hidden="1" customHeight="1">
      <c r="B1536" s="14"/>
      <c r="C1536" s="14"/>
      <c r="D1536" s="14"/>
      <c r="E1536" s="14"/>
      <c r="F1536" s="14"/>
      <c r="G1536" s="14"/>
      <c r="H1536" s="79"/>
      <c r="I1536" s="14"/>
    </row>
    <row r="1537" spans="2:9" ht="12.75" hidden="1" customHeight="1">
      <c r="B1537" s="14"/>
      <c r="C1537" s="14"/>
      <c r="D1537" s="14"/>
      <c r="E1537" s="14"/>
      <c r="F1537" s="14"/>
      <c r="G1537" s="14"/>
      <c r="H1537" s="79"/>
      <c r="I1537" s="14"/>
    </row>
    <row r="1538" spans="2:9" ht="12.75" hidden="1" customHeight="1">
      <c r="B1538" s="14"/>
      <c r="C1538" s="14"/>
      <c r="D1538" s="14"/>
      <c r="E1538" s="14"/>
      <c r="F1538" s="14"/>
      <c r="G1538" s="14"/>
      <c r="H1538" s="79"/>
      <c r="I1538" s="14"/>
    </row>
    <row r="1539" spans="2:9" ht="12.75" hidden="1" customHeight="1">
      <c r="B1539" s="14"/>
      <c r="C1539" s="14"/>
      <c r="D1539" s="14"/>
      <c r="E1539" s="14"/>
      <c r="F1539" s="14"/>
      <c r="G1539" s="14"/>
      <c r="H1539" s="79"/>
      <c r="I1539" s="14"/>
    </row>
    <row r="1540" spans="2:9" ht="12.75" hidden="1" customHeight="1">
      <c r="B1540" s="14"/>
      <c r="C1540" s="14"/>
      <c r="D1540" s="14"/>
      <c r="E1540" s="14"/>
      <c r="F1540" s="14"/>
      <c r="G1540" s="14"/>
      <c r="H1540" s="79"/>
      <c r="I1540" s="14"/>
    </row>
    <row r="1541" spans="2:9" ht="12.75" hidden="1" customHeight="1">
      <c r="B1541" s="14"/>
      <c r="C1541" s="14"/>
      <c r="D1541" s="14"/>
      <c r="E1541" s="14"/>
      <c r="F1541" s="14"/>
      <c r="G1541" s="14"/>
      <c r="H1541" s="79"/>
      <c r="I1541" s="14"/>
    </row>
    <row r="1542" spans="2:9" ht="12.75" hidden="1" customHeight="1">
      <c r="B1542" s="14"/>
      <c r="C1542" s="14"/>
      <c r="D1542" s="14"/>
      <c r="E1542" s="14"/>
      <c r="F1542" s="14"/>
      <c r="G1542" s="14"/>
      <c r="H1542" s="79"/>
      <c r="I1542" s="14"/>
    </row>
    <row r="1543" spans="2:9" ht="12.75" hidden="1" customHeight="1">
      <c r="B1543" s="14"/>
      <c r="C1543" s="14"/>
      <c r="D1543" s="14"/>
      <c r="E1543" s="14"/>
      <c r="F1543" s="14"/>
      <c r="G1543" s="14"/>
      <c r="H1543" s="79"/>
      <c r="I1543" s="14"/>
    </row>
    <row r="1544" spans="2:9" ht="12.75" hidden="1" customHeight="1">
      <c r="B1544" s="14"/>
      <c r="C1544" s="14"/>
      <c r="D1544" s="14"/>
      <c r="E1544" s="14"/>
      <c r="F1544" s="14"/>
      <c r="G1544" s="14"/>
      <c r="H1544" s="79"/>
      <c r="I1544" s="14"/>
    </row>
    <row r="1545" spans="2:9" ht="12.75" hidden="1" customHeight="1">
      <c r="B1545" s="14"/>
      <c r="C1545" s="14"/>
      <c r="D1545" s="14"/>
      <c r="E1545" s="14"/>
      <c r="F1545" s="14"/>
      <c r="G1545" s="14"/>
      <c r="H1545" s="79"/>
      <c r="I1545" s="14"/>
    </row>
    <row r="1546" spans="2:9" ht="12.75" hidden="1" customHeight="1">
      <c r="B1546" s="14"/>
      <c r="C1546" s="14"/>
      <c r="D1546" s="14"/>
      <c r="E1546" s="14"/>
      <c r="F1546" s="14"/>
      <c r="G1546" s="14"/>
      <c r="H1546" s="79"/>
      <c r="I1546" s="14"/>
    </row>
    <row r="1547" spans="2:9" ht="12.75" hidden="1" customHeight="1">
      <c r="B1547" s="14"/>
      <c r="C1547" s="14"/>
      <c r="D1547" s="14"/>
      <c r="E1547" s="14"/>
      <c r="F1547" s="14"/>
      <c r="G1547" s="14"/>
      <c r="H1547" s="79"/>
      <c r="I1547" s="14"/>
    </row>
    <row r="1548" spans="2:9" ht="12.75" hidden="1" customHeight="1">
      <c r="B1548" s="14"/>
      <c r="C1548" s="14"/>
      <c r="D1548" s="14"/>
      <c r="E1548" s="14"/>
      <c r="F1548" s="14"/>
      <c r="G1548" s="14"/>
      <c r="H1548" s="79"/>
      <c r="I1548" s="14"/>
    </row>
    <row r="1549" spans="2:9" ht="12.75" hidden="1" customHeight="1">
      <c r="B1549" s="14"/>
      <c r="C1549" s="14"/>
      <c r="D1549" s="14"/>
      <c r="E1549" s="14"/>
      <c r="F1549" s="14"/>
      <c r="G1549" s="14"/>
      <c r="H1549" s="79"/>
      <c r="I1549" s="14"/>
    </row>
    <row r="1550" spans="2:9" ht="12.75" hidden="1" customHeight="1">
      <c r="B1550" s="14"/>
      <c r="C1550" s="14"/>
      <c r="D1550" s="14"/>
      <c r="E1550" s="14"/>
      <c r="F1550" s="14"/>
      <c r="G1550" s="14"/>
      <c r="H1550" s="79"/>
      <c r="I1550" s="14"/>
    </row>
    <row r="1551" spans="2:9" ht="12.75" hidden="1" customHeight="1">
      <c r="B1551" s="14"/>
      <c r="C1551" s="14"/>
      <c r="D1551" s="14"/>
      <c r="E1551" s="14"/>
      <c r="F1551" s="14"/>
      <c r="G1551" s="14"/>
      <c r="H1551" s="79"/>
      <c r="I1551" s="14"/>
    </row>
    <row r="1552" spans="2:9" ht="12.75" hidden="1" customHeight="1">
      <c r="B1552" s="14"/>
      <c r="C1552" s="14"/>
      <c r="D1552" s="14"/>
      <c r="E1552" s="14"/>
      <c r="F1552" s="14"/>
      <c r="G1552" s="14"/>
      <c r="H1552" s="79"/>
      <c r="I1552" s="14"/>
    </row>
    <row r="1553" spans="2:9" ht="12.75" hidden="1" customHeight="1">
      <c r="B1553" s="14"/>
      <c r="C1553" s="14"/>
      <c r="D1553" s="14"/>
      <c r="E1553" s="14"/>
      <c r="F1553" s="14"/>
      <c r="G1553" s="14"/>
      <c r="H1553" s="79"/>
      <c r="I1553" s="14"/>
    </row>
    <row r="1554" spans="2:9" ht="12.75" hidden="1" customHeight="1">
      <c r="B1554" s="14"/>
      <c r="C1554" s="14"/>
      <c r="D1554" s="14"/>
      <c r="E1554" s="14"/>
      <c r="F1554" s="14"/>
      <c r="G1554" s="14"/>
      <c r="H1554" s="79"/>
      <c r="I1554" s="14"/>
    </row>
    <row r="1555" spans="2:9" ht="12.75" hidden="1" customHeight="1">
      <c r="B1555" s="14"/>
      <c r="C1555" s="14"/>
      <c r="D1555" s="14"/>
      <c r="E1555" s="14"/>
      <c r="F1555" s="14"/>
      <c r="G1555" s="14"/>
      <c r="H1555" s="79"/>
      <c r="I1555" s="14"/>
    </row>
    <row r="1556" spans="2:9" ht="12.75" hidden="1" customHeight="1">
      <c r="B1556" s="14"/>
      <c r="C1556" s="14"/>
      <c r="D1556" s="14"/>
      <c r="E1556" s="14"/>
      <c r="F1556" s="14"/>
      <c r="G1556" s="14"/>
      <c r="H1556" s="79"/>
      <c r="I1556" s="14"/>
    </row>
    <row r="1557" spans="2:9" ht="12.75" hidden="1" customHeight="1">
      <c r="B1557" s="14"/>
      <c r="C1557" s="14"/>
      <c r="D1557" s="14"/>
      <c r="E1557" s="14"/>
      <c r="F1557" s="14"/>
      <c r="G1557" s="14"/>
      <c r="H1557" s="79"/>
      <c r="I1557" s="14"/>
    </row>
    <row r="1558" spans="2:9" ht="12.75" hidden="1" customHeight="1">
      <c r="B1558" s="14"/>
      <c r="C1558" s="14"/>
      <c r="D1558" s="14"/>
      <c r="E1558" s="14"/>
      <c r="F1558" s="14"/>
      <c r="G1558" s="14"/>
      <c r="H1558" s="79"/>
      <c r="I1558" s="14"/>
    </row>
    <row r="1559" spans="2:9" ht="12.75" hidden="1" customHeight="1">
      <c r="B1559" s="14"/>
      <c r="C1559" s="14"/>
      <c r="D1559" s="14"/>
      <c r="E1559" s="14"/>
      <c r="F1559" s="14"/>
      <c r="G1559" s="14"/>
      <c r="H1559" s="79"/>
      <c r="I1559" s="14"/>
    </row>
    <row r="1560" spans="2:9" ht="12.75" hidden="1" customHeight="1">
      <c r="B1560" s="14"/>
      <c r="C1560" s="14"/>
      <c r="D1560" s="14"/>
      <c r="E1560" s="14"/>
      <c r="F1560" s="14"/>
      <c r="G1560" s="14"/>
      <c r="H1560" s="79"/>
      <c r="I1560" s="14"/>
    </row>
    <row r="1561" spans="2:9" ht="12.75" hidden="1" customHeight="1">
      <c r="B1561" s="14"/>
      <c r="C1561" s="14"/>
      <c r="D1561" s="14"/>
      <c r="E1561" s="14"/>
      <c r="F1561" s="14"/>
      <c r="G1561" s="14"/>
      <c r="H1561" s="79"/>
      <c r="I1561" s="14"/>
    </row>
    <row r="1562" spans="2:9" ht="12.75" hidden="1" customHeight="1">
      <c r="B1562" s="14"/>
      <c r="C1562" s="14"/>
      <c r="D1562" s="14"/>
      <c r="E1562" s="14"/>
      <c r="F1562" s="14"/>
      <c r="G1562" s="14"/>
      <c r="H1562" s="79"/>
      <c r="I1562" s="14"/>
    </row>
    <row r="1563" spans="2:9" ht="12.75" hidden="1" customHeight="1">
      <c r="B1563" s="14"/>
      <c r="C1563" s="14"/>
      <c r="D1563" s="14"/>
      <c r="E1563" s="14"/>
      <c r="F1563" s="14"/>
      <c r="G1563" s="14"/>
      <c r="H1563" s="79"/>
      <c r="I1563" s="14"/>
    </row>
    <row r="1564" spans="2:9" ht="12.75" hidden="1" customHeight="1">
      <c r="B1564" s="14"/>
      <c r="C1564" s="14"/>
      <c r="D1564" s="14"/>
      <c r="E1564" s="14"/>
      <c r="F1564" s="14"/>
      <c r="G1564" s="14"/>
      <c r="H1564" s="79"/>
      <c r="I1564" s="14"/>
    </row>
    <row r="1565" spans="2:9" ht="12.75" hidden="1" customHeight="1">
      <c r="B1565" s="14"/>
      <c r="C1565" s="14"/>
      <c r="D1565" s="14"/>
      <c r="E1565" s="14"/>
      <c r="F1565" s="14"/>
      <c r="G1565" s="14"/>
      <c r="H1565" s="79"/>
      <c r="I1565" s="14"/>
    </row>
    <row r="1566" spans="2:9" ht="12.75" hidden="1" customHeight="1">
      <c r="B1566" s="14"/>
      <c r="C1566" s="14"/>
      <c r="D1566" s="14"/>
      <c r="E1566" s="14"/>
      <c r="F1566" s="14"/>
      <c r="G1566" s="14"/>
      <c r="H1566" s="79"/>
      <c r="I1566" s="14"/>
    </row>
    <row r="1567" spans="2:9" ht="12.75" hidden="1" customHeight="1">
      <c r="B1567" s="14"/>
      <c r="C1567" s="14"/>
      <c r="D1567" s="14"/>
      <c r="E1567" s="14"/>
      <c r="F1567" s="14"/>
      <c r="G1567" s="14"/>
      <c r="H1567" s="79"/>
      <c r="I1567" s="14"/>
    </row>
    <row r="1568" spans="2:9" ht="12.75" hidden="1" customHeight="1">
      <c r="B1568" s="14"/>
      <c r="C1568" s="14"/>
      <c r="D1568" s="14"/>
      <c r="E1568" s="14"/>
      <c r="F1568" s="14"/>
      <c r="G1568" s="14"/>
      <c r="H1568" s="79"/>
      <c r="I1568" s="14"/>
    </row>
    <row r="1569" spans="2:9" ht="12.75" hidden="1" customHeight="1">
      <c r="B1569" s="14"/>
      <c r="C1569" s="14"/>
      <c r="D1569" s="14"/>
      <c r="E1569" s="14"/>
      <c r="F1569" s="14"/>
      <c r="G1569" s="14"/>
      <c r="H1569" s="79"/>
      <c r="I1569" s="14"/>
    </row>
    <row r="1570" spans="2:9" ht="12.75" hidden="1" customHeight="1">
      <c r="B1570" s="14"/>
      <c r="C1570" s="14"/>
      <c r="D1570" s="14"/>
      <c r="E1570" s="14"/>
      <c r="F1570" s="14"/>
      <c r="G1570" s="14"/>
      <c r="H1570" s="79"/>
      <c r="I1570" s="14"/>
    </row>
    <row r="1571" spans="2:9" ht="12.75" hidden="1" customHeight="1">
      <c r="B1571" s="14"/>
      <c r="C1571" s="14"/>
      <c r="D1571" s="14"/>
      <c r="E1571" s="14"/>
      <c r="F1571" s="14"/>
      <c r="G1571" s="14"/>
      <c r="H1571" s="79"/>
      <c r="I1571" s="14"/>
    </row>
    <row r="1572" spans="2:9" ht="12.75" hidden="1" customHeight="1">
      <c r="B1572" s="14"/>
      <c r="C1572" s="14"/>
      <c r="D1572" s="14"/>
      <c r="E1572" s="14"/>
      <c r="F1572" s="14"/>
      <c r="G1572" s="14"/>
      <c r="H1572" s="79"/>
      <c r="I1572" s="14"/>
    </row>
    <row r="1573" spans="2:9" ht="12.75" hidden="1" customHeight="1">
      <c r="B1573" s="14"/>
      <c r="C1573" s="14"/>
      <c r="D1573" s="14"/>
      <c r="E1573" s="14"/>
      <c r="F1573" s="14"/>
      <c r="G1573" s="14"/>
      <c r="H1573" s="79"/>
      <c r="I1573" s="14"/>
    </row>
    <row r="1574" spans="2:9" ht="12.75" hidden="1" customHeight="1">
      <c r="B1574" s="14"/>
      <c r="C1574" s="14"/>
      <c r="D1574" s="14"/>
      <c r="E1574" s="14"/>
      <c r="F1574" s="14"/>
      <c r="G1574" s="14"/>
      <c r="H1574" s="79"/>
      <c r="I1574" s="14"/>
    </row>
    <row r="1575" spans="2:9" ht="12.75" hidden="1" customHeight="1">
      <c r="B1575" s="14"/>
      <c r="C1575" s="14"/>
      <c r="D1575" s="14"/>
      <c r="E1575" s="14"/>
      <c r="F1575" s="14"/>
      <c r="G1575" s="14"/>
      <c r="H1575" s="79"/>
      <c r="I1575" s="14"/>
    </row>
    <row r="1576" spans="2:9" ht="12.75" hidden="1" customHeight="1">
      <c r="B1576" s="14"/>
      <c r="C1576" s="14"/>
      <c r="D1576" s="14"/>
      <c r="E1576" s="14"/>
      <c r="F1576" s="14"/>
      <c r="G1576" s="14"/>
      <c r="H1576" s="79"/>
      <c r="I1576" s="14"/>
    </row>
    <row r="1577" spans="2:9" ht="12.75" hidden="1" customHeight="1">
      <c r="B1577" s="14"/>
      <c r="C1577" s="14"/>
      <c r="D1577" s="14"/>
      <c r="E1577" s="14"/>
      <c r="F1577" s="14"/>
      <c r="G1577" s="14"/>
      <c r="H1577" s="79"/>
      <c r="I1577" s="14"/>
    </row>
    <row r="1578" spans="2:9" ht="12.75" hidden="1" customHeight="1">
      <c r="B1578" s="14"/>
      <c r="C1578" s="14"/>
      <c r="D1578" s="14"/>
      <c r="E1578" s="14"/>
      <c r="F1578" s="14"/>
      <c r="G1578" s="14"/>
      <c r="H1578" s="79"/>
      <c r="I1578" s="14"/>
    </row>
    <row r="1579" spans="2:9" ht="12.75" hidden="1" customHeight="1">
      <c r="B1579" s="14"/>
      <c r="C1579" s="14"/>
      <c r="D1579" s="14"/>
      <c r="E1579" s="14"/>
      <c r="F1579" s="14"/>
      <c r="G1579" s="14"/>
      <c r="H1579" s="79"/>
      <c r="I1579" s="14"/>
    </row>
    <row r="1580" spans="2:9" ht="12.75" hidden="1" customHeight="1">
      <c r="B1580" s="14"/>
      <c r="C1580" s="14"/>
      <c r="D1580" s="14"/>
      <c r="E1580" s="14"/>
      <c r="F1580" s="14"/>
      <c r="G1580" s="14"/>
      <c r="H1580" s="79"/>
      <c r="I1580" s="14"/>
    </row>
    <row r="1581" spans="2:9" ht="12.75" hidden="1" customHeight="1">
      <c r="B1581" s="14"/>
      <c r="C1581" s="14"/>
      <c r="D1581" s="14"/>
      <c r="E1581" s="14"/>
      <c r="F1581" s="14"/>
      <c r="G1581" s="14"/>
      <c r="H1581" s="79"/>
      <c r="I1581" s="14"/>
    </row>
    <row r="1582" spans="2:9" ht="12.75" hidden="1" customHeight="1">
      <c r="B1582" s="14"/>
      <c r="C1582" s="14"/>
      <c r="D1582" s="14"/>
      <c r="E1582" s="14"/>
      <c r="F1582" s="14"/>
      <c r="G1582" s="14"/>
      <c r="H1582" s="79"/>
      <c r="I1582" s="14"/>
    </row>
    <row r="1583" spans="2:9" ht="12.75" hidden="1" customHeight="1">
      <c r="B1583" s="14"/>
      <c r="C1583" s="14"/>
      <c r="D1583" s="14"/>
      <c r="E1583" s="14"/>
      <c r="F1583" s="14"/>
      <c r="G1583" s="14"/>
      <c r="H1583" s="79"/>
      <c r="I1583" s="14"/>
    </row>
    <row r="1584" spans="2:9" ht="12.75" hidden="1" customHeight="1">
      <c r="B1584" s="14"/>
      <c r="C1584" s="14"/>
      <c r="D1584" s="14"/>
      <c r="E1584" s="14"/>
      <c r="F1584" s="14"/>
      <c r="G1584" s="14"/>
      <c r="H1584" s="79"/>
      <c r="I1584" s="14"/>
    </row>
    <row r="1585" spans="2:9" ht="12.75" hidden="1" customHeight="1">
      <c r="B1585" s="14"/>
      <c r="C1585" s="14"/>
      <c r="D1585" s="14"/>
      <c r="E1585" s="14"/>
      <c r="F1585" s="14"/>
      <c r="G1585" s="14"/>
      <c r="H1585" s="79"/>
      <c r="I1585" s="14"/>
    </row>
    <row r="1586" spans="2:9" ht="12.75" hidden="1" customHeight="1">
      <c r="B1586" s="14"/>
      <c r="C1586" s="14"/>
      <c r="D1586" s="14"/>
      <c r="E1586" s="14"/>
      <c r="F1586" s="14"/>
      <c r="G1586" s="14"/>
      <c r="H1586" s="79"/>
      <c r="I1586" s="14"/>
    </row>
    <row r="1587" spans="2:9" ht="12.75" hidden="1" customHeight="1">
      <c r="B1587" s="14"/>
      <c r="C1587" s="14"/>
      <c r="D1587" s="14"/>
      <c r="E1587" s="14"/>
      <c r="F1587" s="14"/>
      <c r="G1587" s="14"/>
      <c r="H1587" s="79"/>
      <c r="I1587" s="14"/>
    </row>
    <row r="1588" spans="2:9" ht="12.75" hidden="1" customHeight="1">
      <c r="B1588" s="14"/>
      <c r="C1588" s="14"/>
      <c r="D1588" s="14"/>
      <c r="E1588" s="14"/>
      <c r="F1588" s="14"/>
      <c r="G1588" s="14"/>
      <c r="H1588" s="79"/>
      <c r="I1588" s="14"/>
    </row>
    <row r="1589" spans="2:9" ht="12.75" hidden="1" customHeight="1">
      <c r="B1589" s="14"/>
      <c r="C1589" s="14"/>
      <c r="D1589" s="14"/>
      <c r="E1589" s="14"/>
      <c r="F1589" s="14"/>
      <c r="G1589" s="14"/>
      <c r="H1589" s="79"/>
      <c r="I1589" s="14"/>
    </row>
    <row r="1590" spans="2:9" ht="12.75" hidden="1" customHeight="1">
      <c r="B1590" s="14"/>
      <c r="C1590" s="14"/>
      <c r="D1590" s="14"/>
      <c r="E1590" s="14"/>
      <c r="F1590" s="14"/>
      <c r="G1590" s="14"/>
      <c r="H1590" s="79"/>
      <c r="I1590" s="14"/>
    </row>
    <row r="1591" spans="2:9" ht="12.75" hidden="1" customHeight="1">
      <c r="B1591" s="14"/>
      <c r="C1591" s="14"/>
      <c r="D1591" s="14"/>
      <c r="E1591" s="14"/>
      <c r="F1591" s="14"/>
      <c r="G1591" s="14"/>
      <c r="H1591" s="79"/>
      <c r="I1591" s="14"/>
    </row>
    <row r="1592" spans="2:9" ht="12.75" hidden="1" customHeight="1">
      <c r="B1592" s="14"/>
      <c r="C1592" s="14"/>
      <c r="D1592" s="14"/>
      <c r="E1592" s="14"/>
      <c r="F1592" s="14"/>
      <c r="G1592" s="14"/>
      <c r="H1592" s="79"/>
      <c r="I1592" s="14"/>
    </row>
    <row r="1593" spans="2:9" ht="12.75" hidden="1" customHeight="1">
      <c r="B1593" s="14"/>
      <c r="C1593" s="14"/>
      <c r="D1593" s="14"/>
      <c r="E1593" s="14"/>
      <c r="F1593" s="14"/>
      <c r="G1593" s="14"/>
      <c r="H1593" s="79"/>
      <c r="I1593" s="14"/>
    </row>
    <row r="1594" spans="2:9" ht="12.75" hidden="1" customHeight="1">
      <c r="B1594" s="14"/>
      <c r="C1594" s="14"/>
      <c r="D1594" s="14"/>
      <c r="E1594" s="14"/>
      <c r="F1594" s="14"/>
      <c r="G1594" s="14"/>
      <c r="H1594" s="79"/>
      <c r="I1594" s="14"/>
    </row>
    <row r="1595" spans="2:9" ht="12.75" hidden="1" customHeight="1">
      <c r="B1595" s="14"/>
      <c r="C1595" s="14"/>
      <c r="D1595" s="14"/>
      <c r="E1595" s="14"/>
      <c r="F1595" s="14"/>
      <c r="G1595" s="14"/>
      <c r="H1595" s="79"/>
      <c r="I1595" s="14"/>
    </row>
    <row r="1596" spans="2:9" ht="12.75" hidden="1" customHeight="1">
      <c r="B1596" s="14"/>
      <c r="C1596" s="14"/>
      <c r="D1596" s="14"/>
      <c r="E1596" s="14"/>
      <c r="F1596" s="14"/>
      <c r="G1596" s="14"/>
      <c r="H1596" s="79"/>
      <c r="I1596" s="14"/>
    </row>
    <row r="1597" spans="2:9" ht="12.75" hidden="1" customHeight="1">
      <c r="B1597" s="14"/>
      <c r="C1597" s="14"/>
      <c r="D1597" s="14"/>
      <c r="E1597" s="14"/>
      <c r="F1597" s="14"/>
      <c r="G1597" s="14"/>
      <c r="H1597" s="79"/>
      <c r="I1597" s="14"/>
    </row>
    <row r="1598" spans="2:9" ht="12.75" hidden="1" customHeight="1">
      <c r="B1598" s="14"/>
      <c r="C1598" s="14"/>
      <c r="D1598" s="14"/>
      <c r="E1598" s="14"/>
      <c r="F1598" s="14"/>
      <c r="G1598" s="14"/>
      <c r="H1598" s="79"/>
      <c r="I1598" s="14"/>
    </row>
    <row r="1599" spans="2:9" ht="12.75" hidden="1" customHeight="1">
      <c r="B1599" s="14"/>
      <c r="C1599" s="14"/>
      <c r="D1599" s="14"/>
      <c r="E1599" s="14"/>
      <c r="F1599" s="14"/>
      <c r="G1599" s="14"/>
      <c r="H1599" s="79"/>
      <c r="I1599" s="14"/>
    </row>
    <row r="1600" spans="2:9" ht="12.75" hidden="1" customHeight="1">
      <c r="B1600" s="14"/>
      <c r="C1600" s="14"/>
      <c r="D1600" s="14"/>
      <c r="E1600" s="14"/>
      <c r="F1600" s="14"/>
      <c r="G1600" s="14"/>
      <c r="H1600" s="79"/>
      <c r="I1600" s="14"/>
    </row>
    <row r="1601" spans="2:9" ht="12.75" hidden="1" customHeight="1">
      <c r="B1601" s="14"/>
      <c r="C1601" s="14"/>
      <c r="D1601" s="14"/>
      <c r="E1601" s="14"/>
      <c r="F1601" s="14"/>
      <c r="G1601" s="14"/>
      <c r="H1601" s="79"/>
      <c r="I1601" s="14"/>
    </row>
    <row r="1602" spans="2:9" ht="12.75" hidden="1" customHeight="1">
      <c r="B1602" s="14"/>
      <c r="C1602" s="14"/>
      <c r="D1602" s="14"/>
      <c r="E1602" s="14"/>
      <c r="F1602" s="14"/>
      <c r="G1602" s="14"/>
      <c r="H1602" s="79"/>
      <c r="I1602" s="14"/>
    </row>
    <row r="1603" spans="2:9" ht="12.75" hidden="1" customHeight="1">
      <c r="B1603" s="14"/>
      <c r="C1603" s="14"/>
      <c r="D1603" s="14"/>
      <c r="E1603" s="14"/>
      <c r="F1603" s="14"/>
      <c r="G1603" s="14"/>
      <c r="H1603" s="79"/>
      <c r="I1603" s="14"/>
    </row>
    <row r="1604" spans="2:9" ht="12.75" hidden="1" customHeight="1">
      <c r="B1604" s="14"/>
      <c r="C1604" s="14"/>
      <c r="D1604" s="14"/>
      <c r="E1604" s="14"/>
      <c r="F1604" s="14"/>
      <c r="G1604" s="14"/>
      <c r="H1604" s="79"/>
      <c r="I1604" s="14"/>
    </row>
    <row r="1605" spans="2:9" ht="12.75" hidden="1" customHeight="1">
      <c r="B1605" s="14"/>
      <c r="C1605" s="14"/>
      <c r="D1605" s="14"/>
      <c r="E1605" s="14"/>
      <c r="F1605" s="14"/>
      <c r="G1605" s="14"/>
      <c r="H1605" s="79"/>
      <c r="I1605" s="14"/>
    </row>
    <row r="1606" spans="2:9" ht="12.75" hidden="1" customHeight="1">
      <c r="B1606" s="14"/>
      <c r="C1606" s="14"/>
      <c r="D1606" s="14"/>
      <c r="E1606" s="14"/>
      <c r="F1606" s="14"/>
      <c r="G1606" s="14"/>
      <c r="H1606" s="79"/>
      <c r="I1606" s="14"/>
    </row>
    <row r="1607" spans="2:9" ht="12.75" hidden="1" customHeight="1">
      <c r="B1607" s="14"/>
      <c r="C1607" s="14"/>
      <c r="D1607" s="14"/>
      <c r="E1607" s="14"/>
      <c r="F1607" s="14"/>
      <c r="G1607" s="14"/>
      <c r="H1607" s="79"/>
      <c r="I1607" s="14"/>
    </row>
    <row r="1608" spans="2:9" ht="12.75" hidden="1" customHeight="1">
      <c r="B1608" s="14"/>
      <c r="C1608" s="14"/>
      <c r="D1608" s="14"/>
      <c r="E1608" s="14"/>
      <c r="F1608" s="14"/>
      <c r="G1608" s="14"/>
      <c r="H1608" s="79"/>
      <c r="I1608" s="14"/>
    </row>
    <row r="1609" spans="2:9" ht="12.75" hidden="1" customHeight="1">
      <c r="B1609" s="14"/>
      <c r="C1609" s="14"/>
      <c r="D1609" s="14"/>
      <c r="E1609" s="14"/>
      <c r="F1609" s="14"/>
      <c r="G1609" s="14"/>
      <c r="H1609" s="79"/>
      <c r="I1609" s="14"/>
    </row>
    <row r="1610" spans="2:9" ht="12.75" hidden="1" customHeight="1">
      <c r="B1610" s="14"/>
      <c r="C1610" s="14"/>
      <c r="D1610" s="14"/>
      <c r="E1610" s="14"/>
      <c r="F1610" s="14"/>
      <c r="G1610" s="14"/>
      <c r="H1610" s="79"/>
      <c r="I1610" s="14"/>
    </row>
    <row r="1611" spans="2:9" ht="12.75" hidden="1" customHeight="1">
      <c r="B1611" s="14"/>
      <c r="C1611" s="14"/>
      <c r="D1611" s="14"/>
      <c r="E1611" s="14"/>
      <c r="F1611" s="14"/>
      <c r="G1611" s="14"/>
      <c r="H1611" s="79"/>
      <c r="I1611" s="14"/>
    </row>
    <row r="1612" spans="2:9" ht="12.75" hidden="1" customHeight="1">
      <c r="B1612" s="14"/>
      <c r="C1612" s="14"/>
      <c r="D1612" s="14"/>
      <c r="E1612" s="14"/>
      <c r="F1612" s="14"/>
      <c r="G1612" s="14"/>
      <c r="H1612" s="79"/>
      <c r="I1612" s="14"/>
    </row>
    <row r="1613" spans="2:9" ht="12.75" hidden="1" customHeight="1">
      <c r="B1613" s="14"/>
      <c r="C1613" s="14"/>
      <c r="D1613" s="14"/>
      <c r="E1613" s="14"/>
      <c r="F1613" s="14"/>
      <c r="G1613" s="14"/>
      <c r="H1613" s="79"/>
      <c r="I1613" s="14"/>
    </row>
    <row r="1614" spans="2:9" ht="12.75" hidden="1" customHeight="1">
      <c r="B1614" s="14"/>
      <c r="C1614" s="14"/>
      <c r="D1614" s="14"/>
      <c r="E1614" s="14"/>
      <c r="F1614" s="14"/>
      <c r="G1614" s="14"/>
      <c r="H1614" s="79"/>
      <c r="I1614" s="14"/>
    </row>
    <row r="1615" spans="2:9" ht="12.75" hidden="1" customHeight="1">
      <c r="B1615" s="14"/>
      <c r="C1615" s="14"/>
      <c r="D1615" s="14"/>
      <c r="E1615" s="14"/>
      <c r="F1615" s="14"/>
      <c r="G1615" s="14"/>
      <c r="H1615" s="79"/>
      <c r="I1615" s="14"/>
    </row>
    <row r="1616" spans="2:9" ht="12.75" hidden="1" customHeight="1">
      <c r="B1616" s="14"/>
      <c r="C1616" s="14"/>
      <c r="D1616" s="14"/>
      <c r="E1616" s="14"/>
      <c r="F1616" s="14"/>
      <c r="G1616" s="14"/>
      <c r="H1616" s="79"/>
      <c r="I1616" s="14"/>
    </row>
    <row r="1617" spans="2:9" ht="12.75" hidden="1" customHeight="1">
      <c r="B1617" s="14"/>
      <c r="C1617" s="14"/>
      <c r="D1617" s="14"/>
      <c r="E1617" s="14"/>
      <c r="F1617" s="14"/>
      <c r="G1617" s="14"/>
      <c r="H1617" s="79"/>
      <c r="I1617" s="14"/>
    </row>
    <row r="1618" spans="2:9" ht="12.75" hidden="1" customHeight="1">
      <c r="B1618" s="14"/>
      <c r="C1618" s="14"/>
      <c r="D1618" s="14"/>
      <c r="E1618" s="14"/>
      <c r="F1618" s="14"/>
      <c r="G1618" s="14"/>
      <c r="H1618" s="79"/>
      <c r="I1618" s="14"/>
    </row>
    <row r="1619" spans="2:9" ht="12.75" hidden="1" customHeight="1">
      <c r="B1619" s="14"/>
      <c r="C1619" s="14"/>
      <c r="D1619" s="14"/>
      <c r="E1619" s="14"/>
      <c r="F1619" s="14"/>
      <c r="G1619" s="14"/>
      <c r="H1619" s="79"/>
      <c r="I1619" s="14"/>
    </row>
    <row r="1620" spans="2:9" ht="12.75" hidden="1" customHeight="1">
      <c r="B1620" s="14"/>
      <c r="C1620" s="14"/>
      <c r="D1620" s="14"/>
      <c r="E1620" s="14"/>
      <c r="F1620" s="14"/>
      <c r="G1620" s="14"/>
      <c r="H1620" s="79"/>
      <c r="I1620" s="14"/>
    </row>
    <row r="1621" spans="2:9" ht="12.75" hidden="1" customHeight="1">
      <c r="B1621" s="14"/>
      <c r="C1621" s="14"/>
      <c r="D1621" s="14"/>
      <c r="E1621" s="14"/>
      <c r="F1621" s="14"/>
      <c r="G1621" s="14"/>
      <c r="H1621" s="79"/>
      <c r="I1621" s="14"/>
    </row>
    <row r="1622" spans="2:9" ht="12.75" hidden="1" customHeight="1">
      <c r="B1622" s="14"/>
      <c r="C1622" s="14"/>
      <c r="D1622" s="14"/>
      <c r="E1622" s="14"/>
      <c r="F1622" s="14"/>
      <c r="G1622" s="14"/>
      <c r="H1622" s="79"/>
      <c r="I1622" s="14"/>
    </row>
    <row r="1623" spans="2:9" ht="12.75" hidden="1" customHeight="1">
      <c r="B1623" s="14"/>
      <c r="C1623" s="14"/>
      <c r="D1623" s="14"/>
      <c r="E1623" s="14"/>
      <c r="F1623" s="14"/>
      <c r="G1623" s="14"/>
      <c r="H1623" s="79"/>
      <c r="I1623" s="14"/>
    </row>
    <row r="1624" spans="2:9" ht="12.75" hidden="1" customHeight="1">
      <c r="B1624" s="14"/>
      <c r="C1624" s="14"/>
      <c r="D1624" s="14"/>
      <c r="E1624" s="14"/>
      <c r="F1624" s="14"/>
      <c r="G1624" s="14"/>
      <c r="H1624" s="79"/>
      <c r="I1624" s="14"/>
    </row>
    <row r="1625" spans="2:9" ht="12.75" hidden="1" customHeight="1">
      <c r="B1625" s="14"/>
      <c r="C1625" s="14"/>
      <c r="D1625" s="14"/>
      <c r="E1625" s="14"/>
      <c r="F1625" s="14"/>
      <c r="G1625" s="14"/>
      <c r="H1625" s="79"/>
      <c r="I1625" s="14"/>
    </row>
    <row r="1626" spans="2:9" ht="12.75" hidden="1" customHeight="1">
      <c r="B1626" s="14"/>
      <c r="C1626" s="14"/>
      <c r="D1626" s="14"/>
      <c r="E1626" s="14"/>
      <c r="F1626" s="14"/>
      <c r="G1626" s="14"/>
      <c r="H1626" s="79"/>
      <c r="I1626" s="14"/>
    </row>
    <row r="1627" spans="2:9" ht="12.75" hidden="1" customHeight="1">
      <c r="B1627" s="14"/>
      <c r="C1627" s="14"/>
      <c r="D1627" s="14"/>
      <c r="E1627" s="14"/>
      <c r="F1627" s="14"/>
      <c r="G1627" s="14"/>
      <c r="H1627" s="79"/>
      <c r="I1627" s="14"/>
    </row>
    <row r="1628" spans="2:9" ht="12.75" hidden="1" customHeight="1">
      <c r="B1628" s="14"/>
      <c r="C1628" s="14"/>
      <c r="D1628" s="14"/>
      <c r="E1628" s="14"/>
      <c r="F1628" s="14"/>
      <c r="G1628" s="14"/>
      <c r="H1628" s="79"/>
      <c r="I1628" s="14"/>
    </row>
    <row r="1629" spans="2:9" ht="12.75" hidden="1" customHeight="1">
      <c r="B1629" s="14"/>
      <c r="C1629" s="14"/>
      <c r="D1629" s="14"/>
      <c r="E1629" s="14"/>
      <c r="F1629" s="14"/>
      <c r="G1629" s="14"/>
      <c r="H1629" s="79"/>
      <c r="I1629" s="14"/>
    </row>
    <row r="1630" spans="2:9" ht="12.75" hidden="1" customHeight="1">
      <c r="B1630" s="14"/>
      <c r="C1630" s="14"/>
      <c r="D1630" s="14"/>
      <c r="E1630" s="14"/>
      <c r="F1630" s="14"/>
      <c r="G1630" s="14"/>
      <c r="H1630" s="79"/>
      <c r="I1630" s="14"/>
    </row>
    <row r="1631" spans="2:9" ht="12.75" hidden="1" customHeight="1">
      <c r="B1631" s="14"/>
      <c r="C1631" s="14"/>
      <c r="D1631" s="14"/>
      <c r="E1631" s="14"/>
      <c r="F1631" s="14"/>
      <c r="G1631" s="14"/>
      <c r="H1631" s="79"/>
      <c r="I1631" s="14"/>
    </row>
    <row r="1632" spans="2:9" ht="12.75" hidden="1" customHeight="1">
      <c r="B1632" s="14"/>
      <c r="C1632" s="14"/>
      <c r="D1632" s="14"/>
      <c r="E1632" s="14"/>
      <c r="F1632" s="14"/>
      <c r="G1632" s="14"/>
      <c r="H1632" s="79"/>
      <c r="I1632" s="14"/>
    </row>
    <row r="1633" spans="2:9" ht="12.75" hidden="1" customHeight="1">
      <c r="B1633" s="14"/>
      <c r="C1633" s="14"/>
      <c r="D1633" s="14"/>
      <c r="E1633" s="14"/>
      <c r="F1633" s="14"/>
      <c r="G1633" s="14"/>
      <c r="H1633" s="79"/>
      <c r="I1633" s="14"/>
    </row>
    <row r="1634" spans="2:9" ht="12.75" hidden="1" customHeight="1">
      <c r="B1634" s="14"/>
      <c r="C1634" s="14"/>
      <c r="D1634" s="14"/>
      <c r="E1634" s="14"/>
      <c r="F1634" s="14"/>
      <c r="G1634" s="14"/>
      <c r="H1634" s="79"/>
      <c r="I1634" s="14"/>
    </row>
    <row r="1635" spans="2:9" ht="12.75" hidden="1" customHeight="1">
      <c r="B1635" s="14"/>
      <c r="C1635" s="14"/>
      <c r="D1635" s="14"/>
      <c r="E1635" s="14"/>
      <c r="F1635" s="14"/>
      <c r="G1635" s="14"/>
      <c r="H1635" s="79"/>
      <c r="I1635" s="14"/>
    </row>
    <row r="1636" spans="2:9" ht="12.75" hidden="1" customHeight="1">
      <c r="B1636" s="14"/>
      <c r="C1636" s="14"/>
      <c r="D1636" s="14"/>
      <c r="E1636" s="14"/>
      <c r="F1636" s="14"/>
      <c r="G1636" s="14"/>
      <c r="H1636" s="79"/>
      <c r="I1636" s="14"/>
    </row>
    <row r="1637" spans="2:9" ht="12.75" hidden="1" customHeight="1">
      <c r="B1637" s="14"/>
      <c r="C1637" s="14"/>
      <c r="D1637" s="14"/>
      <c r="E1637" s="14"/>
      <c r="F1637" s="14"/>
      <c r="G1637" s="14"/>
      <c r="H1637" s="79"/>
      <c r="I1637" s="14"/>
    </row>
    <row r="1638" spans="2:9" ht="12.75" hidden="1" customHeight="1">
      <c r="B1638" s="14"/>
      <c r="C1638" s="14"/>
      <c r="D1638" s="14"/>
      <c r="E1638" s="14"/>
      <c r="F1638" s="14"/>
      <c r="G1638" s="14"/>
      <c r="H1638" s="79"/>
      <c r="I1638" s="14"/>
    </row>
    <row r="1639" spans="2:9" ht="12.75" hidden="1" customHeight="1">
      <c r="B1639" s="14"/>
      <c r="C1639" s="14"/>
      <c r="D1639" s="14"/>
      <c r="E1639" s="14"/>
      <c r="F1639" s="14"/>
      <c r="G1639" s="14"/>
      <c r="H1639" s="79"/>
      <c r="I1639" s="14"/>
    </row>
    <row r="1640" spans="2:9" ht="12.75" hidden="1" customHeight="1">
      <c r="B1640" s="14"/>
      <c r="C1640" s="14"/>
      <c r="D1640" s="14"/>
      <c r="E1640" s="14"/>
      <c r="F1640" s="14"/>
      <c r="G1640" s="14"/>
      <c r="H1640" s="79"/>
      <c r="I1640" s="14"/>
    </row>
    <row r="1641" spans="2:9" ht="12.75" hidden="1" customHeight="1">
      <c r="B1641" s="14"/>
      <c r="C1641" s="14"/>
      <c r="D1641" s="14"/>
      <c r="E1641" s="14"/>
      <c r="F1641" s="14"/>
      <c r="G1641" s="14"/>
      <c r="H1641" s="79"/>
      <c r="I1641" s="14"/>
    </row>
    <row r="1642" spans="2:9" ht="12.75" hidden="1" customHeight="1">
      <c r="B1642" s="14"/>
      <c r="C1642" s="14"/>
      <c r="D1642" s="14"/>
      <c r="E1642" s="14"/>
      <c r="F1642" s="14"/>
      <c r="G1642" s="14"/>
      <c r="H1642" s="79"/>
      <c r="I1642" s="14"/>
    </row>
    <row r="1643" spans="2:9" ht="12.75" hidden="1" customHeight="1">
      <c r="B1643" s="14"/>
      <c r="C1643" s="14"/>
      <c r="D1643" s="14"/>
      <c r="E1643" s="14"/>
      <c r="F1643" s="14"/>
      <c r="G1643" s="14"/>
      <c r="H1643" s="79"/>
      <c r="I1643" s="14"/>
    </row>
    <row r="1644" spans="2:9" ht="12.75" hidden="1" customHeight="1">
      <c r="B1644" s="14"/>
      <c r="C1644" s="14"/>
      <c r="D1644" s="14"/>
      <c r="E1644" s="14"/>
      <c r="F1644" s="14"/>
      <c r="G1644" s="14"/>
      <c r="H1644" s="79"/>
      <c r="I1644" s="14"/>
    </row>
    <row r="1645" spans="2:9" ht="12.75" hidden="1" customHeight="1">
      <c r="B1645" s="14"/>
      <c r="C1645" s="14"/>
      <c r="D1645" s="14"/>
      <c r="E1645" s="14"/>
      <c r="F1645" s="14"/>
      <c r="G1645" s="14"/>
      <c r="H1645" s="79"/>
      <c r="I1645" s="14"/>
    </row>
    <row r="1646" spans="2:9" ht="12.75" hidden="1" customHeight="1">
      <c r="B1646" s="14"/>
      <c r="C1646" s="14"/>
      <c r="D1646" s="14"/>
      <c r="E1646" s="14"/>
      <c r="F1646" s="14"/>
      <c r="G1646" s="14"/>
      <c r="H1646" s="79"/>
      <c r="I1646" s="14"/>
    </row>
    <row r="1647" spans="2:9" ht="12.75" hidden="1" customHeight="1">
      <c r="B1647" s="14"/>
      <c r="C1647" s="14"/>
      <c r="D1647" s="14"/>
      <c r="E1647" s="14"/>
      <c r="F1647" s="14"/>
      <c r="G1647" s="14"/>
      <c r="H1647" s="79"/>
      <c r="I1647" s="14"/>
    </row>
    <row r="1648" spans="2:9" ht="12.75" hidden="1" customHeight="1">
      <c r="B1648" s="14"/>
      <c r="C1648" s="14"/>
      <c r="D1648" s="14"/>
      <c r="E1648" s="14"/>
      <c r="F1648" s="14"/>
      <c r="G1648" s="14"/>
      <c r="H1648" s="79"/>
      <c r="I1648" s="14"/>
    </row>
    <row r="1649" spans="2:9" ht="12.75" hidden="1" customHeight="1">
      <c r="B1649" s="14"/>
      <c r="C1649" s="14"/>
      <c r="D1649" s="14"/>
      <c r="E1649" s="14"/>
      <c r="F1649" s="14"/>
      <c r="G1649" s="14"/>
      <c r="H1649" s="79"/>
      <c r="I1649" s="14"/>
    </row>
    <row r="1650" spans="2:9" ht="12.75" hidden="1" customHeight="1">
      <c r="B1650" s="14"/>
      <c r="C1650" s="14"/>
      <c r="D1650" s="14"/>
      <c r="E1650" s="14"/>
      <c r="F1650" s="14"/>
      <c r="G1650" s="14"/>
      <c r="H1650" s="79"/>
      <c r="I1650" s="14"/>
    </row>
    <row r="1651" spans="2:9" ht="12.75" hidden="1" customHeight="1">
      <c r="B1651" s="14"/>
      <c r="C1651" s="14"/>
      <c r="D1651" s="14"/>
      <c r="E1651" s="14"/>
      <c r="F1651" s="14"/>
      <c r="G1651" s="14"/>
      <c r="H1651" s="79"/>
      <c r="I1651" s="14"/>
    </row>
    <row r="1652" spans="2:9" ht="12.75" hidden="1" customHeight="1">
      <c r="B1652" s="14"/>
      <c r="C1652" s="14"/>
      <c r="D1652" s="14"/>
      <c r="E1652" s="14"/>
      <c r="F1652" s="14"/>
      <c r="G1652" s="14"/>
      <c r="H1652" s="79"/>
      <c r="I1652" s="14"/>
    </row>
    <row r="1653" spans="2:9" ht="12.75" hidden="1" customHeight="1">
      <c r="B1653" s="14"/>
      <c r="C1653" s="14"/>
      <c r="D1653" s="14"/>
      <c r="E1653" s="14"/>
      <c r="F1653" s="14"/>
      <c r="G1653" s="14"/>
      <c r="H1653" s="79"/>
      <c r="I1653" s="14"/>
    </row>
    <row r="1654" spans="2:9" ht="12.75" hidden="1" customHeight="1">
      <c r="B1654" s="14"/>
      <c r="C1654" s="14"/>
      <c r="D1654" s="14"/>
      <c r="E1654" s="14"/>
      <c r="F1654" s="14"/>
      <c r="G1654" s="14"/>
      <c r="H1654" s="79"/>
      <c r="I1654" s="14"/>
    </row>
    <row r="1655" spans="2:9" ht="12.75" hidden="1" customHeight="1">
      <c r="B1655" s="14"/>
      <c r="C1655" s="14"/>
      <c r="D1655" s="14"/>
      <c r="E1655" s="14"/>
      <c r="F1655" s="14"/>
      <c r="G1655" s="14"/>
      <c r="H1655" s="79"/>
      <c r="I1655" s="14"/>
    </row>
    <row r="1656" spans="2:9" ht="12.75" hidden="1" customHeight="1">
      <c r="B1656" s="14"/>
      <c r="C1656" s="14"/>
      <c r="D1656" s="14"/>
      <c r="E1656" s="14"/>
      <c r="F1656" s="14"/>
      <c r="G1656" s="14"/>
      <c r="H1656" s="79"/>
      <c r="I1656" s="14"/>
    </row>
    <row r="1657" spans="2:9" ht="12.75" hidden="1" customHeight="1">
      <c r="B1657" s="14"/>
      <c r="C1657" s="14"/>
      <c r="D1657" s="14"/>
      <c r="E1657" s="14"/>
      <c r="F1657" s="14"/>
      <c r="G1657" s="14"/>
      <c r="H1657" s="79"/>
      <c r="I1657" s="14"/>
    </row>
    <row r="1658" spans="2:9" ht="12.75" hidden="1" customHeight="1">
      <c r="B1658" s="14"/>
      <c r="C1658" s="14"/>
      <c r="D1658" s="14"/>
      <c r="E1658" s="14"/>
      <c r="F1658" s="14"/>
      <c r="G1658" s="14"/>
      <c r="H1658" s="79"/>
      <c r="I1658" s="14"/>
    </row>
    <row r="1659" spans="2:9" ht="12.75" hidden="1" customHeight="1">
      <c r="B1659" s="14"/>
      <c r="C1659" s="14"/>
      <c r="D1659" s="14"/>
      <c r="E1659" s="14"/>
      <c r="F1659" s="14"/>
      <c r="G1659" s="14"/>
      <c r="H1659" s="79"/>
      <c r="I1659" s="14"/>
    </row>
    <row r="1660" spans="2:9" ht="12.75" hidden="1" customHeight="1">
      <c r="B1660" s="14"/>
      <c r="C1660" s="14"/>
      <c r="D1660" s="14"/>
      <c r="E1660" s="14"/>
      <c r="F1660" s="14"/>
      <c r="G1660" s="14"/>
      <c r="H1660" s="79"/>
      <c r="I1660" s="14"/>
    </row>
    <row r="1661" spans="2:9" ht="12.75" hidden="1" customHeight="1">
      <c r="B1661" s="14"/>
      <c r="C1661" s="14"/>
      <c r="D1661" s="14"/>
      <c r="E1661" s="14"/>
      <c r="F1661" s="14"/>
      <c r="G1661" s="14"/>
      <c r="H1661" s="79"/>
      <c r="I1661" s="14"/>
    </row>
    <row r="1662" spans="2:9" ht="12.75" hidden="1" customHeight="1">
      <c r="B1662" s="14"/>
      <c r="C1662" s="14"/>
      <c r="D1662" s="14"/>
      <c r="E1662" s="14"/>
      <c r="F1662" s="14"/>
      <c r="G1662" s="14"/>
      <c r="H1662" s="79"/>
      <c r="I1662" s="14"/>
    </row>
    <row r="1663" spans="2:9" ht="12.75" hidden="1" customHeight="1">
      <c r="B1663" s="14"/>
      <c r="C1663" s="14"/>
      <c r="D1663" s="14"/>
      <c r="E1663" s="14"/>
      <c r="F1663" s="14"/>
      <c r="G1663" s="14"/>
      <c r="H1663" s="79"/>
      <c r="I1663" s="14"/>
    </row>
    <row r="1664" spans="2:9" ht="12.75" hidden="1" customHeight="1">
      <c r="B1664" s="14"/>
      <c r="C1664" s="14"/>
      <c r="D1664" s="14"/>
      <c r="E1664" s="14"/>
      <c r="F1664" s="14"/>
      <c r="G1664" s="14"/>
      <c r="H1664" s="79"/>
      <c r="I1664" s="14"/>
    </row>
    <row r="1665" spans="2:9" ht="12.75" hidden="1" customHeight="1">
      <c r="B1665" s="14"/>
      <c r="C1665" s="14"/>
      <c r="D1665" s="14"/>
      <c r="E1665" s="14"/>
      <c r="F1665" s="14"/>
      <c r="G1665" s="14"/>
      <c r="H1665" s="79"/>
      <c r="I1665" s="14"/>
    </row>
    <row r="1666" spans="2:9" ht="12.75" hidden="1" customHeight="1">
      <c r="B1666" s="14"/>
      <c r="C1666" s="14"/>
      <c r="D1666" s="14"/>
      <c r="E1666" s="14"/>
      <c r="F1666" s="14"/>
      <c r="G1666" s="14"/>
      <c r="H1666" s="79"/>
      <c r="I1666" s="14"/>
    </row>
    <row r="1667" spans="2:9" ht="12.75" hidden="1" customHeight="1">
      <c r="B1667" s="14"/>
      <c r="C1667" s="14"/>
      <c r="D1667" s="14"/>
      <c r="E1667" s="14"/>
      <c r="F1667" s="14"/>
      <c r="G1667" s="14"/>
      <c r="H1667" s="79"/>
      <c r="I1667" s="14"/>
    </row>
    <row r="1668" spans="2:9" ht="12.75" hidden="1" customHeight="1">
      <c r="B1668" s="14"/>
      <c r="C1668" s="14"/>
      <c r="D1668" s="14"/>
      <c r="E1668" s="14"/>
      <c r="F1668" s="14"/>
      <c r="G1668" s="14"/>
      <c r="H1668" s="79"/>
      <c r="I1668" s="14"/>
    </row>
    <row r="1669" spans="2:9" ht="12.75" hidden="1" customHeight="1">
      <c r="B1669" s="14"/>
      <c r="C1669" s="14"/>
      <c r="D1669" s="14"/>
      <c r="E1669" s="14"/>
      <c r="F1669" s="14"/>
      <c r="G1669" s="14"/>
      <c r="H1669" s="79"/>
      <c r="I1669" s="14"/>
    </row>
    <row r="1670" spans="2:9" ht="12.75" hidden="1" customHeight="1">
      <c r="B1670" s="14"/>
      <c r="C1670" s="14"/>
      <c r="D1670" s="14"/>
      <c r="E1670" s="14"/>
      <c r="F1670" s="14"/>
      <c r="G1670" s="14"/>
      <c r="H1670" s="79"/>
      <c r="I1670" s="14"/>
    </row>
    <row r="1671" spans="2:9" ht="12.75" hidden="1" customHeight="1">
      <c r="B1671" s="14"/>
      <c r="C1671" s="14"/>
      <c r="D1671" s="14"/>
      <c r="E1671" s="14"/>
      <c r="F1671" s="14"/>
      <c r="G1671" s="14"/>
      <c r="H1671" s="79"/>
      <c r="I1671" s="14"/>
    </row>
    <row r="1672" spans="2:9" ht="12.75" hidden="1" customHeight="1">
      <c r="B1672" s="14"/>
      <c r="C1672" s="14"/>
      <c r="D1672" s="14"/>
      <c r="E1672" s="14"/>
      <c r="F1672" s="14"/>
      <c r="G1672" s="14"/>
      <c r="H1672" s="79"/>
      <c r="I1672" s="14"/>
    </row>
    <row r="1673" spans="2:9" ht="12.75" hidden="1" customHeight="1">
      <c r="B1673" s="14"/>
      <c r="C1673" s="14"/>
      <c r="D1673" s="14"/>
      <c r="E1673" s="14"/>
      <c r="F1673" s="14"/>
      <c r="G1673" s="14"/>
      <c r="H1673" s="79"/>
      <c r="I1673" s="14"/>
    </row>
    <row r="1674" spans="2:9" ht="12.75" hidden="1" customHeight="1">
      <c r="B1674" s="14"/>
      <c r="C1674" s="14"/>
      <c r="D1674" s="14"/>
      <c r="E1674" s="14"/>
      <c r="F1674" s="14"/>
      <c r="G1674" s="14"/>
      <c r="H1674" s="79"/>
      <c r="I1674" s="14"/>
    </row>
    <row r="1675" spans="2:9" ht="12.75" hidden="1" customHeight="1">
      <c r="B1675" s="14"/>
      <c r="C1675" s="14"/>
      <c r="D1675" s="14"/>
      <c r="E1675" s="14"/>
      <c r="F1675" s="14"/>
      <c r="G1675" s="14"/>
      <c r="H1675" s="79"/>
      <c r="I1675" s="14"/>
    </row>
    <row r="1676" spans="2:9" ht="12.75" hidden="1" customHeight="1">
      <c r="B1676" s="14"/>
      <c r="C1676" s="14"/>
      <c r="D1676" s="14"/>
      <c r="E1676" s="14"/>
      <c r="F1676" s="14"/>
      <c r="G1676" s="14"/>
      <c r="H1676" s="79"/>
      <c r="I1676" s="14"/>
    </row>
    <row r="1677" spans="2:9" ht="12.75" hidden="1" customHeight="1">
      <c r="B1677" s="14"/>
      <c r="C1677" s="14"/>
      <c r="D1677" s="14"/>
      <c r="E1677" s="14"/>
      <c r="F1677" s="14"/>
      <c r="G1677" s="14"/>
      <c r="H1677" s="79"/>
      <c r="I1677" s="14"/>
    </row>
    <row r="1678" spans="2:9" ht="12.75" hidden="1" customHeight="1">
      <c r="B1678" s="14"/>
      <c r="C1678" s="14"/>
      <c r="D1678" s="14"/>
      <c r="E1678" s="14"/>
      <c r="F1678" s="14"/>
      <c r="G1678" s="14"/>
      <c r="H1678" s="79"/>
      <c r="I1678" s="14"/>
    </row>
    <row r="1679" spans="2:9" ht="12.75" hidden="1" customHeight="1">
      <c r="B1679" s="14"/>
      <c r="C1679" s="14"/>
      <c r="D1679" s="14"/>
      <c r="E1679" s="14"/>
      <c r="F1679" s="14"/>
      <c r="G1679" s="14"/>
      <c r="H1679" s="79"/>
      <c r="I1679" s="14"/>
    </row>
    <row r="1680" spans="2:9" ht="12.75" hidden="1" customHeight="1">
      <c r="B1680" s="14"/>
      <c r="C1680" s="14"/>
      <c r="D1680" s="14"/>
      <c r="E1680" s="14"/>
      <c r="F1680" s="14"/>
      <c r="G1680" s="14"/>
      <c r="H1680" s="79"/>
      <c r="I1680" s="14"/>
    </row>
    <row r="1681" spans="2:9" ht="12.75" hidden="1" customHeight="1">
      <c r="B1681" s="14"/>
      <c r="C1681" s="14"/>
      <c r="D1681" s="14"/>
      <c r="E1681" s="14"/>
      <c r="F1681" s="14"/>
      <c r="G1681" s="14"/>
      <c r="H1681" s="79"/>
      <c r="I1681" s="14"/>
    </row>
    <row r="1682" spans="2:9" ht="12.75" hidden="1" customHeight="1">
      <c r="B1682" s="14"/>
      <c r="C1682" s="14"/>
      <c r="D1682" s="14"/>
      <c r="E1682" s="14"/>
      <c r="F1682" s="14"/>
      <c r="G1682" s="14"/>
      <c r="H1682" s="79"/>
      <c r="I1682" s="14"/>
    </row>
    <row r="1683" spans="2:9" ht="12.75" hidden="1" customHeight="1">
      <c r="B1683" s="14"/>
      <c r="C1683" s="14"/>
      <c r="D1683" s="14"/>
      <c r="E1683" s="14"/>
      <c r="F1683" s="14"/>
      <c r="G1683" s="14"/>
      <c r="H1683" s="79"/>
      <c r="I1683" s="14"/>
    </row>
    <row r="1684" spans="2:9" ht="12.75" hidden="1" customHeight="1">
      <c r="B1684" s="14"/>
      <c r="C1684" s="14"/>
      <c r="D1684" s="14"/>
      <c r="E1684" s="14"/>
      <c r="F1684" s="14"/>
      <c r="G1684" s="14"/>
      <c r="H1684" s="79"/>
      <c r="I1684" s="14"/>
    </row>
    <row r="1685" spans="2:9" ht="12.75" hidden="1" customHeight="1">
      <c r="B1685" s="14"/>
      <c r="C1685" s="14"/>
      <c r="D1685" s="14"/>
      <c r="E1685" s="14"/>
      <c r="F1685" s="14"/>
      <c r="G1685" s="14"/>
      <c r="H1685" s="79"/>
      <c r="I1685" s="14"/>
    </row>
    <row r="1686" spans="2:9" ht="12.75" hidden="1" customHeight="1">
      <c r="B1686" s="14"/>
      <c r="C1686" s="14"/>
      <c r="D1686" s="14"/>
      <c r="E1686" s="14"/>
      <c r="F1686" s="14"/>
      <c r="G1686" s="14"/>
      <c r="H1686" s="79"/>
      <c r="I1686" s="14"/>
    </row>
    <row r="1687" spans="2:9" ht="12.75" hidden="1" customHeight="1">
      <c r="B1687" s="14"/>
      <c r="C1687" s="14"/>
      <c r="D1687" s="14"/>
      <c r="E1687" s="14"/>
      <c r="F1687" s="14"/>
      <c r="G1687" s="14"/>
      <c r="H1687" s="79"/>
      <c r="I1687" s="14"/>
    </row>
    <row r="1688" spans="2:9" ht="12.75" hidden="1" customHeight="1">
      <c r="B1688" s="14"/>
      <c r="C1688" s="14"/>
      <c r="D1688" s="14"/>
      <c r="E1688" s="14"/>
      <c r="F1688" s="14"/>
      <c r="G1688" s="14"/>
      <c r="H1688" s="79"/>
      <c r="I1688" s="14"/>
    </row>
    <row r="1689" spans="2:9" ht="12.75" hidden="1" customHeight="1">
      <c r="B1689" s="14"/>
      <c r="C1689" s="14"/>
      <c r="D1689" s="14"/>
      <c r="E1689" s="14"/>
      <c r="F1689" s="14"/>
      <c r="G1689" s="14"/>
      <c r="H1689" s="79"/>
      <c r="I1689" s="14"/>
    </row>
    <row r="1690" spans="2:9" ht="12.75" hidden="1" customHeight="1">
      <c r="B1690" s="14"/>
      <c r="C1690" s="14"/>
      <c r="D1690" s="14"/>
      <c r="E1690" s="14"/>
      <c r="F1690" s="14"/>
      <c r="G1690" s="14"/>
      <c r="H1690" s="79"/>
      <c r="I1690" s="14"/>
    </row>
    <row r="1691" spans="2:9" ht="12.75" hidden="1" customHeight="1">
      <c r="B1691" s="14"/>
      <c r="C1691" s="14"/>
      <c r="D1691" s="14"/>
      <c r="E1691" s="14"/>
      <c r="F1691" s="14"/>
      <c r="G1691" s="14"/>
      <c r="H1691" s="79"/>
      <c r="I1691" s="14"/>
    </row>
    <row r="1692" spans="2:9" ht="12.75" hidden="1" customHeight="1">
      <c r="B1692" s="14"/>
      <c r="C1692" s="14"/>
      <c r="D1692" s="14"/>
      <c r="E1692" s="14"/>
      <c r="F1692" s="14"/>
      <c r="G1692" s="14"/>
      <c r="H1692" s="79"/>
      <c r="I1692" s="14"/>
    </row>
    <row r="1693" spans="2:9" ht="12.75" hidden="1" customHeight="1">
      <c r="B1693" s="14"/>
      <c r="C1693" s="14"/>
      <c r="D1693" s="14"/>
      <c r="E1693" s="14"/>
      <c r="F1693" s="14"/>
      <c r="G1693" s="14"/>
      <c r="H1693" s="79"/>
      <c r="I1693" s="14"/>
    </row>
    <row r="1694" spans="2:9" ht="12.75" hidden="1" customHeight="1">
      <c r="B1694" s="14"/>
      <c r="C1694" s="14"/>
      <c r="D1694" s="14"/>
      <c r="E1694" s="14"/>
      <c r="F1694" s="14"/>
      <c r="G1694" s="14"/>
      <c r="H1694" s="79"/>
      <c r="I1694" s="14"/>
    </row>
    <row r="1695" spans="2:9" ht="12.75" hidden="1" customHeight="1">
      <c r="B1695" s="14"/>
      <c r="C1695" s="14"/>
      <c r="D1695" s="14"/>
      <c r="E1695" s="14"/>
      <c r="F1695" s="14"/>
      <c r="G1695" s="14"/>
      <c r="H1695" s="79"/>
      <c r="I1695" s="14"/>
    </row>
    <row r="1696" spans="2:9" ht="12.75" hidden="1" customHeight="1">
      <c r="B1696" s="14"/>
      <c r="C1696" s="14"/>
      <c r="D1696" s="14"/>
      <c r="E1696" s="14"/>
      <c r="F1696" s="14"/>
      <c r="G1696" s="14"/>
      <c r="H1696" s="79"/>
      <c r="I1696" s="14"/>
    </row>
    <row r="1697" spans="2:9" ht="12.75" hidden="1" customHeight="1">
      <c r="B1697" s="14"/>
      <c r="C1697" s="14"/>
      <c r="D1697" s="14"/>
      <c r="E1697" s="14"/>
      <c r="F1697" s="14"/>
      <c r="G1697" s="14"/>
      <c r="H1697" s="79"/>
      <c r="I1697" s="14"/>
    </row>
    <row r="1698" spans="2:9" ht="12.75" hidden="1" customHeight="1">
      <c r="B1698" s="14"/>
      <c r="C1698" s="14"/>
      <c r="D1698" s="14"/>
      <c r="E1698" s="14"/>
      <c r="F1698" s="14"/>
      <c r="G1698" s="14"/>
      <c r="H1698" s="79"/>
      <c r="I1698" s="14"/>
    </row>
    <row r="1699" spans="2:9" ht="12.75" hidden="1" customHeight="1">
      <c r="B1699" s="14"/>
      <c r="C1699" s="14"/>
      <c r="D1699" s="14"/>
      <c r="E1699" s="14"/>
      <c r="F1699" s="14"/>
      <c r="G1699" s="14"/>
      <c r="H1699" s="79"/>
      <c r="I1699" s="14"/>
    </row>
    <row r="1700" spans="2:9" ht="12.75" hidden="1" customHeight="1">
      <c r="B1700" s="14"/>
      <c r="C1700" s="14"/>
      <c r="D1700" s="14"/>
      <c r="E1700" s="14"/>
      <c r="F1700" s="14"/>
      <c r="G1700" s="14"/>
      <c r="H1700" s="79"/>
      <c r="I1700" s="14"/>
    </row>
    <row r="1701" spans="2:9" ht="12.75" hidden="1" customHeight="1">
      <c r="B1701" s="14"/>
      <c r="C1701" s="14"/>
      <c r="D1701" s="14"/>
      <c r="E1701" s="14"/>
      <c r="F1701" s="14"/>
      <c r="G1701" s="14"/>
      <c r="H1701" s="79"/>
      <c r="I1701" s="14"/>
    </row>
    <row r="1702" spans="2:9" ht="12.75" hidden="1" customHeight="1">
      <c r="B1702" s="14"/>
      <c r="C1702" s="14"/>
      <c r="D1702" s="14"/>
      <c r="E1702" s="14"/>
      <c r="F1702" s="14"/>
      <c r="G1702" s="14"/>
      <c r="H1702" s="79"/>
      <c r="I1702" s="14"/>
    </row>
    <row r="1703" spans="2:9" ht="12.75" hidden="1" customHeight="1">
      <c r="B1703" s="14"/>
      <c r="C1703" s="14"/>
      <c r="D1703" s="14"/>
      <c r="E1703" s="14"/>
      <c r="F1703" s="14"/>
      <c r="G1703" s="14"/>
      <c r="H1703" s="79"/>
      <c r="I1703" s="14"/>
    </row>
    <row r="1704" spans="2:9" ht="12.75" hidden="1" customHeight="1">
      <c r="B1704" s="14"/>
      <c r="C1704" s="14"/>
      <c r="D1704" s="14"/>
      <c r="E1704" s="14"/>
      <c r="F1704" s="14"/>
      <c r="G1704" s="14"/>
      <c r="H1704" s="79"/>
      <c r="I1704" s="14"/>
    </row>
    <row r="1705" spans="2:9" ht="12.75" hidden="1" customHeight="1">
      <c r="B1705" s="14"/>
      <c r="C1705" s="14"/>
      <c r="D1705" s="14"/>
      <c r="E1705" s="14"/>
      <c r="F1705" s="14"/>
      <c r="G1705" s="14"/>
      <c r="H1705" s="79"/>
      <c r="I1705" s="14"/>
    </row>
    <row r="1706" spans="2:9" ht="12.75" hidden="1" customHeight="1">
      <c r="B1706" s="14"/>
      <c r="C1706" s="14"/>
      <c r="D1706" s="14"/>
      <c r="E1706" s="14"/>
      <c r="F1706" s="14"/>
      <c r="G1706" s="14"/>
      <c r="H1706" s="79"/>
      <c r="I1706" s="14"/>
    </row>
    <row r="1707" spans="2:9" ht="12.75" hidden="1" customHeight="1">
      <c r="B1707" s="14"/>
      <c r="C1707" s="14"/>
      <c r="D1707" s="14"/>
      <c r="E1707" s="14"/>
      <c r="F1707" s="14"/>
      <c r="G1707" s="14"/>
      <c r="H1707" s="79"/>
      <c r="I1707" s="14"/>
    </row>
    <row r="1708" spans="2:9" ht="12.75" hidden="1" customHeight="1">
      <c r="B1708" s="14"/>
      <c r="C1708" s="14"/>
      <c r="D1708" s="14"/>
      <c r="E1708" s="14"/>
      <c r="F1708" s="14"/>
      <c r="G1708" s="14"/>
      <c r="H1708" s="79"/>
      <c r="I1708" s="14"/>
    </row>
    <row r="1709" spans="2:9" ht="12.75" hidden="1" customHeight="1">
      <c r="B1709" s="14"/>
      <c r="C1709" s="14"/>
      <c r="D1709" s="14"/>
      <c r="E1709" s="14"/>
      <c r="F1709" s="14"/>
      <c r="G1709" s="14"/>
      <c r="H1709" s="79"/>
      <c r="I1709" s="14"/>
    </row>
    <row r="1710" spans="2:9" ht="12.75" hidden="1" customHeight="1">
      <c r="B1710" s="14"/>
      <c r="C1710" s="14"/>
      <c r="D1710" s="14"/>
      <c r="E1710" s="14"/>
      <c r="F1710" s="14"/>
      <c r="G1710" s="14"/>
      <c r="H1710" s="79"/>
      <c r="I1710" s="14"/>
    </row>
    <row r="1711" spans="2:9" ht="12.75" hidden="1" customHeight="1">
      <c r="B1711" s="14"/>
      <c r="C1711" s="14"/>
      <c r="D1711" s="14"/>
      <c r="E1711" s="14"/>
      <c r="F1711" s="14"/>
      <c r="G1711" s="14"/>
      <c r="H1711" s="79"/>
      <c r="I1711" s="14"/>
    </row>
    <row r="1712" spans="2:9" ht="12.75" hidden="1" customHeight="1">
      <c r="B1712" s="14"/>
      <c r="C1712" s="14"/>
      <c r="D1712" s="14"/>
      <c r="E1712" s="14"/>
      <c r="F1712" s="14"/>
      <c r="G1712" s="14"/>
      <c r="H1712" s="79"/>
      <c r="I1712" s="14"/>
    </row>
    <row r="1713" spans="2:9" ht="12.75" hidden="1" customHeight="1">
      <c r="B1713" s="14"/>
      <c r="C1713" s="14"/>
      <c r="D1713" s="14"/>
      <c r="E1713" s="14"/>
      <c r="F1713" s="14"/>
      <c r="G1713" s="14"/>
      <c r="H1713" s="79"/>
      <c r="I1713" s="14"/>
    </row>
    <row r="1714" spans="2:9" ht="12.75" hidden="1" customHeight="1">
      <c r="B1714" s="14"/>
      <c r="C1714" s="14"/>
      <c r="D1714" s="14"/>
      <c r="E1714" s="14"/>
      <c r="F1714" s="14"/>
      <c r="G1714" s="14"/>
      <c r="H1714" s="79"/>
      <c r="I1714" s="14"/>
    </row>
    <row r="1715" spans="2:9" ht="12.75" hidden="1" customHeight="1">
      <c r="B1715" s="14"/>
      <c r="C1715" s="14"/>
      <c r="D1715" s="14"/>
      <c r="E1715" s="14"/>
      <c r="F1715" s="14"/>
      <c r="G1715" s="14"/>
      <c r="H1715" s="79"/>
      <c r="I1715" s="14"/>
    </row>
    <row r="1716" spans="2:9" ht="12.75" hidden="1" customHeight="1">
      <c r="B1716" s="14"/>
      <c r="C1716" s="14"/>
      <c r="D1716" s="14"/>
      <c r="E1716" s="14"/>
      <c r="F1716" s="14"/>
      <c r="G1716" s="14"/>
      <c r="H1716" s="79"/>
      <c r="I1716" s="14"/>
    </row>
    <row r="1717" spans="2:9" ht="12.75" hidden="1" customHeight="1">
      <c r="B1717" s="14"/>
      <c r="C1717" s="14"/>
      <c r="D1717" s="14"/>
      <c r="E1717" s="14"/>
      <c r="F1717" s="14"/>
      <c r="G1717" s="14"/>
      <c r="H1717" s="79"/>
      <c r="I1717" s="14"/>
    </row>
    <row r="1718" spans="2:9" ht="12.75" hidden="1" customHeight="1">
      <c r="B1718" s="14"/>
      <c r="C1718" s="14"/>
      <c r="D1718" s="14"/>
      <c r="E1718" s="14"/>
      <c r="F1718" s="14"/>
      <c r="G1718" s="14"/>
      <c r="H1718" s="79"/>
      <c r="I1718" s="14"/>
    </row>
    <row r="1719" spans="2:9" ht="12.75" hidden="1" customHeight="1">
      <c r="B1719" s="14"/>
      <c r="C1719" s="14"/>
      <c r="D1719" s="14"/>
      <c r="E1719" s="14"/>
      <c r="F1719" s="14"/>
      <c r="G1719" s="14"/>
      <c r="H1719" s="79"/>
      <c r="I1719" s="14"/>
    </row>
    <row r="1720" spans="2:9" ht="12.75" hidden="1" customHeight="1">
      <c r="B1720" s="14"/>
      <c r="C1720" s="14"/>
      <c r="D1720" s="14"/>
      <c r="E1720" s="14"/>
      <c r="F1720" s="14"/>
      <c r="G1720" s="14"/>
      <c r="H1720" s="79"/>
      <c r="I1720" s="14"/>
    </row>
    <row r="1721" spans="2:9" ht="12.75" hidden="1" customHeight="1">
      <c r="B1721" s="14"/>
      <c r="C1721" s="14"/>
      <c r="D1721" s="14"/>
      <c r="E1721" s="14"/>
      <c r="F1721" s="14"/>
      <c r="G1721" s="14"/>
      <c r="H1721" s="79"/>
      <c r="I1721" s="14"/>
    </row>
    <row r="1722" spans="2:9" ht="12.75" hidden="1" customHeight="1">
      <c r="B1722" s="14"/>
      <c r="C1722" s="14"/>
      <c r="D1722" s="14"/>
      <c r="E1722" s="14"/>
      <c r="F1722" s="14"/>
      <c r="G1722" s="14"/>
      <c r="H1722" s="79"/>
      <c r="I1722" s="14"/>
    </row>
    <row r="1723" spans="2:9" ht="12.75" hidden="1" customHeight="1">
      <c r="B1723" s="14"/>
      <c r="C1723" s="14"/>
      <c r="D1723" s="14"/>
      <c r="E1723" s="14"/>
      <c r="F1723" s="14"/>
      <c r="G1723" s="14"/>
      <c r="H1723" s="79"/>
      <c r="I1723" s="14"/>
    </row>
    <row r="1724" spans="2:9" ht="12.75" hidden="1" customHeight="1">
      <c r="B1724" s="14"/>
      <c r="C1724" s="14"/>
      <c r="D1724" s="14"/>
      <c r="E1724" s="14"/>
      <c r="F1724" s="14"/>
      <c r="G1724" s="14"/>
      <c r="H1724" s="79"/>
      <c r="I1724" s="14"/>
    </row>
    <row r="1725" spans="2:9" ht="12.75" hidden="1" customHeight="1">
      <c r="B1725" s="14"/>
      <c r="C1725" s="14"/>
      <c r="D1725" s="14"/>
      <c r="E1725" s="14"/>
      <c r="F1725" s="14"/>
      <c r="G1725" s="14"/>
      <c r="H1725" s="79"/>
      <c r="I1725" s="14"/>
    </row>
    <row r="1726" spans="2:9" ht="12.75" hidden="1" customHeight="1">
      <c r="B1726" s="14"/>
      <c r="C1726" s="14"/>
      <c r="D1726" s="14"/>
      <c r="E1726" s="14"/>
      <c r="F1726" s="14"/>
      <c r="G1726" s="14"/>
      <c r="H1726" s="79"/>
      <c r="I1726" s="14"/>
    </row>
    <row r="1727" spans="2:9" ht="12.75" hidden="1" customHeight="1">
      <c r="B1727" s="14"/>
      <c r="C1727" s="14"/>
      <c r="D1727" s="14"/>
      <c r="E1727" s="14"/>
      <c r="F1727" s="14"/>
      <c r="G1727" s="14"/>
      <c r="H1727" s="79"/>
      <c r="I1727" s="14"/>
    </row>
    <row r="1728" spans="2:9" ht="12.75" hidden="1" customHeight="1">
      <c r="B1728" s="14"/>
      <c r="C1728" s="14"/>
      <c r="D1728" s="14"/>
      <c r="E1728" s="14"/>
      <c r="F1728" s="14"/>
      <c r="G1728" s="14"/>
      <c r="H1728" s="79"/>
      <c r="I1728" s="14"/>
    </row>
    <row r="1729" spans="2:9" ht="12.75" hidden="1" customHeight="1">
      <c r="B1729" s="14"/>
      <c r="C1729" s="14"/>
      <c r="D1729" s="14"/>
      <c r="E1729" s="14"/>
      <c r="F1729" s="14"/>
      <c r="G1729" s="14"/>
      <c r="H1729" s="79"/>
      <c r="I1729" s="14"/>
    </row>
    <row r="1730" spans="2:9" ht="12.75" hidden="1" customHeight="1">
      <c r="B1730" s="14"/>
      <c r="C1730" s="14"/>
      <c r="D1730" s="14"/>
      <c r="E1730" s="14"/>
      <c r="F1730" s="14"/>
      <c r="G1730" s="14"/>
      <c r="H1730" s="79"/>
      <c r="I1730" s="14"/>
    </row>
    <row r="1731" spans="2:9" ht="12.75" hidden="1" customHeight="1">
      <c r="B1731" s="14"/>
      <c r="C1731" s="14"/>
      <c r="D1731" s="14"/>
      <c r="E1731" s="14"/>
      <c r="F1731" s="14"/>
      <c r="G1731" s="14"/>
      <c r="H1731" s="79"/>
      <c r="I1731" s="14"/>
    </row>
    <row r="1732" spans="2:9" ht="12.75" hidden="1" customHeight="1">
      <c r="B1732" s="14"/>
      <c r="C1732" s="14"/>
      <c r="D1732" s="14"/>
      <c r="E1732" s="14"/>
      <c r="F1732" s="14"/>
      <c r="G1732" s="14"/>
      <c r="H1732" s="79"/>
      <c r="I1732" s="14"/>
    </row>
    <row r="1733" spans="2:9" ht="12.75" hidden="1" customHeight="1">
      <c r="B1733" s="14"/>
      <c r="C1733" s="14"/>
      <c r="D1733" s="14"/>
      <c r="E1733" s="14"/>
      <c r="F1733" s="14"/>
      <c r="G1733" s="14"/>
      <c r="H1733" s="79"/>
      <c r="I1733" s="14"/>
    </row>
    <row r="1734" spans="2:9" ht="12.75" hidden="1" customHeight="1">
      <c r="B1734" s="14"/>
      <c r="C1734" s="14"/>
      <c r="D1734" s="14"/>
      <c r="E1734" s="14"/>
      <c r="F1734" s="14"/>
      <c r="G1734" s="14"/>
      <c r="H1734" s="79"/>
      <c r="I1734" s="14"/>
    </row>
    <row r="1735" spans="2:9" ht="12.75" hidden="1" customHeight="1">
      <c r="B1735" s="14"/>
      <c r="C1735" s="14"/>
      <c r="D1735" s="14"/>
      <c r="E1735" s="14"/>
      <c r="F1735" s="14"/>
      <c r="G1735" s="14"/>
      <c r="H1735" s="79"/>
      <c r="I1735" s="14"/>
    </row>
    <row r="1736" spans="2:9" ht="12.75" hidden="1" customHeight="1">
      <c r="B1736" s="14"/>
      <c r="C1736" s="14"/>
      <c r="D1736" s="14"/>
      <c r="E1736" s="14"/>
      <c r="F1736" s="14"/>
      <c r="G1736" s="14"/>
      <c r="H1736" s="79"/>
      <c r="I1736" s="14"/>
    </row>
    <row r="1737" spans="2:9" ht="12.75" hidden="1" customHeight="1">
      <c r="B1737" s="14"/>
      <c r="C1737" s="14"/>
      <c r="D1737" s="14"/>
      <c r="E1737" s="14"/>
      <c r="F1737" s="14"/>
      <c r="G1737" s="14"/>
      <c r="H1737" s="79"/>
      <c r="I1737" s="14"/>
    </row>
    <row r="1738" spans="2:9" ht="12.75" hidden="1" customHeight="1">
      <c r="B1738" s="14"/>
      <c r="C1738" s="14"/>
      <c r="D1738" s="14"/>
      <c r="E1738" s="14"/>
      <c r="F1738" s="14"/>
      <c r="G1738" s="14"/>
      <c r="H1738" s="79"/>
      <c r="I1738" s="14"/>
    </row>
    <row r="1739" spans="2:9" ht="12.75" hidden="1" customHeight="1">
      <c r="B1739" s="14"/>
      <c r="C1739" s="14"/>
      <c r="D1739" s="14"/>
      <c r="E1739" s="14"/>
      <c r="F1739" s="14"/>
      <c r="G1739" s="14"/>
      <c r="H1739" s="79"/>
      <c r="I1739" s="14"/>
    </row>
    <row r="1740" spans="2:9" ht="12.75" hidden="1" customHeight="1">
      <c r="B1740" s="14"/>
      <c r="C1740" s="14"/>
      <c r="D1740" s="14"/>
      <c r="E1740" s="14"/>
      <c r="F1740" s="14"/>
      <c r="G1740" s="14"/>
      <c r="H1740" s="79"/>
      <c r="I1740" s="14"/>
    </row>
    <row r="1741" spans="2:9" ht="12.75" hidden="1" customHeight="1">
      <c r="B1741" s="14"/>
      <c r="C1741" s="14"/>
      <c r="D1741" s="14"/>
      <c r="E1741" s="14"/>
      <c r="F1741" s="14"/>
      <c r="G1741" s="14"/>
      <c r="H1741" s="79"/>
      <c r="I1741" s="14"/>
    </row>
    <row r="1742" spans="2:9" ht="12.75" hidden="1" customHeight="1">
      <c r="B1742" s="14"/>
      <c r="C1742" s="14"/>
      <c r="D1742" s="14"/>
      <c r="E1742" s="14"/>
      <c r="F1742" s="14"/>
      <c r="G1742" s="14"/>
      <c r="H1742" s="79"/>
      <c r="I1742" s="14"/>
    </row>
    <row r="1743" spans="2:9" ht="12.75" hidden="1" customHeight="1">
      <c r="B1743" s="14"/>
      <c r="C1743" s="14"/>
      <c r="D1743" s="14"/>
      <c r="E1743" s="14"/>
      <c r="F1743" s="14"/>
      <c r="G1743" s="14"/>
      <c r="H1743" s="79"/>
      <c r="I1743" s="14"/>
    </row>
    <row r="1744" spans="2:9" ht="12.75" hidden="1" customHeight="1">
      <c r="B1744" s="14"/>
      <c r="C1744" s="14"/>
      <c r="D1744" s="14"/>
      <c r="E1744" s="14"/>
      <c r="F1744" s="14"/>
      <c r="G1744" s="14"/>
      <c r="H1744" s="79"/>
      <c r="I1744" s="14"/>
    </row>
    <row r="1745" spans="2:9" ht="12.75" hidden="1" customHeight="1">
      <c r="B1745" s="14"/>
      <c r="C1745" s="14"/>
      <c r="D1745" s="14"/>
      <c r="E1745" s="14"/>
      <c r="F1745" s="14"/>
      <c r="G1745" s="14"/>
      <c r="H1745" s="79"/>
      <c r="I1745" s="14"/>
    </row>
    <row r="1746" spans="2:9" ht="12.75" hidden="1" customHeight="1">
      <c r="B1746" s="14"/>
      <c r="C1746" s="14"/>
      <c r="D1746" s="14"/>
      <c r="E1746" s="14"/>
      <c r="F1746" s="14"/>
      <c r="G1746" s="14"/>
      <c r="H1746" s="79"/>
      <c r="I1746" s="14"/>
    </row>
    <row r="1747" spans="2:9" ht="12.75" hidden="1" customHeight="1">
      <c r="B1747" s="14"/>
      <c r="C1747" s="14"/>
      <c r="D1747" s="14"/>
      <c r="E1747" s="14"/>
      <c r="F1747" s="14"/>
      <c r="G1747" s="14"/>
      <c r="H1747" s="79"/>
      <c r="I1747" s="14"/>
    </row>
    <row r="1748" spans="2:9" ht="12.75" hidden="1" customHeight="1">
      <c r="B1748" s="14"/>
      <c r="C1748" s="14"/>
      <c r="D1748" s="14"/>
      <c r="E1748" s="14"/>
      <c r="F1748" s="14"/>
      <c r="G1748" s="14"/>
      <c r="H1748" s="79"/>
      <c r="I1748" s="14"/>
    </row>
    <row r="1749" spans="2:9" ht="12.75" hidden="1" customHeight="1">
      <c r="B1749" s="14"/>
      <c r="C1749" s="14"/>
      <c r="D1749" s="14"/>
      <c r="E1749" s="14"/>
      <c r="F1749" s="14"/>
      <c r="G1749" s="14"/>
      <c r="H1749" s="79"/>
      <c r="I1749" s="14"/>
    </row>
    <row r="1750" spans="2:9" ht="12.75" hidden="1" customHeight="1">
      <c r="B1750" s="14"/>
      <c r="C1750" s="14"/>
      <c r="D1750" s="14"/>
      <c r="E1750" s="14"/>
      <c r="F1750" s="14"/>
      <c r="G1750" s="14"/>
      <c r="H1750" s="79"/>
      <c r="I1750" s="14"/>
    </row>
    <row r="1751" spans="2:9" ht="12.75" hidden="1" customHeight="1">
      <c r="B1751" s="14"/>
      <c r="C1751" s="14"/>
      <c r="D1751" s="14"/>
      <c r="E1751" s="14"/>
      <c r="F1751" s="14"/>
      <c r="G1751" s="14"/>
      <c r="H1751" s="79"/>
      <c r="I1751" s="14"/>
    </row>
    <row r="1752" spans="2:9" ht="12.75" hidden="1" customHeight="1">
      <c r="B1752" s="14"/>
      <c r="C1752" s="14"/>
      <c r="D1752" s="14"/>
      <c r="E1752" s="14"/>
      <c r="F1752" s="14"/>
      <c r="G1752" s="14"/>
      <c r="H1752" s="79"/>
      <c r="I1752" s="14"/>
    </row>
    <row r="1753" spans="2:9" ht="12.75" hidden="1" customHeight="1">
      <c r="B1753" s="14"/>
      <c r="C1753" s="14"/>
      <c r="D1753" s="14"/>
      <c r="E1753" s="14"/>
      <c r="F1753" s="14"/>
      <c r="G1753" s="14"/>
      <c r="H1753" s="79"/>
      <c r="I1753" s="14"/>
    </row>
    <row r="1754" spans="2:9" ht="12.75" hidden="1" customHeight="1">
      <c r="B1754" s="14"/>
      <c r="C1754" s="14"/>
      <c r="D1754" s="14"/>
      <c r="E1754" s="14"/>
      <c r="F1754" s="14"/>
      <c r="G1754" s="14"/>
      <c r="H1754" s="79"/>
      <c r="I1754" s="14"/>
    </row>
    <row r="1755" spans="2:9" ht="12.75" hidden="1" customHeight="1">
      <c r="B1755" s="14"/>
      <c r="C1755" s="14"/>
      <c r="D1755" s="14"/>
      <c r="E1755" s="14"/>
      <c r="F1755" s="14"/>
      <c r="G1755" s="14"/>
      <c r="H1755" s="79"/>
      <c r="I1755" s="14"/>
    </row>
    <row r="1756" spans="2:9" ht="12.75" hidden="1" customHeight="1">
      <c r="B1756" s="14"/>
      <c r="C1756" s="14"/>
      <c r="D1756" s="14"/>
      <c r="E1756" s="14"/>
      <c r="F1756" s="14"/>
      <c r="G1756" s="14"/>
      <c r="H1756" s="79"/>
      <c r="I1756" s="14"/>
    </row>
    <row r="1757" spans="2:9" ht="12.75" hidden="1" customHeight="1">
      <c r="B1757" s="14"/>
      <c r="C1757" s="14"/>
      <c r="D1757" s="14"/>
      <c r="E1757" s="14"/>
      <c r="F1757" s="14"/>
      <c r="G1757" s="14"/>
      <c r="H1757" s="79"/>
      <c r="I1757" s="14"/>
    </row>
    <row r="1758" spans="2:9" ht="12.75" hidden="1" customHeight="1">
      <c r="B1758" s="14"/>
      <c r="C1758" s="14"/>
      <c r="D1758" s="14"/>
      <c r="E1758" s="14"/>
      <c r="F1758" s="14"/>
      <c r="G1758" s="14"/>
      <c r="H1758" s="79"/>
      <c r="I1758" s="14"/>
    </row>
    <row r="1759" spans="2:9" ht="12.75" hidden="1" customHeight="1">
      <c r="B1759" s="14"/>
      <c r="C1759" s="14"/>
      <c r="D1759" s="14"/>
      <c r="E1759" s="14"/>
      <c r="F1759" s="14"/>
      <c r="G1759" s="14"/>
      <c r="H1759" s="79"/>
      <c r="I1759" s="14"/>
    </row>
    <row r="1760" spans="2:9" ht="12.75" hidden="1" customHeight="1">
      <c r="B1760" s="14"/>
      <c r="C1760" s="14"/>
      <c r="D1760" s="14"/>
      <c r="E1760" s="14"/>
      <c r="F1760" s="14"/>
      <c r="G1760" s="14"/>
      <c r="H1760" s="79"/>
      <c r="I1760" s="14"/>
    </row>
    <row r="1761" spans="2:9" ht="12.75" hidden="1" customHeight="1">
      <c r="B1761" s="14"/>
      <c r="C1761" s="14"/>
      <c r="D1761" s="14"/>
      <c r="E1761" s="14"/>
      <c r="F1761" s="14"/>
      <c r="G1761" s="14"/>
      <c r="H1761" s="79"/>
      <c r="I1761" s="14"/>
    </row>
    <row r="1762" spans="2:9" ht="12.75" hidden="1" customHeight="1">
      <c r="B1762" s="14"/>
      <c r="C1762" s="14"/>
      <c r="D1762" s="14"/>
      <c r="E1762" s="14"/>
      <c r="F1762" s="14"/>
      <c r="G1762" s="14"/>
      <c r="H1762" s="79"/>
      <c r="I1762" s="14"/>
    </row>
    <row r="1763" spans="2:9" ht="12.75" hidden="1" customHeight="1">
      <c r="B1763" s="14"/>
      <c r="C1763" s="14"/>
      <c r="D1763" s="14"/>
      <c r="E1763" s="14"/>
      <c r="F1763" s="14"/>
      <c r="G1763" s="14"/>
      <c r="H1763" s="79"/>
      <c r="I1763" s="14"/>
    </row>
    <row r="1764" spans="2:9" ht="12.75" hidden="1" customHeight="1">
      <c r="B1764" s="14"/>
      <c r="C1764" s="14"/>
      <c r="D1764" s="14"/>
      <c r="E1764" s="14"/>
      <c r="F1764" s="14"/>
      <c r="G1764" s="14"/>
      <c r="H1764" s="79"/>
      <c r="I1764" s="14"/>
    </row>
    <row r="1765" spans="2:9" ht="12.75" hidden="1" customHeight="1">
      <c r="B1765" s="14"/>
      <c r="C1765" s="14"/>
      <c r="D1765" s="14"/>
      <c r="E1765" s="14"/>
      <c r="F1765" s="14"/>
      <c r="G1765" s="14"/>
      <c r="H1765" s="79"/>
      <c r="I1765" s="14"/>
    </row>
    <row r="1766" spans="2:9" ht="12.75" hidden="1" customHeight="1">
      <c r="B1766" s="14"/>
      <c r="C1766" s="14"/>
      <c r="D1766" s="14"/>
      <c r="E1766" s="14"/>
      <c r="F1766" s="14"/>
      <c r="G1766" s="14"/>
      <c r="H1766" s="79"/>
      <c r="I1766" s="14"/>
    </row>
    <row r="1767" spans="2:9" ht="12.75" hidden="1" customHeight="1">
      <c r="B1767" s="14"/>
      <c r="C1767" s="14"/>
      <c r="D1767" s="14"/>
      <c r="E1767" s="14"/>
      <c r="F1767" s="14"/>
      <c r="G1767" s="14"/>
      <c r="H1767" s="79"/>
      <c r="I1767" s="14"/>
    </row>
    <row r="1768" spans="2:9" ht="12.75" hidden="1" customHeight="1">
      <c r="B1768" s="14"/>
      <c r="C1768" s="14"/>
      <c r="D1768" s="14"/>
      <c r="E1768" s="14"/>
      <c r="F1768" s="14"/>
      <c r="G1768" s="14"/>
      <c r="H1768" s="79"/>
      <c r="I1768" s="14"/>
    </row>
    <row r="1769" spans="2:9" ht="12.75" hidden="1" customHeight="1">
      <c r="B1769" s="14"/>
      <c r="C1769" s="14"/>
      <c r="D1769" s="14"/>
      <c r="E1769" s="14"/>
      <c r="F1769" s="14"/>
      <c r="G1769" s="14"/>
      <c r="H1769" s="79"/>
      <c r="I1769" s="14"/>
    </row>
    <row r="1770" spans="2:9" ht="12.75" hidden="1" customHeight="1">
      <c r="B1770" s="14"/>
      <c r="C1770" s="14"/>
      <c r="D1770" s="14"/>
      <c r="E1770" s="14"/>
      <c r="F1770" s="14"/>
      <c r="G1770" s="14"/>
      <c r="H1770" s="79"/>
      <c r="I1770" s="14"/>
    </row>
    <row r="1771" spans="2:9" ht="12.75" hidden="1" customHeight="1">
      <c r="B1771" s="14"/>
      <c r="C1771" s="14"/>
      <c r="D1771" s="14"/>
      <c r="E1771" s="14"/>
      <c r="F1771" s="14"/>
      <c r="G1771" s="14"/>
      <c r="H1771" s="79"/>
      <c r="I1771" s="14"/>
    </row>
    <row r="1772" spans="2:9" ht="12.75" hidden="1" customHeight="1">
      <c r="B1772" s="14"/>
      <c r="C1772" s="14"/>
      <c r="D1772" s="14"/>
      <c r="E1772" s="14"/>
      <c r="F1772" s="14"/>
      <c r="G1772" s="14"/>
      <c r="H1772" s="79"/>
      <c r="I1772" s="14"/>
    </row>
    <row r="1773" spans="2:9" ht="12.75" hidden="1" customHeight="1">
      <c r="B1773" s="14"/>
      <c r="C1773" s="14"/>
      <c r="D1773" s="14"/>
      <c r="E1773" s="14"/>
      <c r="F1773" s="14"/>
      <c r="G1773" s="14"/>
      <c r="H1773" s="79"/>
      <c r="I1773" s="14"/>
    </row>
    <row r="1774" spans="2:9" ht="12.75" hidden="1" customHeight="1">
      <c r="B1774" s="14"/>
      <c r="C1774" s="14"/>
      <c r="D1774" s="14"/>
      <c r="E1774" s="14"/>
      <c r="F1774" s="14"/>
      <c r="G1774" s="14"/>
      <c r="H1774" s="79"/>
      <c r="I1774" s="14"/>
    </row>
    <row r="1775" spans="2:9" ht="12.75" hidden="1" customHeight="1">
      <c r="B1775" s="14"/>
      <c r="C1775" s="14"/>
      <c r="D1775" s="14"/>
      <c r="E1775" s="14"/>
      <c r="F1775" s="14"/>
      <c r="G1775" s="14"/>
      <c r="H1775" s="79"/>
      <c r="I1775" s="14"/>
    </row>
    <row r="1776" spans="2:9" ht="12.75" hidden="1" customHeight="1">
      <c r="B1776" s="14"/>
      <c r="C1776" s="14"/>
      <c r="D1776" s="14"/>
      <c r="E1776" s="14"/>
      <c r="F1776" s="14"/>
      <c r="G1776" s="14"/>
      <c r="H1776" s="79"/>
      <c r="I1776" s="14"/>
    </row>
    <row r="1777" spans="2:9" ht="12.75" hidden="1" customHeight="1">
      <c r="B1777" s="14"/>
      <c r="C1777" s="14"/>
      <c r="D1777" s="14"/>
      <c r="E1777" s="14"/>
      <c r="F1777" s="14"/>
      <c r="G1777" s="14"/>
      <c r="H1777" s="79"/>
      <c r="I1777" s="14"/>
    </row>
    <row r="1778" spans="2:9" ht="12.75" hidden="1" customHeight="1">
      <c r="B1778" s="14"/>
      <c r="C1778" s="14"/>
      <c r="D1778" s="14"/>
      <c r="E1778" s="14"/>
      <c r="F1778" s="14"/>
      <c r="G1778" s="14"/>
      <c r="H1778" s="79"/>
      <c r="I1778" s="14"/>
    </row>
    <row r="1779" spans="2:9" ht="12.75" hidden="1" customHeight="1">
      <c r="B1779" s="14"/>
      <c r="C1779" s="14"/>
      <c r="D1779" s="14"/>
      <c r="E1779" s="14"/>
      <c r="F1779" s="14"/>
      <c r="G1779" s="14"/>
      <c r="H1779" s="79"/>
      <c r="I1779" s="14"/>
    </row>
    <row r="1780" spans="2:9" ht="12.75" hidden="1" customHeight="1">
      <c r="B1780" s="14"/>
      <c r="C1780" s="14"/>
      <c r="D1780" s="14"/>
      <c r="E1780" s="14"/>
      <c r="F1780" s="14"/>
      <c r="G1780" s="14"/>
      <c r="H1780" s="79"/>
      <c r="I1780" s="14"/>
    </row>
    <row r="1781" spans="2:9" ht="12.75" hidden="1" customHeight="1">
      <c r="B1781" s="14"/>
      <c r="C1781" s="14"/>
      <c r="D1781" s="14"/>
      <c r="E1781" s="14"/>
      <c r="F1781" s="14"/>
      <c r="G1781" s="14"/>
      <c r="H1781" s="79"/>
      <c r="I1781" s="14"/>
    </row>
    <row r="1782" spans="2:9" ht="12.75" hidden="1" customHeight="1">
      <c r="B1782" s="14"/>
      <c r="C1782" s="14"/>
      <c r="D1782" s="14"/>
      <c r="E1782" s="14"/>
      <c r="F1782" s="14"/>
      <c r="G1782" s="14"/>
      <c r="H1782" s="79"/>
      <c r="I1782" s="14"/>
    </row>
    <row r="1783" spans="2:9" ht="12.75" hidden="1" customHeight="1">
      <c r="B1783" s="14"/>
      <c r="C1783" s="14"/>
      <c r="D1783" s="14"/>
      <c r="E1783" s="14"/>
      <c r="F1783" s="14"/>
      <c r="G1783" s="14"/>
      <c r="H1783" s="79"/>
      <c r="I1783" s="14"/>
    </row>
    <row r="1784" spans="2:9" ht="12.75" hidden="1" customHeight="1">
      <c r="B1784" s="14"/>
      <c r="C1784" s="14"/>
      <c r="D1784" s="14"/>
      <c r="E1784" s="14"/>
      <c r="F1784" s="14"/>
      <c r="G1784" s="14"/>
      <c r="H1784" s="79"/>
      <c r="I1784" s="14"/>
    </row>
    <row r="1785" spans="2:9" ht="12.75" hidden="1" customHeight="1">
      <c r="B1785" s="14"/>
      <c r="C1785" s="14"/>
      <c r="D1785" s="14"/>
      <c r="E1785" s="14"/>
      <c r="F1785" s="14"/>
      <c r="G1785" s="14"/>
      <c r="H1785" s="79"/>
      <c r="I1785" s="14"/>
    </row>
    <row r="1786" spans="2:9" ht="12.75" hidden="1" customHeight="1">
      <c r="B1786" s="14"/>
      <c r="C1786" s="14"/>
      <c r="D1786" s="14"/>
      <c r="E1786" s="14"/>
      <c r="F1786" s="14"/>
      <c r="G1786" s="14"/>
      <c r="H1786" s="79"/>
      <c r="I1786" s="14"/>
    </row>
    <row r="1787" spans="2:9" ht="12.75" hidden="1" customHeight="1">
      <c r="B1787" s="14"/>
      <c r="C1787" s="14"/>
      <c r="D1787" s="14"/>
      <c r="E1787" s="14"/>
      <c r="F1787" s="14"/>
      <c r="G1787" s="14"/>
      <c r="H1787" s="79"/>
      <c r="I1787" s="14"/>
    </row>
    <row r="1788" spans="2:9" ht="12.75" hidden="1" customHeight="1">
      <c r="B1788" s="14"/>
      <c r="C1788" s="14"/>
      <c r="D1788" s="14"/>
      <c r="E1788" s="14"/>
      <c r="F1788" s="14"/>
      <c r="G1788" s="14"/>
      <c r="H1788" s="79"/>
      <c r="I1788" s="14"/>
    </row>
    <row r="1789" spans="2:9" ht="12.75" hidden="1" customHeight="1">
      <c r="B1789" s="14"/>
      <c r="C1789" s="14"/>
      <c r="D1789" s="14"/>
      <c r="E1789" s="14"/>
      <c r="F1789" s="14"/>
      <c r="G1789" s="14"/>
      <c r="H1789" s="79"/>
      <c r="I1789" s="14"/>
    </row>
    <row r="1790" spans="2:9" ht="12.75" hidden="1" customHeight="1">
      <c r="B1790" s="14"/>
      <c r="C1790" s="14"/>
      <c r="D1790" s="14"/>
      <c r="E1790" s="14"/>
      <c r="F1790" s="14"/>
      <c r="G1790" s="14"/>
      <c r="H1790" s="79"/>
      <c r="I1790" s="14"/>
    </row>
    <row r="1791" spans="2:9" ht="12.75" hidden="1" customHeight="1">
      <c r="B1791" s="14"/>
      <c r="C1791" s="14"/>
      <c r="D1791" s="14"/>
      <c r="E1791" s="14"/>
      <c r="F1791" s="14"/>
      <c r="G1791" s="14"/>
      <c r="H1791" s="79"/>
      <c r="I1791" s="14"/>
    </row>
    <row r="1792" spans="2:9" ht="12.75" hidden="1" customHeight="1">
      <c r="B1792" s="14"/>
      <c r="C1792" s="14"/>
      <c r="D1792" s="14"/>
      <c r="E1792" s="14"/>
      <c r="F1792" s="14"/>
      <c r="G1792" s="14"/>
      <c r="H1792" s="79"/>
      <c r="I1792" s="14"/>
    </row>
    <row r="1793" spans="2:9" ht="12.75" hidden="1" customHeight="1">
      <c r="B1793" s="14"/>
      <c r="C1793" s="14"/>
      <c r="D1793" s="14"/>
      <c r="E1793" s="14"/>
      <c r="F1793" s="14"/>
      <c r="G1793" s="14"/>
      <c r="H1793" s="79"/>
      <c r="I1793" s="14"/>
    </row>
    <row r="1794" spans="2:9" ht="12.75" hidden="1" customHeight="1">
      <c r="B1794" s="14"/>
      <c r="C1794" s="14"/>
      <c r="D1794" s="14"/>
      <c r="E1794" s="14"/>
      <c r="F1794" s="14"/>
      <c r="G1794" s="14"/>
      <c r="H1794" s="79"/>
      <c r="I1794" s="14"/>
    </row>
    <row r="1795" spans="2:9" ht="12.75" hidden="1" customHeight="1">
      <c r="B1795" s="14"/>
      <c r="C1795" s="14"/>
      <c r="D1795" s="14"/>
      <c r="E1795" s="14"/>
      <c r="F1795" s="14"/>
      <c r="G1795" s="14"/>
      <c r="H1795" s="79"/>
      <c r="I1795" s="14"/>
    </row>
    <row r="1796" spans="2:9" ht="12.75" hidden="1" customHeight="1">
      <c r="B1796" s="14"/>
      <c r="C1796" s="14"/>
      <c r="D1796" s="14"/>
      <c r="E1796" s="14"/>
      <c r="F1796" s="14"/>
      <c r="G1796" s="14"/>
      <c r="H1796" s="79"/>
      <c r="I1796" s="14"/>
    </row>
    <row r="1797" spans="2:9" ht="12.75" hidden="1" customHeight="1">
      <c r="B1797" s="14"/>
      <c r="C1797" s="14"/>
      <c r="D1797" s="14"/>
      <c r="E1797" s="14"/>
      <c r="F1797" s="14"/>
      <c r="G1797" s="14"/>
      <c r="H1797" s="79"/>
      <c r="I1797" s="14"/>
    </row>
    <row r="1798" spans="2:9" ht="12.75" hidden="1" customHeight="1">
      <c r="B1798" s="14"/>
      <c r="C1798" s="14"/>
      <c r="D1798" s="14"/>
      <c r="E1798" s="14"/>
      <c r="F1798" s="14"/>
      <c r="G1798" s="14"/>
      <c r="H1798" s="79"/>
      <c r="I1798" s="14"/>
    </row>
    <row r="1799" spans="2:9" ht="12.75" hidden="1" customHeight="1">
      <c r="B1799" s="14"/>
      <c r="C1799" s="14"/>
      <c r="D1799" s="14"/>
      <c r="E1799" s="14"/>
      <c r="F1799" s="14"/>
      <c r="G1799" s="14"/>
      <c r="H1799" s="79"/>
      <c r="I1799" s="14"/>
    </row>
    <row r="1800" spans="2:9" ht="12.75" hidden="1" customHeight="1">
      <c r="B1800" s="14"/>
      <c r="C1800" s="14"/>
      <c r="D1800" s="14"/>
      <c r="E1800" s="14"/>
      <c r="F1800" s="14"/>
      <c r="G1800" s="14"/>
      <c r="H1800" s="79"/>
      <c r="I1800" s="14"/>
    </row>
    <row r="1801" spans="2:9" ht="12.75" hidden="1" customHeight="1">
      <c r="B1801" s="14"/>
      <c r="C1801" s="14"/>
      <c r="D1801" s="14"/>
      <c r="E1801" s="14"/>
      <c r="F1801" s="14"/>
      <c r="G1801" s="14"/>
      <c r="H1801" s="79"/>
      <c r="I1801" s="14"/>
    </row>
    <row r="1802" spans="2:9" ht="12.75" hidden="1" customHeight="1">
      <c r="B1802" s="14"/>
      <c r="C1802" s="14"/>
      <c r="D1802" s="14"/>
      <c r="E1802" s="14"/>
      <c r="F1802" s="14"/>
      <c r="G1802" s="14"/>
      <c r="H1802" s="79"/>
      <c r="I1802" s="14"/>
    </row>
    <row r="1803" spans="2:9" ht="12.75" hidden="1" customHeight="1">
      <c r="B1803" s="14"/>
      <c r="C1803" s="14"/>
      <c r="D1803" s="14"/>
      <c r="E1803" s="14"/>
      <c r="F1803" s="14"/>
      <c r="G1803" s="14"/>
      <c r="H1803" s="79"/>
      <c r="I1803" s="14"/>
    </row>
    <row r="1804" spans="2:9" ht="12.75" hidden="1" customHeight="1">
      <c r="B1804" s="14"/>
      <c r="C1804" s="14"/>
      <c r="D1804" s="14"/>
      <c r="E1804" s="14"/>
      <c r="F1804" s="14"/>
      <c r="G1804" s="14"/>
      <c r="H1804" s="79"/>
      <c r="I1804" s="14"/>
    </row>
    <row r="1805" spans="2:9" ht="12.75" hidden="1" customHeight="1">
      <c r="B1805" s="14"/>
      <c r="C1805" s="14"/>
      <c r="D1805" s="14"/>
      <c r="E1805" s="14"/>
      <c r="F1805" s="14"/>
      <c r="G1805" s="14"/>
      <c r="H1805" s="79"/>
      <c r="I1805" s="14"/>
    </row>
    <row r="1806" spans="2:9" ht="12.75" hidden="1" customHeight="1">
      <c r="B1806" s="14"/>
      <c r="C1806" s="14"/>
      <c r="D1806" s="14"/>
      <c r="E1806" s="14"/>
      <c r="F1806" s="14"/>
      <c r="G1806" s="14"/>
      <c r="H1806" s="79"/>
      <c r="I1806" s="14"/>
    </row>
    <row r="1807" spans="2:9" ht="12.75" hidden="1" customHeight="1">
      <c r="B1807" s="14"/>
      <c r="C1807" s="14"/>
      <c r="D1807" s="14"/>
      <c r="E1807" s="14"/>
      <c r="F1807" s="14"/>
      <c r="G1807" s="14"/>
      <c r="H1807" s="79"/>
      <c r="I1807" s="14"/>
    </row>
    <row r="1808" spans="2:9" ht="12.75" hidden="1" customHeight="1">
      <c r="B1808" s="14"/>
      <c r="C1808" s="14"/>
      <c r="D1808" s="14"/>
      <c r="E1808" s="14"/>
      <c r="F1808" s="14"/>
      <c r="G1808" s="14"/>
      <c r="H1808" s="79"/>
      <c r="I1808" s="14"/>
    </row>
    <row r="1809" spans="2:9" ht="12.75" hidden="1" customHeight="1">
      <c r="B1809" s="14"/>
      <c r="C1809" s="14"/>
      <c r="D1809" s="14"/>
      <c r="E1809" s="14"/>
      <c r="F1809" s="14"/>
      <c r="G1809" s="14"/>
      <c r="H1809" s="79"/>
      <c r="I1809" s="14"/>
    </row>
    <row r="1810" spans="2:9" ht="12.75" hidden="1" customHeight="1">
      <c r="B1810" s="14"/>
      <c r="C1810" s="14"/>
      <c r="D1810" s="14"/>
      <c r="E1810" s="14"/>
      <c r="F1810" s="14"/>
      <c r="G1810" s="14"/>
      <c r="H1810" s="79"/>
      <c r="I1810" s="14"/>
    </row>
    <row r="1811" spans="2:9" ht="12.75" hidden="1" customHeight="1">
      <c r="B1811" s="14"/>
      <c r="C1811" s="14"/>
      <c r="D1811" s="14"/>
      <c r="E1811" s="14"/>
      <c r="F1811" s="14"/>
      <c r="G1811" s="14"/>
      <c r="H1811" s="79"/>
      <c r="I1811" s="14"/>
    </row>
    <row r="1812" spans="2:9" ht="12.75" hidden="1" customHeight="1">
      <c r="B1812" s="14"/>
      <c r="C1812" s="14"/>
      <c r="D1812" s="14"/>
      <c r="E1812" s="14"/>
      <c r="F1812" s="14"/>
      <c r="G1812" s="14"/>
      <c r="H1812" s="79"/>
      <c r="I1812" s="14"/>
    </row>
    <row r="1813" spans="2:9" ht="12.75" hidden="1" customHeight="1">
      <c r="B1813" s="14"/>
      <c r="C1813" s="14"/>
      <c r="D1813" s="14"/>
      <c r="E1813" s="14"/>
      <c r="F1813" s="14"/>
      <c r="G1813" s="14"/>
      <c r="H1813" s="79"/>
      <c r="I1813" s="14"/>
    </row>
    <row r="1814" spans="2:9" ht="12.75" hidden="1" customHeight="1">
      <c r="B1814" s="14"/>
      <c r="C1814" s="14"/>
      <c r="D1814" s="14"/>
      <c r="E1814" s="14"/>
      <c r="F1814" s="14"/>
      <c r="G1814" s="14"/>
      <c r="H1814" s="79"/>
      <c r="I1814" s="14"/>
    </row>
    <row r="1815" spans="2:9" ht="12.75" hidden="1" customHeight="1">
      <c r="B1815" s="14"/>
      <c r="C1815" s="14"/>
      <c r="D1815" s="14"/>
      <c r="E1815" s="14"/>
      <c r="F1815" s="14"/>
      <c r="G1815" s="14"/>
      <c r="H1815" s="79"/>
      <c r="I1815" s="14"/>
    </row>
    <row r="1816" spans="2:9" ht="12.75" hidden="1" customHeight="1">
      <c r="B1816" s="14"/>
      <c r="C1816" s="14"/>
      <c r="D1816" s="14"/>
      <c r="E1816" s="14"/>
      <c r="F1816" s="14"/>
      <c r="G1816" s="14"/>
      <c r="H1816" s="79"/>
      <c r="I1816" s="14"/>
    </row>
    <row r="1817" spans="2:9" ht="12.75" hidden="1" customHeight="1">
      <c r="B1817" s="14"/>
      <c r="C1817" s="14"/>
      <c r="D1817" s="14"/>
      <c r="E1817" s="14"/>
      <c r="F1817" s="14"/>
      <c r="G1817" s="14"/>
      <c r="H1817" s="79"/>
      <c r="I1817" s="14"/>
    </row>
    <row r="1818" spans="2:9" ht="12.75" hidden="1" customHeight="1">
      <c r="B1818" s="14"/>
      <c r="C1818" s="14"/>
      <c r="D1818" s="14"/>
      <c r="E1818" s="14"/>
      <c r="F1818" s="14"/>
      <c r="G1818" s="14"/>
      <c r="H1818" s="79"/>
      <c r="I1818" s="14"/>
    </row>
    <row r="1819" spans="2:9" ht="12.75" hidden="1" customHeight="1">
      <c r="B1819" s="14"/>
      <c r="C1819" s="14"/>
      <c r="D1819" s="14"/>
      <c r="E1819" s="14"/>
      <c r="F1819" s="14"/>
      <c r="G1819" s="14"/>
      <c r="H1819" s="79"/>
      <c r="I1819" s="14"/>
    </row>
    <row r="1820" spans="2:9" ht="12.75" hidden="1" customHeight="1">
      <c r="B1820" s="14"/>
      <c r="C1820" s="14"/>
      <c r="D1820" s="14"/>
      <c r="E1820" s="14"/>
      <c r="F1820" s="14"/>
      <c r="G1820" s="14"/>
      <c r="H1820" s="79"/>
      <c r="I1820" s="14"/>
    </row>
    <row r="1821" spans="2:9" ht="12.75" hidden="1" customHeight="1">
      <c r="B1821" s="14"/>
      <c r="C1821" s="14"/>
      <c r="D1821" s="14"/>
      <c r="E1821" s="14"/>
      <c r="F1821" s="14"/>
      <c r="G1821" s="14"/>
      <c r="H1821" s="79"/>
      <c r="I1821" s="14"/>
    </row>
    <row r="1822" spans="2:9" ht="12.75" hidden="1" customHeight="1">
      <c r="B1822" s="14"/>
      <c r="C1822" s="14"/>
      <c r="D1822" s="14"/>
      <c r="E1822" s="14"/>
      <c r="F1822" s="14"/>
      <c r="G1822" s="14"/>
      <c r="H1822" s="79"/>
      <c r="I1822" s="14"/>
    </row>
    <row r="1823" spans="2:9" ht="12.75" hidden="1" customHeight="1">
      <c r="B1823" s="14"/>
      <c r="C1823" s="14"/>
      <c r="D1823" s="14"/>
      <c r="E1823" s="14"/>
      <c r="F1823" s="14"/>
      <c r="G1823" s="14"/>
      <c r="H1823" s="79"/>
      <c r="I1823" s="14"/>
    </row>
    <row r="1824" spans="2:9" ht="12.75" hidden="1" customHeight="1">
      <c r="B1824" s="14"/>
      <c r="C1824" s="14"/>
      <c r="D1824" s="14"/>
      <c r="E1824" s="14"/>
      <c r="F1824" s="14"/>
      <c r="G1824" s="14"/>
      <c r="H1824" s="79"/>
      <c r="I1824" s="14"/>
    </row>
    <row r="1825" spans="2:9" ht="12.75" hidden="1" customHeight="1">
      <c r="B1825" s="14"/>
      <c r="C1825" s="14"/>
      <c r="D1825" s="14"/>
      <c r="E1825" s="14"/>
      <c r="F1825" s="14"/>
      <c r="G1825" s="14"/>
      <c r="H1825" s="79"/>
      <c r="I1825" s="14"/>
    </row>
    <row r="1826" spans="2:9" ht="12.75" hidden="1" customHeight="1">
      <c r="B1826" s="14"/>
      <c r="C1826" s="14"/>
      <c r="D1826" s="14"/>
      <c r="E1826" s="14"/>
      <c r="F1826" s="14"/>
      <c r="G1826" s="14"/>
      <c r="H1826" s="79"/>
      <c r="I1826" s="14"/>
    </row>
    <row r="1827" spans="2:9" ht="12.75" hidden="1" customHeight="1">
      <c r="B1827" s="14"/>
      <c r="C1827" s="14"/>
      <c r="D1827" s="14"/>
      <c r="E1827" s="14"/>
      <c r="F1827" s="14"/>
      <c r="G1827" s="14"/>
      <c r="H1827" s="79"/>
      <c r="I1827" s="14"/>
    </row>
    <row r="1828" spans="2:9" ht="12.75" hidden="1" customHeight="1">
      <c r="B1828" s="14"/>
      <c r="C1828" s="14"/>
      <c r="D1828" s="14"/>
      <c r="E1828" s="14"/>
      <c r="F1828" s="14"/>
      <c r="G1828" s="14"/>
      <c r="H1828" s="79"/>
      <c r="I1828" s="14"/>
    </row>
    <row r="1829" spans="2:9" ht="12.75" hidden="1" customHeight="1">
      <c r="B1829" s="14"/>
      <c r="C1829" s="14"/>
      <c r="D1829" s="14"/>
      <c r="E1829" s="14"/>
      <c r="F1829" s="14"/>
      <c r="G1829" s="14"/>
      <c r="H1829" s="79"/>
      <c r="I1829" s="14"/>
    </row>
    <row r="1830" spans="2:9" ht="12.75" hidden="1" customHeight="1">
      <c r="B1830" s="14"/>
      <c r="C1830" s="14"/>
      <c r="D1830" s="14"/>
      <c r="E1830" s="14"/>
      <c r="F1830" s="14"/>
      <c r="G1830" s="14"/>
      <c r="H1830" s="79"/>
      <c r="I1830" s="14"/>
    </row>
    <row r="1831" spans="2:9" ht="12.75" hidden="1" customHeight="1">
      <c r="B1831" s="14"/>
      <c r="C1831" s="14"/>
      <c r="D1831" s="14"/>
      <c r="E1831" s="14"/>
      <c r="F1831" s="14"/>
      <c r="G1831" s="14"/>
      <c r="H1831" s="79"/>
      <c r="I1831" s="14"/>
    </row>
    <row r="1832" spans="2:9" ht="12.75" hidden="1" customHeight="1">
      <c r="B1832" s="14"/>
      <c r="C1832" s="14"/>
      <c r="D1832" s="14"/>
      <c r="E1832" s="14"/>
      <c r="F1832" s="14"/>
      <c r="G1832" s="14"/>
      <c r="H1832" s="79"/>
      <c r="I1832" s="14"/>
    </row>
    <row r="1833" spans="2:9" ht="12.75" hidden="1" customHeight="1">
      <c r="B1833" s="14"/>
      <c r="C1833" s="14"/>
      <c r="D1833" s="14"/>
      <c r="E1833" s="14"/>
      <c r="F1833" s="14"/>
      <c r="G1833" s="14"/>
      <c r="H1833" s="79"/>
      <c r="I1833" s="14"/>
    </row>
    <row r="1834" spans="2:9" ht="12.75" hidden="1" customHeight="1">
      <c r="B1834" s="14"/>
      <c r="C1834" s="14"/>
      <c r="D1834" s="14"/>
      <c r="E1834" s="14"/>
      <c r="F1834" s="14"/>
      <c r="G1834" s="14"/>
      <c r="H1834" s="79"/>
      <c r="I1834" s="14"/>
    </row>
    <row r="1835" spans="2:9" ht="12.75" hidden="1" customHeight="1">
      <c r="B1835" s="14"/>
      <c r="C1835" s="14"/>
      <c r="D1835" s="14"/>
      <c r="E1835" s="14"/>
      <c r="F1835" s="14"/>
      <c r="G1835" s="14"/>
      <c r="H1835" s="79"/>
      <c r="I1835" s="14"/>
    </row>
    <row r="1836" spans="2:9" ht="12.75" hidden="1" customHeight="1">
      <c r="B1836" s="14"/>
      <c r="C1836" s="14"/>
      <c r="D1836" s="14"/>
      <c r="E1836" s="14"/>
      <c r="F1836" s="14"/>
      <c r="G1836" s="14"/>
      <c r="H1836" s="79"/>
      <c r="I1836" s="14"/>
    </row>
    <row r="1837" spans="2:9" ht="12.75" hidden="1" customHeight="1">
      <c r="B1837" s="14"/>
      <c r="C1837" s="14"/>
      <c r="D1837" s="14"/>
      <c r="E1837" s="14"/>
      <c r="F1837" s="14"/>
      <c r="G1837" s="14"/>
      <c r="H1837" s="79"/>
      <c r="I1837" s="14"/>
    </row>
    <row r="1838" spans="2:9" ht="12.75" hidden="1" customHeight="1">
      <c r="B1838" s="14"/>
      <c r="C1838" s="14"/>
      <c r="D1838" s="14"/>
      <c r="E1838" s="14"/>
      <c r="F1838" s="14"/>
      <c r="G1838" s="14"/>
      <c r="H1838" s="79"/>
      <c r="I1838" s="14"/>
    </row>
    <row r="1839" spans="2:9" ht="12.75" hidden="1" customHeight="1">
      <c r="B1839" s="14"/>
      <c r="C1839" s="14"/>
      <c r="D1839" s="14"/>
      <c r="E1839" s="14"/>
      <c r="F1839" s="14"/>
      <c r="G1839" s="14"/>
      <c r="H1839" s="79"/>
      <c r="I1839" s="14"/>
    </row>
    <row r="1840" spans="2:9" ht="12.75" hidden="1" customHeight="1">
      <c r="B1840" s="14"/>
      <c r="C1840" s="14"/>
      <c r="D1840" s="14"/>
      <c r="E1840" s="14"/>
      <c r="F1840" s="14"/>
      <c r="G1840" s="14"/>
      <c r="H1840" s="79"/>
      <c r="I1840" s="14"/>
    </row>
    <row r="1841" spans="2:9" ht="12.75" hidden="1" customHeight="1">
      <c r="B1841" s="14"/>
      <c r="C1841" s="14"/>
      <c r="D1841" s="14"/>
      <c r="E1841" s="14"/>
      <c r="F1841" s="14"/>
      <c r="G1841" s="14"/>
      <c r="H1841" s="79"/>
      <c r="I1841" s="14"/>
    </row>
    <row r="1842" spans="2:9" ht="12.75" hidden="1" customHeight="1">
      <c r="B1842" s="14"/>
      <c r="C1842" s="14"/>
      <c r="D1842" s="14"/>
      <c r="E1842" s="14"/>
      <c r="F1842" s="14"/>
      <c r="G1842" s="14"/>
      <c r="H1842" s="79"/>
      <c r="I1842" s="14"/>
    </row>
    <row r="1843" spans="2:9" ht="12.75" hidden="1" customHeight="1">
      <c r="B1843" s="14"/>
      <c r="C1843" s="14"/>
      <c r="D1843" s="14"/>
      <c r="E1843" s="14"/>
      <c r="F1843" s="14"/>
      <c r="G1843" s="14"/>
      <c r="H1843" s="79"/>
      <c r="I1843" s="14"/>
    </row>
    <row r="1844" spans="2:9" ht="12.75" hidden="1" customHeight="1">
      <c r="B1844" s="14"/>
      <c r="C1844" s="14"/>
      <c r="D1844" s="14"/>
      <c r="E1844" s="14"/>
      <c r="F1844" s="14"/>
      <c r="G1844" s="14"/>
      <c r="H1844" s="79"/>
      <c r="I1844" s="14"/>
    </row>
    <row r="1845" spans="2:9" ht="12.75" hidden="1" customHeight="1">
      <c r="B1845" s="14"/>
      <c r="C1845" s="14"/>
      <c r="D1845" s="14"/>
      <c r="E1845" s="14"/>
      <c r="F1845" s="14"/>
      <c r="G1845" s="14"/>
      <c r="H1845" s="79"/>
      <c r="I1845" s="14"/>
    </row>
    <row r="1846" spans="2:9" ht="12.75" hidden="1" customHeight="1">
      <c r="B1846" s="14"/>
      <c r="C1846" s="14"/>
      <c r="D1846" s="14"/>
      <c r="E1846" s="14"/>
      <c r="F1846" s="14"/>
      <c r="G1846" s="14"/>
      <c r="H1846" s="79"/>
      <c r="I1846" s="14"/>
    </row>
    <row r="1847" spans="2:9" ht="12.75" hidden="1" customHeight="1">
      <c r="B1847" s="14"/>
      <c r="C1847" s="14"/>
      <c r="D1847" s="14"/>
      <c r="E1847" s="14"/>
      <c r="F1847" s="14"/>
      <c r="G1847" s="14"/>
      <c r="H1847" s="79"/>
      <c r="I1847" s="14"/>
    </row>
    <row r="1848" spans="2:9" ht="12.75" hidden="1" customHeight="1">
      <c r="B1848" s="14"/>
      <c r="C1848" s="14"/>
      <c r="D1848" s="14"/>
      <c r="E1848" s="14"/>
      <c r="F1848" s="14"/>
      <c r="G1848" s="14"/>
      <c r="H1848" s="79"/>
      <c r="I1848" s="14"/>
    </row>
    <row r="1849" spans="2:9" ht="12.75" hidden="1" customHeight="1">
      <c r="B1849" s="14"/>
      <c r="C1849" s="14"/>
      <c r="D1849" s="14"/>
      <c r="E1849" s="14"/>
      <c r="F1849" s="14"/>
      <c r="G1849" s="14"/>
      <c r="H1849" s="79"/>
      <c r="I1849" s="14"/>
    </row>
    <row r="1850" spans="2:9" ht="12.75" hidden="1" customHeight="1">
      <c r="B1850" s="14"/>
      <c r="C1850" s="14"/>
      <c r="D1850" s="14"/>
      <c r="E1850" s="14"/>
      <c r="F1850" s="14"/>
      <c r="G1850" s="14"/>
      <c r="H1850" s="79"/>
      <c r="I1850" s="14"/>
    </row>
    <row r="1851" spans="2:9" ht="12.75" hidden="1" customHeight="1">
      <c r="B1851" s="14"/>
      <c r="C1851" s="14"/>
      <c r="D1851" s="14"/>
      <c r="E1851" s="14"/>
      <c r="F1851" s="14"/>
      <c r="G1851" s="14"/>
      <c r="H1851" s="79"/>
      <c r="I1851" s="14"/>
    </row>
    <row r="1852" spans="2:9" ht="12.75" hidden="1" customHeight="1">
      <c r="B1852" s="14"/>
      <c r="C1852" s="14"/>
      <c r="D1852" s="14"/>
      <c r="E1852" s="14"/>
      <c r="F1852" s="14"/>
      <c r="G1852" s="14"/>
      <c r="H1852" s="79"/>
      <c r="I1852" s="14"/>
    </row>
    <row r="1853" spans="2:9" ht="12.75" hidden="1" customHeight="1">
      <c r="B1853" s="14"/>
      <c r="C1853" s="14"/>
      <c r="D1853" s="14"/>
      <c r="E1853" s="14"/>
      <c r="F1853" s="14"/>
      <c r="G1853" s="14"/>
      <c r="H1853" s="79"/>
      <c r="I1853" s="14"/>
    </row>
    <row r="1854" spans="2:9" ht="12.75" hidden="1" customHeight="1">
      <c r="B1854" s="14"/>
      <c r="C1854" s="14"/>
      <c r="D1854" s="14"/>
      <c r="E1854" s="14"/>
      <c r="F1854" s="14"/>
      <c r="G1854" s="14"/>
      <c r="H1854" s="79"/>
      <c r="I1854" s="14"/>
    </row>
    <row r="1855" spans="2:9" ht="12.75" hidden="1" customHeight="1">
      <c r="B1855" s="14"/>
      <c r="C1855" s="14"/>
      <c r="D1855" s="14"/>
      <c r="E1855" s="14"/>
      <c r="F1855" s="14"/>
      <c r="G1855" s="14"/>
      <c r="H1855" s="79"/>
      <c r="I1855" s="14"/>
    </row>
    <row r="1856" spans="2:9" ht="12.75" hidden="1" customHeight="1">
      <c r="B1856" s="14"/>
      <c r="C1856" s="14"/>
      <c r="D1856" s="14"/>
      <c r="E1856" s="14"/>
      <c r="F1856" s="14"/>
      <c r="G1856" s="14"/>
      <c r="H1856" s="79"/>
      <c r="I1856" s="14"/>
    </row>
    <row r="1857" spans="2:9" ht="12.75" hidden="1" customHeight="1">
      <c r="B1857" s="14"/>
      <c r="C1857" s="14"/>
      <c r="D1857" s="14"/>
      <c r="E1857" s="14"/>
      <c r="F1857" s="14"/>
      <c r="G1857" s="14"/>
      <c r="H1857" s="79"/>
      <c r="I1857" s="14"/>
    </row>
    <row r="1858" spans="2:9" ht="12.75" hidden="1" customHeight="1">
      <c r="B1858" s="14"/>
      <c r="C1858" s="14"/>
      <c r="D1858" s="14"/>
      <c r="E1858" s="14"/>
      <c r="F1858" s="14"/>
      <c r="G1858" s="14"/>
      <c r="H1858" s="79"/>
      <c r="I1858" s="14"/>
    </row>
    <row r="1859" spans="2:9" ht="12.75" hidden="1" customHeight="1">
      <c r="B1859" s="14"/>
      <c r="C1859" s="14"/>
      <c r="D1859" s="14"/>
      <c r="E1859" s="14"/>
      <c r="F1859" s="14"/>
      <c r="G1859" s="14"/>
      <c r="H1859" s="79"/>
      <c r="I1859" s="14"/>
    </row>
    <row r="1860" spans="2:9" ht="12.75" hidden="1" customHeight="1">
      <c r="B1860" s="14"/>
      <c r="C1860" s="14"/>
      <c r="D1860" s="14"/>
      <c r="E1860" s="14"/>
      <c r="F1860" s="14"/>
      <c r="G1860" s="14"/>
      <c r="H1860" s="79"/>
      <c r="I1860" s="14"/>
    </row>
    <row r="1861" spans="2:9" ht="12.75" hidden="1" customHeight="1">
      <c r="B1861" s="14"/>
      <c r="C1861" s="14"/>
      <c r="D1861" s="14"/>
      <c r="E1861" s="14"/>
      <c r="F1861" s="14"/>
      <c r="G1861" s="14"/>
      <c r="H1861" s="79"/>
      <c r="I1861" s="14"/>
    </row>
    <row r="1862" spans="2:9" ht="12.75" hidden="1" customHeight="1">
      <c r="B1862" s="14"/>
      <c r="C1862" s="14"/>
      <c r="D1862" s="14"/>
      <c r="E1862" s="14"/>
      <c r="F1862" s="14"/>
      <c r="G1862" s="14"/>
      <c r="H1862" s="79"/>
      <c r="I1862" s="14"/>
    </row>
    <row r="1863" spans="2:9" ht="12.75" hidden="1" customHeight="1">
      <c r="B1863" s="14"/>
      <c r="C1863" s="14"/>
      <c r="D1863" s="14"/>
      <c r="E1863" s="14"/>
      <c r="F1863" s="14"/>
      <c r="G1863" s="14"/>
      <c r="H1863" s="79"/>
      <c r="I1863" s="14"/>
    </row>
    <row r="1864" spans="2:9" ht="12.75" hidden="1" customHeight="1">
      <c r="B1864" s="14"/>
      <c r="C1864" s="14"/>
      <c r="D1864" s="14"/>
      <c r="E1864" s="14"/>
      <c r="F1864" s="14"/>
      <c r="G1864" s="14"/>
      <c r="H1864" s="79"/>
      <c r="I1864" s="14"/>
    </row>
    <row r="1865" spans="2:9" ht="12.75" hidden="1" customHeight="1">
      <c r="B1865" s="14"/>
      <c r="C1865" s="14"/>
      <c r="D1865" s="14"/>
      <c r="E1865" s="14"/>
      <c r="F1865" s="14"/>
      <c r="G1865" s="14"/>
      <c r="H1865" s="79"/>
      <c r="I1865" s="14"/>
    </row>
    <row r="1866" spans="2:9" ht="12.75" hidden="1" customHeight="1">
      <c r="B1866" s="14"/>
      <c r="C1866" s="14"/>
      <c r="D1866" s="14"/>
      <c r="E1866" s="14"/>
      <c r="F1866" s="14"/>
      <c r="G1866" s="14"/>
      <c r="H1866" s="79"/>
      <c r="I1866" s="14"/>
    </row>
    <row r="1867" spans="2:9" ht="12.75" hidden="1" customHeight="1">
      <c r="B1867" s="14"/>
      <c r="C1867" s="14"/>
      <c r="D1867" s="14"/>
      <c r="E1867" s="14"/>
      <c r="F1867" s="14"/>
      <c r="G1867" s="14"/>
      <c r="H1867" s="79"/>
      <c r="I1867" s="14"/>
    </row>
    <row r="1868" spans="2:9" ht="12.75" hidden="1" customHeight="1">
      <c r="B1868" s="14"/>
      <c r="C1868" s="14"/>
      <c r="D1868" s="14"/>
      <c r="E1868" s="14"/>
      <c r="F1868" s="14"/>
      <c r="G1868" s="14"/>
      <c r="H1868" s="79"/>
      <c r="I1868" s="14"/>
    </row>
    <row r="1869" spans="2:9" ht="12.75" hidden="1" customHeight="1">
      <c r="B1869" s="14"/>
      <c r="C1869" s="14"/>
      <c r="D1869" s="14"/>
      <c r="E1869" s="14"/>
      <c r="F1869" s="14"/>
      <c r="G1869" s="14"/>
      <c r="H1869" s="79"/>
      <c r="I1869" s="14"/>
    </row>
    <row r="1870" spans="2:9" ht="12.75" hidden="1" customHeight="1">
      <c r="B1870" s="14"/>
      <c r="C1870" s="14"/>
      <c r="D1870" s="14"/>
      <c r="E1870" s="14"/>
      <c r="F1870" s="14"/>
      <c r="G1870" s="14"/>
      <c r="H1870" s="79"/>
      <c r="I1870" s="14"/>
    </row>
    <row r="1871" spans="2:9" ht="12.75" hidden="1" customHeight="1">
      <c r="B1871" s="14"/>
      <c r="C1871" s="14"/>
      <c r="D1871" s="14"/>
      <c r="E1871" s="14"/>
      <c r="F1871" s="14"/>
      <c r="G1871" s="14"/>
      <c r="H1871" s="79"/>
      <c r="I1871" s="14"/>
    </row>
    <row r="1872" spans="2:9" ht="12.75" hidden="1" customHeight="1">
      <c r="B1872" s="14"/>
      <c r="C1872" s="14"/>
      <c r="D1872" s="14"/>
      <c r="E1872" s="14"/>
      <c r="F1872" s="14"/>
      <c r="G1872" s="14"/>
      <c r="H1872" s="79"/>
      <c r="I1872" s="14"/>
    </row>
    <row r="1873" spans="2:9" ht="12.75" hidden="1" customHeight="1">
      <c r="B1873" s="14"/>
      <c r="C1873" s="14"/>
      <c r="D1873" s="14"/>
      <c r="E1873" s="14"/>
      <c r="F1873" s="14"/>
      <c r="G1873" s="14"/>
      <c r="H1873" s="79"/>
      <c r="I1873" s="14"/>
    </row>
    <row r="1874" spans="2:9" ht="12.75" hidden="1" customHeight="1">
      <c r="B1874" s="14"/>
      <c r="C1874" s="14"/>
      <c r="D1874" s="14"/>
      <c r="E1874" s="14"/>
      <c r="F1874" s="14"/>
      <c r="G1874" s="14"/>
      <c r="H1874" s="79"/>
      <c r="I1874" s="14"/>
    </row>
    <row r="1875" spans="2:9" ht="12.75" hidden="1" customHeight="1">
      <c r="B1875" s="14"/>
      <c r="C1875" s="14"/>
      <c r="D1875" s="14"/>
      <c r="E1875" s="14"/>
      <c r="F1875" s="14"/>
      <c r="G1875" s="14"/>
      <c r="H1875" s="79"/>
      <c r="I1875" s="14"/>
    </row>
    <row r="1876" spans="2:9" ht="12.75" hidden="1" customHeight="1">
      <c r="B1876" s="14"/>
      <c r="C1876" s="14"/>
      <c r="D1876" s="14"/>
      <c r="E1876" s="14"/>
      <c r="F1876" s="14"/>
      <c r="G1876" s="14"/>
      <c r="H1876" s="79"/>
      <c r="I1876" s="14"/>
    </row>
    <row r="1877" spans="2:9" ht="12.75" hidden="1" customHeight="1">
      <c r="B1877" s="14"/>
      <c r="C1877" s="14"/>
      <c r="D1877" s="14"/>
      <c r="E1877" s="14"/>
      <c r="F1877" s="14"/>
      <c r="G1877" s="14"/>
      <c r="H1877" s="79"/>
      <c r="I1877" s="14"/>
    </row>
    <row r="1878" spans="2:9" ht="12.75" hidden="1" customHeight="1">
      <c r="B1878" s="14"/>
      <c r="C1878" s="14"/>
      <c r="D1878" s="14"/>
      <c r="E1878" s="14"/>
      <c r="F1878" s="14"/>
      <c r="G1878" s="14"/>
      <c r="H1878" s="79"/>
      <c r="I1878" s="14"/>
    </row>
    <row r="1879" spans="2:9" ht="12.75" hidden="1" customHeight="1">
      <c r="B1879" s="14"/>
      <c r="C1879" s="14"/>
      <c r="D1879" s="14"/>
      <c r="E1879" s="14"/>
      <c r="F1879" s="14"/>
      <c r="G1879" s="14"/>
      <c r="H1879" s="79"/>
      <c r="I1879" s="14"/>
    </row>
    <row r="1880" spans="2:9" ht="12.75" hidden="1" customHeight="1">
      <c r="B1880" s="14"/>
      <c r="C1880" s="14"/>
      <c r="D1880" s="14"/>
      <c r="E1880" s="14"/>
      <c r="F1880" s="14"/>
      <c r="G1880" s="14"/>
      <c r="H1880" s="79"/>
      <c r="I1880" s="14"/>
    </row>
    <row r="1881" spans="2:9" ht="12.75" hidden="1" customHeight="1">
      <c r="B1881" s="14"/>
      <c r="C1881" s="14"/>
      <c r="D1881" s="14"/>
      <c r="E1881" s="14"/>
      <c r="F1881" s="14"/>
      <c r="G1881" s="14"/>
      <c r="H1881" s="79"/>
      <c r="I1881" s="14"/>
    </row>
    <row r="1882" spans="2:9" ht="12.75" hidden="1" customHeight="1">
      <c r="B1882" s="14"/>
      <c r="C1882" s="14"/>
      <c r="D1882" s="14"/>
      <c r="E1882" s="14"/>
      <c r="F1882" s="14"/>
      <c r="G1882" s="14"/>
      <c r="H1882" s="79"/>
      <c r="I1882" s="14"/>
    </row>
    <row r="1883" spans="2:9" ht="12.75" hidden="1" customHeight="1">
      <c r="B1883" s="14"/>
      <c r="C1883" s="14"/>
      <c r="D1883" s="14"/>
      <c r="E1883" s="14"/>
      <c r="F1883" s="14"/>
      <c r="G1883" s="14"/>
      <c r="H1883" s="79"/>
      <c r="I1883" s="14"/>
    </row>
    <row r="1884" spans="2:9" ht="12.75" hidden="1" customHeight="1">
      <c r="B1884" s="14"/>
      <c r="C1884" s="14"/>
      <c r="D1884" s="14"/>
      <c r="E1884" s="14"/>
      <c r="F1884" s="14"/>
      <c r="G1884" s="14"/>
      <c r="H1884" s="79"/>
      <c r="I1884" s="14"/>
    </row>
    <row r="1885" spans="2:9" ht="12.75" hidden="1" customHeight="1">
      <c r="B1885" s="14"/>
      <c r="C1885" s="14"/>
      <c r="D1885" s="14"/>
      <c r="E1885" s="14"/>
      <c r="F1885" s="14"/>
      <c r="G1885" s="14"/>
      <c r="H1885" s="79"/>
      <c r="I1885" s="14"/>
    </row>
    <row r="1886" spans="2:9" ht="12.75" hidden="1" customHeight="1">
      <c r="B1886" s="14"/>
      <c r="C1886" s="14"/>
      <c r="D1886" s="14"/>
      <c r="E1886" s="14"/>
      <c r="F1886" s="14"/>
      <c r="G1886" s="14"/>
      <c r="H1886" s="79"/>
      <c r="I1886" s="14"/>
    </row>
    <row r="1887" spans="2:9" ht="12.75" hidden="1" customHeight="1">
      <c r="B1887" s="14"/>
      <c r="C1887" s="14"/>
      <c r="D1887" s="14"/>
      <c r="E1887" s="14"/>
      <c r="F1887" s="14"/>
      <c r="G1887" s="14"/>
      <c r="H1887" s="79"/>
      <c r="I1887" s="14"/>
    </row>
    <row r="1888" spans="2:9" ht="12.75" hidden="1" customHeight="1">
      <c r="B1888" s="14"/>
      <c r="C1888" s="14"/>
      <c r="D1888" s="14"/>
      <c r="E1888" s="14"/>
      <c r="F1888" s="14"/>
      <c r="G1888" s="14"/>
      <c r="H1888" s="79"/>
      <c r="I1888" s="14"/>
    </row>
    <row r="1889" spans="2:9" ht="12.75" hidden="1" customHeight="1">
      <c r="B1889" s="14"/>
      <c r="C1889" s="14"/>
      <c r="D1889" s="14"/>
      <c r="E1889" s="14"/>
      <c r="F1889" s="14"/>
      <c r="G1889" s="14"/>
      <c r="H1889" s="79"/>
      <c r="I1889" s="14"/>
    </row>
    <row r="1890" spans="2:9" ht="12.75" hidden="1" customHeight="1">
      <c r="B1890" s="14"/>
      <c r="C1890" s="14"/>
      <c r="D1890" s="14"/>
      <c r="E1890" s="14"/>
      <c r="F1890" s="14"/>
      <c r="G1890" s="14"/>
      <c r="H1890" s="79"/>
      <c r="I1890" s="14"/>
    </row>
    <row r="1891" spans="2:9" ht="12.75" hidden="1" customHeight="1">
      <c r="B1891" s="14"/>
      <c r="C1891" s="14"/>
      <c r="D1891" s="14"/>
      <c r="E1891" s="14"/>
      <c r="F1891" s="14"/>
      <c r="G1891" s="14"/>
      <c r="H1891" s="79"/>
      <c r="I1891" s="14"/>
    </row>
    <row r="1892" spans="2:9" ht="12.75" hidden="1" customHeight="1">
      <c r="B1892" s="14"/>
      <c r="C1892" s="14"/>
      <c r="D1892" s="14"/>
      <c r="E1892" s="14"/>
      <c r="F1892" s="14"/>
      <c r="G1892" s="14"/>
      <c r="H1892" s="79"/>
      <c r="I1892" s="14"/>
    </row>
    <row r="1893" spans="2:9" ht="12.75" hidden="1" customHeight="1">
      <c r="B1893" s="14"/>
      <c r="C1893" s="14"/>
      <c r="D1893" s="14"/>
      <c r="E1893" s="14"/>
      <c r="F1893" s="14"/>
      <c r="G1893" s="14"/>
      <c r="H1893" s="79"/>
      <c r="I1893" s="14"/>
    </row>
    <row r="1894" spans="2:9" ht="12.75" hidden="1" customHeight="1">
      <c r="B1894" s="14"/>
      <c r="C1894" s="14"/>
      <c r="D1894" s="14"/>
      <c r="E1894" s="14"/>
      <c r="F1894" s="14"/>
      <c r="G1894" s="14"/>
      <c r="H1894" s="79"/>
      <c r="I1894" s="14"/>
    </row>
    <row r="1895" spans="2:9" ht="12.75" hidden="1" customHeight="1">
      <c r="B1895" s="14"/>
      <c r="C1895" s="14"/>
      <c r="D1895" s="14"/>
      <c r="E1895" s="14"/>
      <c r="F1895" s="14"/>
      <c r="G1895" s="14"/>
      <c r="H1895" s="79"/>
      <c r="I1895" s="14"/>
    </row>
    <row r="1896" spans="2:9" ht="12.75" hidden="1" customHeight="1">
      <c r="B1896" s="14"/>
      <c r="C1896" s="14"/>
      <c r="D1896" s="14"/>
      <c r="E1896" s="14"/>
      <c r="F1896" s="14"/>
      <c r="G1896" s="14"/>
      <c r="H1896" s="79"/>
      <c r="I1896" s="14"/>
    </row>
    <row r="1897" spans="2:9" ht="12.75" hidden="1" customHeight="1">
      <c r="B1897" s="14"/>
      <c r="C1897" s="14"/>
      <c r="D1897" s="14"/>
      <c r="E1897" s="14"/>
      <c r="F1897" s="14"/>
      <c r="G1897" s="14"/>
      <c r="H1897" s="79"/>
      <c r="I1897" s="14"/>
    </row>
    <row r="1898" spans="2:9" ht="12.75" hidden="1" customHeight="1">
      <c r="B1898" s="14"/>
      <c r="C1898" s="14"/>
      <c r="D1898" s="14"/>
      <c r="E1898" s="14"/>
      <c r="F1898" s="14"/>
      <c r="G1898" s="14"/>
      <c r="H1898" s="79"/>
      <c r="I1898" s="14"/>
    </row>
    <row r="1899" spans="2:9" ht="12.75" hidden="1" customHeight="1">
      <c r="B1899" s="14"/>
      <c r="C1899" s="14"/>
      <c r="D1899" s="14"/>
      <c r="E1899" s="14"/>
      <c r="F1899" s="14"/>
      <c r="G1899" s="14"/>
      <c r="H1899" s="79"/>
      <c r="I1899" s="14"/>
    </row>
    <row r="1900" spans="2:9" ht="12.75" hidden="1" customHeight="1">
      <c r="B1900" s="14"/>
      <c r="C1900" s="14"/>
      <c r="D1900" s="14"/>
      <c r="E1900" s="14"/>
      <c r="F1900" s="14"/>
      <c r="G1900" s="14"/>
      <c r="H1900" s="79"/>
      <c r="I1900" s="14"/>
    </row>
    <row r="1901" spans="2:9" ht="12.75" hidden="1" customHeight="1">
      <c r="B1901" s="14"/>
      <c r="C1901" s="14"/>
      <c r="D1901" s="14"/>
      <c r="E1901" s="14"/>
      <c r="F1901" s="14"/>
      <c r="G1901" s="14"/>
      <c r="H1901" s="79"/>
      <c r="I1901" s="14"/>
    </row>
    <row r="1902" spans="2:9" ht="12.75" hidden="1" customHeight="1">
      <c r="B1902" s="14"/>
      <c r="C1902" s="14"/>
      <c r="D1902" s="14"/>
      <c r="E1902" s="14"/>
      <c r="F1902" s="14"/>
      <c r="G1902" s="14"/>
      <c r="H1902" s="79"/>
      <c r="I1902" s="14"/>
    </row>
    <row r="1903" spans="2:9" ht="12.75" hidden="1" customHeight="1">
      <c r="B1903" s="14"/>
      <c r="C1903" s="14"/>
      <c r="D1903" s="14"/>
      <c r="E1903" s="14"/>
      <c r="F1903" s="14"/>
      <c r="G1903" s="14"/>
      <c r="H1903" s="79"/>
      <c r="I1903" s="14"/>
    </row>
    <row r="1904" spans="2:9" ht="12.75" hidden="1" customHeight="1">
      <c r="B1904" s="14"/>
      <c r="C1904" s="14"/>
      <c r="D1904" s="14"/>
      <c r="E1904" s="14"/>
      <c r="F1904" s="14"/>
      <c r="G1904" s="14"/>
      <c r="H1904" s="79"/>
      <c r="I1904" s="14"/>
    </row>
    <row r="1905" spans="2:9" ht="12.75" hidden="1" customHeight="1">
      <c r="B1905" s="14"/>
      <c r="C1905" s="14"/>
      <c r="D1905" s="14"/>
      <c r="E1905" s="14"/>
      <c r="F1905" s="14"/>
      <c r="G1905" s="14"/>
      <c r="H1905" s="79"/>
      <c r="I1905" s="14"/>
    </row>
    <row r="1906" spans="2:9" ht="12.75" hidden="1" customHeight="1">
      <c r="B1906" s="14"/>
      <c r="C1906" s="14"/>
      <c r="D1906" s="14"/>
      <c r="E1906" s="14"/>
      <c r="F1906" s="14"/>
      <c r="G1906" s="14"/>
      <c r="H1906" s="79"/>
      <c r="I1906" s="14"/>
    </row>
    <row r="1907" spans="2:9" ht="12.75" hidden="1" customHeight="1">
      <c r="B1907" s="14"/>
      <c r="C1907" s="14"/>
      <c r="D1907" s="14"/>
      <c r="E1907" s="14"/>
      <c r="F1907" s="14"/>
      <c r="G1907" s="14"/>
      <c r="H1907" s="79"/>
      <c r="I1907" s="14"/>
    </row>
    <row r="1908" spans="2:9" ht="12.75" hidden="1" customHeight="1">
      <c r="B1908" s="14"/>
      <c r="C1908" s="14"/>
      <c r="D1908" s="14"/>
      <c r="E1908" s="14"/>
      <c r="F1908" s="14"/>
      <c r="G1908" s="14"/>
      <c r="H1908" s="79"/>
      <c r="I1908" s="14"/>
    </row>
    <row r="1909" spans="2:9" ht="12.75" hidden="1" customHeight="1">
      <c r="B1909" s="14"/>
      <c r="C1909" s="14"/>
      <c r="D1909" s="14"/>
      <c r="E1909" s="14"/>
      <c r="F1909" s="14"/>
      <c r="G1909" s="14"/>
      <c r="H1909" s="79"/>
      <c r="I1909" s="14"/>
    </row>
    <row r="1910" spans="2:9" ht="12.75" hidden="1" customHeight="1">
      <c r="B1910" s="14"/>
      <c r="C1910" s="14"/>
      <c r="D1910" s="14"/>
      <c r="E1910" s="14"/>
      <c r="F1910" s="14"/>
      <c r="G1910" s="14"/>
      <c r="H1910" s="79"/>
      <c r="I1910" s="14"/>
    </row>
    <row r="1911" spans="2:9" ht="12.75" hidden="1" customHeight="1">
      <c r="B1911" s="14"/>
      <c r="C1911" s="14"/>
      <c r="D1911" s="14"/>
      <c r="E1911" s="14"/>
      <c r="F1911" s="14"/>
      <c r="G1911" s="14"/>
      <c r="H1911" s="79"/>
      <c r="I1911" s="14"/>
    </row>
    <row r="1912" spans="2:9" ht="12.75" hidden="1" customHeight="1">
      <c r="B1912" s="14"/>
      <c r="C1912" s="14"/>
      <c r="D1912" s="14"/>
      <c r="E1912" s="14"/>
      <c r="F1912" s="14"/>
      <c r="G1912" s="14"/>
      <c r="H1912" s="79"/>
      <c r="I1912" s="14"/>
    </row>
    <row r="1913" spans="2:9" ht="12.75" hidden="1" customHeight="1">
      <c r="B1913" s="14"/>
      <c r="C1913" s="14"/>
      <c r="D1913" s="14"/>
      <c r="E1913" s="14"/>
      <c r="F1913" s="14"/>
      <c r="G1913" s="14"/>
      <c r="H1913" s="79"/>
      <c r="I1913" s="14"/>
    </row>
    <row r="1914" spans="2:9" ht="12.75" hidden="1" customHeight="1">
      <c r="B1914" s="14"/>
      <c r="C1914" s="14"/>
      <c r="D1914" s="14"/>
      <c r="E1914" s="14"/>
      <c r="F1914" s="14"/>
      <c r="G1914" s="14"/>
      <c r="H1914" s="79"/>
      <c r="I1914" s="14"/>
    </row>
    <row r="1915" spans="2:9" ht="12.75" hidden="1" customHeight="1">
      <c r="B1915" s="14"/>
      <c r="C1915" s="14"/>
      <c r="D1915" s="14"/>
      <c r="E1915" s="14"/>
      <c r="F1915" s="14"/>
      <c r="G1915" s="14"/>
      <c r="H1915" s="79"/>
      <c r="I1915" s="14"/>
    </row>
    <row r="1916" spans="2:9" ht="12.75" hidden="1" customHeight="1">
      <c r="B1916" s="14"/>
      <c r="C1916" s="14"/>
      <c r="D1916" s="14"/>
      <c r="E1916" s="14"/>
      <c r="F1916" s="14"/>
      <c r="G1916" s="14"/>
      <c r="H1916" s="79"/>
      <c r="I1916" s="14"/>
    </row>
    <row r="1917" spans="2:9" ht="12.75" hidden="1" customHeight="1">
      <c r="B1917" s="14"/>
      <c r="C1917" s="14"/>
      <c r="D1917" s="14"/>
      <c r="E1917" s="14"/>
      <c r="F1917" s="14"/>
      <c r="G1917" s="14"/>
      <c r="H1917" s="79"/>
      <c r="I1917" s="14"/>
    </row>
    <row r="1918" spans="2:9" ht="12.75" hidden="1" customHeight="1">
      <c r="B1918" s="14"/>
      <c r="C1918" s="14"/>
      <c r="D1918" s="14"/>
      <c r="E1918" s="14"/>
      <c r="F1918" s="14"/>
      <c r="G1918" s="14"/>
      <c r="H1918" s="79"/>
      <c r="I1918" s="14"/>
    </row>
    <row r="1919" spans="2:9" ht="12.75" hidden="1" customHeight="1">
      <c r="B1919" s="14"/>
      <c r="C1919" s="14"/>
      <c r="D1919" s="14"/>
      <c r="E1919" s="14"/>
      <c r="F1919" s="14"/>
      <c r="G1919" s="14"/>
      <c r="H1919" s="79"/>
      <c r="I1919" s="14"/>
    </row>
    <row r="1920" spans="2:9" ht="12.75" hidden="1" customHeight="1">
      <c r="B1920" s="14"/>
      <c r="C1920" s="14"/>
      <c r="D1920" s="14"/>
      <c r="E1920" s="14"/>
      <c r="F1920" s="14"/>
      <c r="G1920" s="14"/>
      <c r="H1920" s="79"/>
      <c r="I1920" s="14"/>
    </row>
    <row r="1921" spans="2:9" ht="12.75" hidden="1" customHeight="1">
      <c r="B1921" s="14"/>
      <c r="C1921" s="14"/>
      <c r="D1921" s="14"/>
      <c r="E1921" s="14"/>
      <c r="F1921" s="14"/>
      <c r="G1921" s="14"/>
      <c r="H1921" s="79"/>
      <c r="I1921" s="14"/>
    </row>
    <row r="1922" spans="2:9" ht="12.75" hidden="1" customHeight="1">
      <c r="B1922" s="14"/>
      <c r="C1922" s="14"/>
      <c r="D1922" s="14"/>
      <c r="E1922" s="14"/>
      <c r="F1922" s="14"/>
      <c r="G1922" s="14"/>
      <c r="H1922" s="79"/>
      <c r="I1922" s="14"/>
    </row>
    <row r="1923" spans="2:9" ht="12.75" hidden="1" customHeight="1">
      <c r="B1923" s="14"/>
      <c r="C1923" s="14"/>
      <c r="D1923" s="14"/>
      <c r="E1923" s="14"/>
      <c r="F1923" s="14"/>
      <c r="G1923" s="14"/>
      <c r="H1923" s="79"/>
      <c r="I1923" s="14"/>
    </row>
    <row r="1924" spans="2:9" ht="12.75" hidden="1" customHeight="1">
      <c r="B1924" s="14"/>
      <c r="C1924" s="14"/>
      <c r="D1924" s="14"/>
      <c r="E1924" s="14"/>
      <c r="F1924" s="14"/>
      <c r="G1924" s="14"/>
      <c r="H1924" s="79"/>
      <c r="I1924" s="14"/>
    </row>
    <row r="1925" spans="2:9" ht="12.75" hidden="1" customHeight="1">
      <c r="B1925" s="14"/>
      <c r="C1925" s="14"/>
      <c r="D1925" s="14"/>
      <c r="E1925" s="14"/>
      <c r="F1925" s="14"/>
      <c r="G1925" s="14"/>
      <c r="H1925" s="79"/>
      <c r="I1925" s="14"/>
    </row>
    <row r="1926" spans="2:9" ht="12.75" hidden="1" customHeight="1">
      <c r="B1926" s="14"/>
      <c r="C1926" s="14"/>
      <c r="D1926" s="14"/>
      <c r="E1926" s="14"/>
      <c r="F1926" s="14"/>
      <c r="G1926" s="14"/>
      <c r="H1926" s="79"/>
      <c r="I1926" s="14"/>
    </row>
    <row r="1927" spans="2:9" ht="12.75" hidden="1" customHeight="1">
      <c r="B1927" s="14"/>
      <c r="C1927" s="14"/>
      <c r="D1927" s="14"/>
      <c r="E1927" s="14"/>
      <c r="F1927" s="14"/>
      <c r="G1927" s="14"/>
      <c r="H1927" s="79"/>
      <c r="I1927" s="14"/>
    </row>
    <row r="1928" spans="2:9" ht="12.75" hidden="1" customHeight="1">
      <c r="B1928" s="14"/>
      <c r="C1928" s="14"/>
      <c r="D1928" s="14"/>
      <c r="E1928" s="14"/>
      <c r="F1928" s="14"/>
      <c r="G1928" s="14"/>
      <c r="H1928" s="79"/>
      <c r="I1928" s="14"/>
    </row>
    <row r="1929" spans="2:9" ht="12.75" hidden="1" customHeight="1">
      <c r="B1929" s="14"/>
      <c r="C1929" s="14"/>
      <c r="D1929" s="14"/>
      <c r="E1929" s="14"/>
      <c r="F1929" s="14"/>
      <c r="G1929" s="14"/>
      <c r="H1929" s="79"/>
      <c r="I1929" s="14"/>
    </row>
    <row r="1930" spans="2:9" ht="12.75" hidden="1" customHeight="1">
      <c r="B1930" s="14"/>
      <c r="C1930" s="14"/>
      <c r="D1930" s="14"/>
      <c r="E1930" s="14"/>
      <c r="F1930" s="14"/>
      <c r="G1930" s="14"/>
      <c r="H1930" s="79"/>
      <c r="I1930" s="14"/>
    </row>
    <row r="1931" spans="2:9" ht="12.75" hidden="1" customHeight="1">
      <c r="B1931" s="14"/>
      <c r="C1931" s="14"/>
      <c r="D1931" s="14"/>
      <c r="E1931" s="14"/>
      <c r="F1931" s="14"/>
      <c r="G1931" s="14"/>
      <c r="H1931" s="79"/>
      <c r="I1931" s="14"/>
    </row>
    <row r="1932" spans="2:9" ht="12.75" hidden="1" customHeight="1">
      <c r="B1932" s="14"/>
      <c r="C1932" s="14"/>
      <c r="D1932" s="14"/>
      <c r="E1932" s="14"/>
      <c r="F1932" s="14"/>
      <c r="G1932" s="14"/>
      <c r="H1932" s="79"/>
      <c r="I1932" s="14"/>
    </row>
    <row r="1933" spans="2:9" ht="12.75" hidden="1" customHeight="1">
      <c r="B1933" s="14"/>
      <c r="C1933" s="14"/>
      <c r="D1933" s="14"/>
      <c r="E1933" s="14"/>
      <c r="F1933" s="14"/>
      <c r="G1933" s="14"/>
      <c r="H1933" s="79"/>
      <c r="I1933" s="14"/>
    </row>
    <row r="1934" spans="2:9" ht="12.75" hidden="1" customHeight="1">
      <c r="B1934" s="14"/>
      <c r="C1934" s="14"/>
      <c r="D1934" s="14"/>
      <c r="E1934" s="14"/>
      <c r="F1934" s="14"/>
      <c r="G1934" s="14"/>
      <c r="H1934" s="79"/>
      <c r="I1934" s="14"/>
    </row>
    <row r="1935" spans="2:9" ht="12.75" hidden="1" customHeight="1">
      <c r="B1935" s="14"/>
      <c r="C1935" s="14"/>
      <c r="D1935" s="14"/>
      <c r="E1935" s="14"/>
      <c r="F1935" s="14"/>
      <c r="G1935" s="14"/>
      <c r="H1935" s="79"/>
      <c r="I1935" s="14"/>
    </row>
    <row r="1936" spans="2:9" ht="12.75" hidden="1" customHeight="1">
      <c r="B1936" s="14"/>
      <c r="C1936" s="14"/>
      <c r="D1936" s="14"/>
      <c r="E1936" s="14"/>
      <c r="F1936" s="14"/>
      <c r="G1936" s="14"/>
      <c r="H1936" s="79"/>
      <c r="I1936" s="14"/>
    </row>
    <row r="1937" spans="2:9" ht="12.75" hidden="1" customHeight="1">
      <c r="B1937" s="14"/>
      <c r="C1937" s="14"/>
      <c r="D1937" s="14"/>
      <c r="E1937" s="14"/>
      <c r="F1937" s="14"/>
      <c r="G1937" s="14"/>
      <c r="H1937" s="79"/>
      <c r="I1937" s="14"/>
    </row>
    <row r="1938" spans="2:9" ht="12.75" hidden="1" customHeight="1">
      <c r="B1938" s="14"/>
      <c r="C1938" s="14"/>
      <c r="D1938" s="14"/>
      <c r="E1938" s="14"/>
      <c r="F1938" s="14"/>
      <c r="G1938" s="14"/>
      <c r="H1938" s="79"/>
      <c r="I1938" s="14"/>
    </row>
    <row r="1939" spans="2:9" ht="12.75" hidden="1" customHeight="1">
      <c r="B1939" s="14"/>
      <c r="C1939" s="14"/>
      <c r="D1939" s="14"/>
      <c r="E1939" s="14"/>
      <c r="F1939" s="14"/>
      <c r="G1939" s="14"/>
      <c r="H1939" s="79"/>
      <c r="I1939" s="14"/>
    </row>
    <row r="1940" spans="2:9" ht="12.75" hidden="1" customHeight="1">
      <c r="B1940" s="14"/>
      <c r="C1940" s="14"/>
      <c r="D1940" s="14"/>
      <c r="E1940" s="14"/>
      <c r="F1940" s="14"/>
      <c r="G1940" s="14"/>
      <c r="H1940" s="79"/>
      <c r="I1940" s="14"/>
    </row>
    <row r="1941" spans="2:9" ht="12.75" hidden="1" customHeight="1">
      <c r="B1941" s="14"/>
      <c r="C1941" s="14"/>
      <c r="D1941" s="14"/>
      <c r="E1941" s="14"/>
      <c r="F1941" s="14"/>
      <c r="G1941" s="14"/>
      <c r="H1941" s="79"/>
      <c r="I1941" s="14"/>
    </row>
    <row r="1942" spans="2:9" ht="12.75" hidden="1" customHeight="1">
      <c r="B1942" s="14"/>
      <c r="C1942" s="14"/>
      <c r="D1942" s="14"/>
      <c r="E1942" s="14"/>
      <c r="F1942" s="14"/>
      <c r="G1942" s="14"/>
      <c r="H1942" s="79"/>
      <c r="I1942" s="14"/>
    </row>
    <row r="1943" spans="2:9" ht="12.75" hidden="1" customHeight="1">
      <c r="B1943" s="14"/>
      <c r="C1943" s="14"/>
      <c r="D1943" s="14"/>
      <c r="E1943" s="14"/>
      <c r="F1943" s="14"/>
      <c r="G1943" s="14"/>
      <c r="H1943" s="79"/>
      <c r="I1943" s="14"/>
    </row>
    <row r="1944" spans="2:9" ht="12.75" hidden="1" customHeight="1">
      <c r="B1944" s="14"/>
      <c r="C1944" s="14"/>
      <c r="D1944" s="14"/>
      <c r="E1944" s="14"/>
      <c r="F1944" s="14"/>
      <c r="G1944" s="14"/>
      <c r="H1944" s="79"/>
      <c r="I1944" s="14"/>
    </row>
    <row r="1945" spans="2:9" ht="12.75" hidden="1" customHeight="1">
      <c r="B1945" s="14"/>
      <c r="C1945" s="14"/>
      <c r="D1945" s="14"/>
      <c r="E1945" s="14"/>
      <c r="F1945" s="14"/>
      <c r="G1945" s="14"/>
      <c r="H1945" s="79"/>
      <c r="I1945" s="14"/>
    </row>
    <row r="1946" spans="2:9" ht="12.75" hidden="1" customHeight="1">
      <c r="B1946" s="14"/>
      <c r="C1946" s="14"/>
      <c r="D1946" s="14"/>
      <c r="E1946" s="14"/>
      <c r="F1946" s="14"/>
      <c r="G1946" s="14"/>
      <c r="H1946" s="79"/>
      <c r="I1946" s="14"/>
    </row>
    <row r="1947" spans="2:9" ht="12.75" hidden="1" customHeight="1">
      <c r="B1947" s="14"/>
      <c r="C1947" s="14"/>
      <c r="D1947" s="14"/>
      <c r="E1947" s="14"/>
      <c r="F1947" s="14"/>
      <c r="G1947" s="14"/>
      <c r="H1947" s="79"/>
      <c r="I1947" s="14"/>
    </row>
    <row r="1948" spans="2:9" ht="12.75" hidden="1" customHeight="1">
      <c r="B1948" s="14"/>
      <c r="C1948" s="14"/>
      <c r="D1948" s="14"/>
      <c r="E1948" s="14"/>
      <c r="F1948" s="14"/>
      <c r="G1948" s="14"/>
      <c r="H1948" s="79"/>
      <c r="I1948" s="14"/>
    </row>
    <row r="1949" spans="2:9" ht="12.75" hidden="1" customHeight="1">
      <c r="B1949" s="14"/>
      <c r="C1949" s="14"/>
      <c r="D1949" s="14"/>
      <c r="E1949" s="14"/>
      <c r="F1949" s="14"/>
      <c r="G1949" s="14"/>
      <c r="H1949" s="79"/>
      <c r="I1949" s="14"/>
    </row>
    <row r="1950" spans="2:9" ht="12.75" hidden="1" customHeight="1">
      <c r="B1950" s="14"/>
      <c r="C1950" s="14"/>
      <c r="D1950" s="14"/>
      <c r="E1950" s="14"/>
      <c r="F1950" s="14"/>
      <c r="G1950" s="14"/>
      <c r="H1950" s="79"/>
      <c r="I1950" s="14"/>
    </row>
    <row r="1951" spans="2:9" ht="12.75" hidden="1" customHeight="1">
      <c r="B1951" s="14"/>
      <c r="C1951" s="14"/>
      <c r="D1951" s="14"/>
      <c r="E1951" s="14"/>
      <c r="F1951" s="14"/>
      <c r="G1951" s="14"/>
      <c r="H1951" s="79"/>
      <c r="I1951" s="14"/>
    </row>
    <row r="1952" spans="2:9" ht="12.75" hidden="1" customHeight="1">
      <c r="B1952" s="14"/>
      <c r="C1952" s="14"/>
      <c r="D1952" s="14"/>
      <c r="E1952" s="14"/>
      <c r="F1952" s="14"/>
      <c r="G1952" s="14"/>
      <c r="H1952" s="79"/>
      <c r="I1952" s="14"/>
    </row>
    <row r="1953" spans="2:9" ht="12.75" hidden="1" customHeight="1">
      <c r="B1953" s="14"/>
      <c r="C1953" s="14"/>
      <c r="D1953" s="14"/>
      <c r="E1953" s="14"/>
      <c r="F1953" s="14"/>
      <c r="G1953" s="14"/>
      <c r="H1953" s="79"/>
      <c r="I1953" s="14"/>
    </row>
    <row r="1954" spans="2:9" ht="12.75" hidden="1" customHeight="1">
      <c r="B1954" s="14"/>
      <c r="C1954" s="14"/>
      <c r="D1954" s="14"/>
      <c r="E1954" s="14"/>
      <c r="F1954" s="14"/>
      <c r="G1954" s="14"/>
      <c r="H1954" s="79"/>
      <c r="I1954" s="14"/>
    </row>
    <row r="1955" spans="2:9" ht="12.75" hidden="1" customHeight="1">
      <c r="B1955" s="14"/>
      <c r="C1955" s="14"/>
      <c r="D1955" s="14"/>
      <c r="E1955" s="14"/>
      <c r="F1955" s="14"/>
      <c r="G1955" s="14"/>
      <c r="H1955" s="79"/>
      <c r="I1955" s="14"/>
    </row>
    <row r="1956" spans="2:9" ht="12.75" hidden="1" customHeight="1">
      <c r="B1956" s="14"/>
      <c r="C1956" s="14"/>
      <c r="D1956" s="14"/>
      <c r="E1956" s="14"/>
      <c r="F1956" s="14"/>
      <c r="G1956" s="14"/>
      <c r="H1956" s="79"/>
      <c r="I1956" s="14"/>
    </row>
    <row r="1957" spans="2:9" ht="12.75" hidden="1" customHeight="1">
      <c r="B1957" s="14"/>
      <c r="C1957" s="14"/>
      <c r="D1957" s="14"/>
      <c r="E1957" s="14"/>
      <c r="F1957" s="14"/>
      <c r="G1957" s="14"/>
      <c r="H1957" s="79"/>
      <c r="I1957" s="14"/>
    </row>
    <row r="1958" spans="2:9" ht="12.75" hidden="1" customHeight="1">
      <c r="B1958" s="14"/>
      <c r="C1958" s="14"/>
      <c r="D1958" s="14"/>
      <c r="E1958" s="14"/>
      <c r="F1958" s="14"/>
      <c r="G1958" s="14"/>
      <c r="H1958" s="79"/>
      <c r="I1958" s="14"/>
    </row>
    <row r="1959" spans="2:9" ht="12.75" hidden="1" customHeight="1">
      <c r="B1959" s="14"/>
      <c r="C1959" s="14"/>
      <c r="D1959" s="14"/>
      <c r="E1959" s="14"/>
      <c r="F1959" s="14"/>
      <c r="G1959" s="14"/>
      <c r="H1959" s="79"/>
      <c r="I1959" s="14"/>
    </row>
    <row r="1960" spans="2:9" ht="12.75" hidden="1" customHeight="1">
      <c r="B1960" s="14"/>
      <c r="C1960" s="14"/>
      <c r="D1960" s="14"/>
      <c r="E1960" s="14"/>
      <c r="F1960" s="14"/>
      <c r="G1960" s="14"/>
      <c r="H1960" s="79"/>
      <c r="I1960" s="14"/>
    </row>
    <row r="1961" spans="2:9" ht="12.75" hidden="1" customHeight="1">
      <c r="B1961" s="14"/>
      <c r="C1961" s="14"/>
      <c r="D1961" s="14"/>
      <c r="E1961" s="14"/>
      <c r="F1961" s="14"/>
      <c r="G1961" s="14"/>
      <c r="H1961" s="79"/>
      <c r="I1961" s="14"/>
    </row>
    <row r="1962" spans="2:9" ht="12.75" hidden="1" customHeight="1">
      <c r="B1962" s="14"/>
      <c r="C1962" s="14"/>
      <c r="D1962" s="14"/>
      <c r="E1962" s="14"/>
      <c r="F1962" s="14"/>
      <c r="G1962" s="14"/>
      <c r="H1962" s="79"/>
      <c r="I1962" s="14"/>
    </row>
    <row r="1963" spans="2:9" ht="12.75" hidden="1" customHeight="1">
      <c r="B1963" s="14"/>
      <c r="C1963" s="14"/>
      <c r="D1963" s="14"/>
      <c r="E1963" s="14"/>
      <c r="F1963" s="14"/>
      <c r="G1963" s="14"/>
      <c r="H1963" s="79"/>
      <c r="I1963" s="14"/>
    </row>
    <row r="1964" spans="2:9" ht="12.75" hidden="1" customHeight="1">
      <c r="B1964" s="14"/>
      <c r="C1964" s="14"/>
      <c r="D1964" s="14"/>
      <c r="E1964" s="14"/>
      <c r="F1964" s="14"/>
      <c r="G1964" s="14"/>
      <c r="H1964" s="79"/>
      <c r="I1964" s="14"/>
    </row>
    <row r="1965" spans="2:9" ht="12.75" hidden="1" customHeight="1">
      <c r="B1965" s="14"/>
      <c r="C1965" s="14"/>
      <c r="D1965" s="14"/>
      <c r="E1965" s="14"/>
      <c r="F1965" s="14"/>
      <c r="G1965" s="14"/>
      <c r="H1965" s="79"/>
      <c r="I1965" s="14"/>
    </row>
    <row r="1966" spans="2:9" ht="12.75" hidden="1" customHeight="1">
      <c r="B1966" s="14"/>
      <c r="C1966" s="14"/>
      <c r="D1966" s="14"/>
      <c r="E1966" s="14"/>
      <c r="F1966" s="14"/>
      <c r="G1966" s="14"/>
      <c r="H1966" s="79"/>
      <c r="I1966" s="14"/>
    </row>
    <row r="1967" spans="2:9" ht="12.75" hidden="1" customHeight="1">
      <c r="B1967" s="14"/>
      <c r="C1967" s="14"/>
      <c r="D1967" s="14"/>
      <c r="E1967" s="14"/>
      <c r="F1967" s="14"/>
      <c r="G1967" s="14"/>
      <c r="H1967" s="79"/>
      <c r="I1967" s="14"/>
    </row>
    <row r="1968" spans="2:9" ht="12.75" hidden="1" customHeight="1">
      <c r="B1968" s="14"/>
      <c r="C1968" s="14"/>
      <c r="D1968" s="14"/>
      <c r="E1968" s="14"/>
      <c r="F1968" s="14"/>
      <c r="G1968" s="14"/>
      <c r="H1968" s="79"/>
      <c r="I1968" s="14"/>
    </row>
    <row r="1969" spans="2:9" ht="12.75" hidden="1" customHeight="1">
      <c r="B1969" s="14"/>
      <c r="C1969" s="14"/>
      <c r="D1969" s="14"/>
      <c r="E1969" s="14"/>
      <c r="F1969" s="14"/>
      <c r="G1969" s="14"/>
      <c r="H1969" s="79"/>
      <c r="I1969" s="14"/>
    </row>
    <row r="1970" spans="2:9" ht="12.75" hidden="1" customHeight="1">
      <c r="B1970" s="14"/>
      <c r="C1970" s="14"/>
      <c r="D1970" s="14"/>
      <c r="E1970" s="14"/>
      <c r="F1970" s="14"/>
      <c r="G1970" s="14"/>
      <c r="H1970" s="79"/>
      <c r="I1970" s="14"/>
    </row>
    <row r="1971" spans="2:9" ht="12.75" hidden="1" customHeight="1">
      <c r="B1971" s="14"/>
      <c r="C1971" s="14"/>
      <c r="D1971" s="14"/>
      <c r="E1971" s="14"/>
      <c r="F1971" s="14"/>
      <c r="G1971" s="14"/>
      <c r="H1971" s="79"/>
      <c r="I1971" s="14"/>
    </row>
    <row r="1972" spans="2:9" ht="12.75" hidden="1" customHeight="1">
      <c r="B1972" s="14"/>
      <c r="C1972" s="14"/>
      <c r="D1972" s="14"/>
      <c r="E1972" s="14"/>
      <c r="F1972" s="14"/>
      <c r="G1972" s="14"/>
      <c r="H1972" s="79"/>
      <c r="I1972" s="14"/>
    </row>
    <row r="1973" spans="2:9" ht="12.75" hidden="1" customHeight="1">
      <c r="B1973" s="14"/>
      <c r="C1973" s="14"/>
      <c r="D1973" s="14"/>
      <c r="E1973" s="14"/>
      <c r="F1973" s="14"/>
      <c r="G1973" s="14"/>
      <c r="H1973" s="79"/>
      <c r="I1973" s="14"/>
    </row>
    <row r="1974" spans="2:9" ht="12.75" hidden="1" customHeight="1">
      <c r="B1974" s="14"/>
      <c r="C1974" s="14"/>
      <c r="D1974" s="14"/>
      <c r="E1974" s="14"/>
      <c r="F1974" s="14"/>
      <c r="G1974" s="14"/>
      <c r="H1974" s="79"/>
      <c r="I1974" s="14"/>
    </row>
    <row r="1975" spans="2:9" ht="12.75" hidden="1" customHeight="1">
      <c r="B1975" s="14"/>
      <c r="C1975" s="14"/>
      <c r="D1975" s="14"/>
      <c r="E1975" s="14"/>
      <c r="F1975" s="14"/>
      <c r="G1975" s="14"/>
      <c r="H1975" s="79"/>
      <c r="I1975" s="14"/>
    </row>
    <row r="1976" spans="2:9" ht="12.75" hidden="1" customHeight="1">
      <c r="B1976" s="14"/>
      <c r="C1976" s="14"/>
      <c r="D1976" s="14"/>
      <c r="E1976" s="14"/>
      <c r="F1976" s="14"/>
      <c r="G1976" s="14"/>
      <c r="H1976" s="79"/>
      <c r="I1976" s="14"/>
    </row>
    <row r="1977" spans="2:9" ht="12.75" hidden="1" customHeight="1">
      <c r="B1977" s="14"/>
      <c r="C1977" s="14"/>
      <c r="D1977" s="14"/>
      <c r="E1977" s="14"/>
      <c r="F1977" s="14"/>
      <c r="G1977" s="14"/>
      <c r="H1977" s="79"/>
      <c r="I1977" s="14"/>
    </row>
    <row r="1978" spans="2:9" ht="12.75" hidden="1" customHeight="1">
      <c r="B1978" s="14"/>
      <c r="C1978" s="14"/>
      <c r="D1978" s="14"/>
      <c r="E1978" s="14"/>
      <c r="F1978" s="14"/>
      <c r="G1978" s="14"/>
      <c r="H1978" s="79"/>
      <c r="I1978" s="14"/>
    </row>
    <row r="1979" spans="2:9" ht="12.75" hidden="1" customHeight="1">
      <c r="B1979" s="14"/>
      <c r="C1979" s="14"/>
      <c r="D1979" s="14"/>
      <c r="E1979" s="14"/>
      <c r="F1979" s="14"/>
      <c r="G1979" s="14"/>
      <c r="H1979" s="79"/>
      <c r="I1979" s="14"/>
    </row>
    <row r="1980" spans="2:9" ht="12.75" hidden="1" customHeight="1">
      <c r="B1980" s="14"/>
      <c r="C1980" s="14"/>
      <c r="D1980" s="14"/>
      <c r="E1980" s="14"/>
      <c r="F1980" s="14"/>
      <c r="G1980" s="14"/>
      <c r="H1980" s="79"/>
      <c r="I1980" s="14"/>
    </row>
    <row r="1981" spans="2:9" ht="12.75" hidden="1" customHeight="1">
      <c r="B1981" s="14"/>
      <c r="C1981" s="14"/>
      <c r="D1981" s="14"/>
      <c r="E1981" s="14"/>
      <c r="F1981" s="14"/>
      <c r="G1981" s="14"/>
      <c r="H1981" s="79"/>
      <c r="I1981" s="14"/>
    </row>
    <row r="1982" spans="2:9" ht="12.75" hidden="1" customHeight="1">
      <c r="B1982" s="14"/>
      <c r="C1982" s="14"/>
      <c r="D1982" s="14"/>
      <c r="E1982" s="14"/>
      <c r="F1982" s="14"/>
      <c r="G1982" s="14"/>
      <c r="H1982" s="79"/>
      <c r="I1982" s="14"/>
    </row>
    <row r="1983" spans="2:9" ht="12.75" hidden="1" customHeight="1">
      <c r="B1983" s="14"/>
      <c r="C1983" s="14"/>
      <c r="D1983" s="14"/>
      <c r="E1983" s="14"/>
      <c r="F1983" s="14"/>
      <c r="G1983" s="14"/>
      <c r="H1983" s="79"/>
      <c r="I1983" s="14"/>
    </row>
    <row r="1984" spans="2:9" ht="12.75" hidden="1" customHeight="1">
      <c r="B1984" s="14"/>
      <c r="C1984" s="14"/>
      <c r="D1984" s="14"/>
      <c r="E1984" s="14"/>
      <c r="F1984" s="14"/>
      <c r="G1984" s="14"/>
      <c r="H1984" s="79"/>
      <c r="I1984" s="14"/>
    </row>
    <row r="1985" spans="2:9" ht="12.75" hidden="1" customHeight="1">
      <c r="B1985" s="14"/>
      <c r="C1985" s="14"/>
      <c r="D1985" s="14"/>
      <c r="E1985" s="14"/>
      <c r="F1985" s="14"/>
      <c r="G1985" s="14"/>
      <c r="H1985" s="79"/>
      <c r="I1985" s="14"/>
    </row>
    <row r="1986" spans="2:9" ht="12.75" hidden="1" customHeight="1">
      <c r="B1986" s="14"/>
      <c r="C1986" s="14"/>
      <c r="D1986" s="14"/>
      <c r="E1986" s="14"/>
      <c r="F1986" s="14"/>
      <c r="G1986" s="14"/>
      <c r="H1986" s="79"/>
      <c r="I1986" s="14"/>
    </row>
    <row r="1987" spans="2:9" ht="12.75" hidden="1" customHeight="1">
      <c r="B1987" s="14"/>
      <c r="C1987" s="14"/>
      <c r="D1987" s="14"/>
      <c r="E1987" s="14"/>
      <c r="F1987" s="14"/>
      <c r="G1987" s="14"/>
      <c r="H1987" s="79"/>
      <c r="I1987" s="14"/>
    </row>
    <row r="1988" spans="2:9" ht="12.75" hidden="1" customHeight="1">
      <c r="B1988" s="14"/>
      <c r="C1988" s="14"/>
      <c r="D1988" s="14"/>
      <c r="E1988" s="14"/>
      <c r="F1988" s="14"/>
      <c r="G1988" s="14"/>
      <c r="H1988" s="79"/>
      <c r="I1988" s="14"/>
    </row>
    <row r="1989" spans="2:9" ht="12.75" hidden="1" customHeight="1">
      <c r="B1989" s="14"/>
      <c r="C1989" s="14"/>
      <c r="D1989" s="14"/>
      <c r="E1989" s="14"/>
      <c r="F1989" s="14"/>
      <c r="G1989" s="14"/>
      <c r="H1989" s="79"/>
      <c r="I1989" s="14"/>
    </row>
    <row r="1990" spans="2:9" ht="12.75" hidden="1" customHeight="1">
      <c r="B1990" s="14"/>
      <c r="C1990" s="14"/>
      <c r="D1990" s="14"/>
      <c r="E1990" s="14"/>
      <c r="F1990" s="14"/>
      <c r="G1990" s="14"/>
      <c r="H1990" s="79"/>
      <c r="I1990" s="14"/>
    </row>
    <row r="1991" spans="2:9" ht="12.75" hidden="1" customHeight="1">
      <c r="B1991" s="14"/>
      <c r="C1991" s="14"/>
      <c r="D1991" s="14"/>
      <c r="E1991" s="14"/>
      <c r="F1991" s="14"/>
      <c r="G1991" s="14"/>
      <c r="H1991" s="79"/>
      <c r="I1991" s="14"/>
    </row>
    <row r="1992" spans="2:9" ht="12.75" hidden="1" customHeight="1">
      <c r="B1992" s="14"/>
      <c r="C1992" s="14"/>
      <c r="D1992" s="14"/>
      <c r="E1992" s="14"/>
      <c r="F1992" s="14"/>
      <c r="G1992" s="14"/>
      <c r="H1992" s="79"/>
      <c r="I1992" s="14"/>
    </row>
    <row r="1993" spans="2:9" ht="12.75" hidden="1" customHeight="1">
      <c r="B1993" s="14"/>
      <c r="C1993" s="14"/>
      <c r="D1993" s="14"/>
      <c r="E1993" s="14"/>
      <c r="F1993" s="14"/>
      <c r="G1993" s="14"/>
      <c r="H1993" s="79"/>
      <c r="I1993" s="14"/>
    </row>
    <row r="1994" spans="2:9" ht="12.75" hidden="1" customHeight="1">
      <c r="B1994" s="14"/>
      <c r="C1994" s="14"/>
      <c r="D1994" s="14"/>
      <c r="E1994" s="14"/>
      <c r="F1994" s="14"/>
      <c r="G1994" s="14"/>
      <c r="H1994" s="79"/>
      <c r="I1994" s="14"/>
    </row>
    <row r="1995" spans="2:9" ht="12.75" hidden="1" customHeight="1">
      <c r="B1995" s="14"/>
      <c r="C1995" s="14"/>
      <c r="D1995" s="14"/>
      <c r="E1995" s="14"/>
      <c r="F1995" s="14"/>
      <c r="G1995" s="14"/>
      <c r="H1995" s="79"/>
      <c r="I1995" s="14"/>
    </row>
    <row r="1996" spans="2:9" ht="12.75" hidden="1" customHeight="1">
      <c r="B1996" s="14"/>
      <c r="C1996" s="14"/>
      <c r="D1996" s="14"/>
      <c r="E1996" s="14"/>
      <c r="F1996" s="14"/>
      <c r="G1996" s="14"/>
      <c r="H1996" s="79"/>
      <c r="I1996" s="14"/>
    </row>
    <row r="1997" spans="2:9" ht="12.75" hidden="1" customHeight="1">
      <c r="B1997" s="14"/>
      <c r="C1997" s="14"/>
      <c r="D1997" s="14"/>
      <c r="E1997" s="14"/>
      <c r="F1997" s="14"/>
      <c r="G1997" s="14"/>
      <c r="H1997" s="79"/>
      <c r="I1997" s="14"/>
    </row>
    <row r="1998" spans="2:9" ht="12.75" hidden="1" customHeight="1">
      <c r="B1998" s="14"/>
      <c r="C1998" s="14"/>
      <c r="D1998" s="14"/>
      <c r="E1998" s="14"/>
      <c r="F1998" s="14"/>
      <c r="G1998" s="14"/>
      <c r="H1998" s="79"/>
      <c r="I1998" s="14"/>
    </row>
    <row r="1999" spans="2:9" ht="12.75" hidden="1" customHeight="1">
      <c r="B1999" s="14"/>
      <c r="C1999" s="14"/>
      <c r="D1999" s="14"/>
      <c r="E1999" s="14"/>
      <c r="F1999" s="14"/>
      <c r="G1999" s="14"/>
      <c r="H1999" s="79"/>
      <c r="I1999" s="14"/>
    </row>
    <row r="2000" spans="2:9" ht="12.75" hidden="1" customHeight="1">
      <c r="B2000" s="14"/>
      <c r="C2000" s="14"/>
      <c r="D2000" s="14"/>
      <c r="E2000" s="14"/>
      <c r="F2000" s="14"/>
      <c r="G2000" s="14"/>
      <c r="H2000" s="79"/>
      <c r="I2000" s="14"/>
    </row>
    <row r="2001" spans="2:9" ht="12.75" hidden="1" customHeight="1">
      <c r="B2001" s="14"/>
      <c r="C2001" s="14"/>
      <c r="D2001" s="14"/>
      <c r="E2001" s="14"/>
      <c r="F2001" s="14"/>
      <c r="G2001" s="14"/>
      <c r="H2001" s="79"/>
      <c r="I2001" s="14"/>
    </row>
    <row r="2002" spans="2:9" ht="12.75" hidden="1" customHeight="1">
      <c r="B2002" s="14"/>
      <c r="C2002" s="14"/>
      <c r="D2002" s="14"/>
      <c r="E2002" s="14"/>
      <c r="F2002" s="14"/>
      <c r="G2002" s="14"/>
      <c r="H2002" s="79"/>
      <c r="I2002" s="14"/>
    </row>
    <row r="2003" spans="2:9" ht="12.75" hidden="1" customHeight="1">
      <c r="B2003" s="14"/>
      <c r="C2003" s="14"/>
      <c r="D2003" s="14"/>
      <c r="E2003" s="14"/>
      <c r="F2003" s="14"/>
      <c r="G2003" s="14"/>
      <c r="H2003" s="79"/>
      <c r="I2003" s="14"/>
    </row>
    <row r="2004" spans="2:9" ht="12.75" hidden="1" customHeight="1">
      <c r="B2004" s="14"/>
      <c r="C2004" s="14"/>
      <c r="D2004" s="14"/>
      <c r="E2004" s="14"/>
      <c r="F2004" s="14"/>
      <c r="G2004" s="14"/>
      <c r="H2004" s="79"/>
      <c r="I2004" s="14"/>
    </row>
    <row r="2005" spans="2:9" ht="12.75" hidden="1" customHeight="1">
      <c r="B2005" s="14"/>
      <c r="C2005" s="14"/>
      <c r="D2005" s="14"/>
      <c r="E2005" s="14"/>
      <c r="F2005" s="14"/>
      <c r="G2005" s="14"/>
      <c r="H2005" s="79"/>
      <c r="I2005" s="14"/>
    </row>
    <row r="2006" spans="2:9" ht="12.75" hidden="1" customHeight="1">
      <c r="B2006" s="14"/>
      <c r="C2006" s="14"/>
      <c r="D2006" s="14"/>
      <c r="E2006" s="14"/>
      <c r="F2006" s="14"/>
      <c r="G2006" s="14"/>
      <c r="H2006" s="79"/>
      <c r="I2006" s="14"/>
    </row>
    <row r="2007" spans="2:9" ht="12.75" hidden="1" customHeight="1">
      <c r="B2007" s="14"/>
      <c r="C2007" s="14"/>
      <c r="D2007" s="14"/>
      <c r="E2007" s="14"/>
      <c r="F2007" s="14"/>
      <c r="G2007" s="14"/>
      <c r="H2007" s="79"/>
      <c r="I2007" s="14"/>
    </row>
    <row r="2008" spans="2:9" ht="12.75" hidden="1" customHeight="1">
      <c r="B2008" s="14"/>
      <c r="C2008" s="14"/>
      <c r="D2008" s="14"/>
      <c r="E2008" s="14"/>
      <c r="F2008" s="14"/>
      <c r="G2008" s="14"/>
      <c r="H2008" s="79"/>
      <c r="I2008" s="14"/>
    </row>
    <row r="2009" spans="2:9" ht="12.75" hidden="1" customHeight="1">
      <c r="B2009" s="14"/>
      <c r="C2009" s="14"/>
      <c r="D2009" s="14"/>
      <c r="E2009" s="14"/>
      <c r="F2009" s="14"/>
      <c r="G2009" s="14"/>
      <c r="H2009" s="79"/>
      <c r="I2009" s="14"/>
    </row>
    <row r="2010" spans="2:9" ht="12.75" hidden="1" customHeight="1">
      <c r="B2010" s="14"/>
      <c r="C2010" s="14"/>
      <c r="D2010" s="14"/>
      <c r="E2010" s="14"/>
      <c r="F2010" s="14"/>
      <c r="G2010" s="14"/>
      <c r="H2010" s="79"/>
      <c r="I2010" s="14"/>
    </row>
    <row r="2011" spans="2:9" ht="12.75" hidden="1" customHeight="1">
      <c r="B2011" s="14"/>
      <c r="C2011" s="14"/>
      <c r="D2011" s="14"/>
      <c r="E2011" s="14"/>
      <c r="F2011" s="14"/>
      <c r="G2011" s="14"/>
      <c r="H2011" s="79"/>
      <c r="I2011" s="14"/>
    </row>
    <row r="2012" spans="2:9" ht="12.75" hidden="1" customHeight="1">
      <c r="B2012" s="14"/>
      <c r="C2012" s="14"/>
      <c r="D2012" s="14"/>
      <c r="E2012" s="14"/>
      <c r="F2012" s="14"/>
      <c r="G2012" s="14"/>
      <c r="H2012" s="79"/>
      <c r="I2012" s="14"/>
    </row>
    <row r="2013" spans="2:9" ht="12.75" hidden="1" customHeight="1">
      <c r="B2013" s="14"/>
      <c r="C2013" s="14"/>
      <c r="D2013" s="14"/>
      <c r="E2013" s="14"/>
      <c r="F2013" s="14"/>
      <c r="G2013" s="14"/>
      <c r="H2013" s="79"/>
      <c r="I2013" s="14"/>
    </row>
    <row r="2014" spans="2:9" ht="12.75" hidden="1" customHeight="1">
      <c r="B2014" s="14"/>
      <c r="C2014" s="14"/>
      <c r="D2014" s="14"/>
      <c r="E2014" s="14"/>
      <c r="F2014" s="14"/>
      <c r="G2014" s="14"/>
      <c r="H2014" s="79"/>
      <c r="I2014" s="14"/>
    </row>
    <row r="2015" spans="2:9" ht="12.75" hidden="1" customHeight="1">
      <c r="B2015" s="14"/>
      <c r="C2015" s="14"/>
      <c r="D2015" s="14"/>
      <c r="E2015" s="14"/>
      <c r="F2015" s="14"/>
      <c r="G2015" s="14"/>
      <c r="H2015" s="79"/>
      <c r="I2015" s="14"/>
    </row>
    <row r="2016" spans="2:9" ht="12.75" hidden="1" customHeight="1">
      <c r="B2016" s="14"/>
      <c r="C2016" s="14"/>
      <c r="D2016" s="14"/>
      <c r="E2016" s="14"/>
      <c r="F2016" s="14"/>
      <c r="G2016" s="14"/>
      <c r="H2016" s="79"/>
      <c r="I2016" s="14"/>
    </row>
    <row r="2017" spans="2:9" ht="12.75" hidden="1" customHeight="1">
      <c r="B2017" s="14"/>
      <c r="C2017" s="14"/>
      <c r="D2017" s="14"/>
      <c r="E2017" s="14"/>
      <c r="F2017" s="14"/>
      <c r="G2017" s="14"/>
      <c r="H2017" s="79"/>
      <c r="I2017" s="14"/>
    </row>
    <row r="2018" spans="2:9" ht="12.75" hidden="1" customHeight="1">
      <c r="B2018" s="14"/>
      <c r="C2018" s="14"/>
      <c r="D2018" s="14"/>
      <c r="E2018" s="14"/>
      <c r="F2018" s="14"/>
      <c r="G2018" s="14"/>
      <c r="H2018" s="79"/>
      <c r="I2018" s="14"/>
    </row>
    <row r="2019" spans="2:9" ht="12.75" hidden="1" customHeight="1">
      <c r="B2019" s="14"/>
      <c r="C2019" s="14"/>
      <c r="D2019" s="14"/>
      <c r="E2019" s="14"/>
      <c r="F2019" s="14"/>
      <c r="G2019" s="14"/>
      <c r="H2019" s="79"/>
      <c r="I2019" s="14"/>
    </row>
    <row r="2020" spans="2:9" ht="12.75" hidden="1" customHeight="1">
      <c r="B2020" s="14"/>
      <c r="C2020" s="14"/>
      <c r="D2020" s="14"/>
      <c r="E2020" s="14"/>
      <c r="F2020" s="14"/>
      <c r="G2020" s="14"/>
      <c r="H2020" s="79"/>
      <c r="I2020" s="14"/>
    </row>
    <row r="2021" spans="2:9" ht="12.75" hidden="1" customHeight="1">
      <c r="B2021" s="14"/>
      <c r="C2021" s="14"/>
      <c r="D2021" s="14"/>
      <c r="E2021" s="14"/>
      <c r="F2021" s="14"/>
      <c r="G2021" s="14"/>
      <c r="H2021" s="79"/>
      <c r="I2021" s="14"/>
    </row>
    <row r="2022" spans="2:9" ht="12.75" hidden="1" customHeight="1">
      <c r="B2022" s="14"/>
      <c r="C2022" s="14"/>
      <c r="D2022" s="14"/>
      <c r="E2022" s="14"/>
      <c r="F2022" s="14"/>
      <c r="G2022" s="14"/>
      <c r="H2022" s="79"/>
      <c r="I2022" s="14"/>
    </row>
    <row r="2023" spans="2:9" ht="12.75" hidden="1" customHeight="1">
      <c r="B2023" s="14"/>
      <c r="C2023" s="14"/>
      <c r="D2023" s="14"/>
      <c r="E2023" s="14"/>
      <c r="F2023" s="14"/>
      <c r="G2023" s="14"/>
      <c r="H2023" s="79"/>
      <c r="I2023" s="14"/>
    </row>
    <row r="2024" spans="2:9" ht="12.75" hidden="1" customHeight="1">
      <c r="B2024" s="14"/>
      <c r="C2024" s="14"/>
      <c r="D2024" s="14"/>
      <c r="E2024" s="14"/>
      <c r="F2024" s="14"/>
      <c r="G2024" s="14"/>
      <c r="H2024" s="79"/>
      <c r="I2024" s="14"/>
    </row>
    <row r="2025" spans="2:9" ht="12.75" hidden="1" customHeight="1">
      <c r="B2025" s="14"/>
      <c r="C2025" s="14"/>
      <c r="D2025" s="14"/>
      <c r="E2025" s="14"/>
      <c r="F2025" s="14"/>
      <c r="G2025" s="14"/>
      <c r="H2025" s="79"/>
      <c r="I2025" s="14"/>
    </row>
    <row r="2026" spans="2:9" ht="12.75" hidden="1" customHeight="1">
      <c r="B2026" s="14"/>
      <c r="C2026" s="14"/>
      <c r="D2026" s="14"/>
      <c r="E2026" s="14"/>
      <c r="F2026" s="14"/>
      <c r="G2026" s="14"/>
      <c r="H2026" s="79"/>
      <c r="I2026" s="14"/>
    </row>
    <row r="2027" spans="2:9" ht="12.75" hidden="1" customHeight="1">
      <c r="B2027" s="14"/>
      <c r="C2027" s="14"/>
      <c r="D2027" s="14"/>
      <c r="E2027" s="14"/>
      <c r="F2027" s="14"/>
      <c r="G2027" s="14"/>
      <c r="H2027" s="79"/>
      <c r="I2027" s="14"/>
    </row>
    <row r="2028" spans="2:9" ht="12.75" hidden="1" customHeight="1">
      <c r="B2028" s="14"/>
      <c r="C2028" s="14"/>
      <c r="D2028" s="14"/>
      <c r="E2028" s="14"/>
      <c r="F2028" s="14"/>
      <c r="G2028" s="14"/>
      <c r="H2028" s="79"/>
      <c r="I2028" s="14"/>
    </row>
    <row r="2029" spans="2:9" ht="12.75" hidden="1" customHeight="1">
      <c r="B2029" s="14"/>
      <c r="C2029" s="14"/>
      <c r="D2029" s="14"/>
      <c r="E2029" s="14"/>
      <c r="F2029" s="14"/>
      <c r="G2029" s="14"/>
      <c r="H2029" s="79"/>
      <c r="I2029" s="14"/>
    </row>
    <row r="2030" spans="2:9" ht="12.75" hidden="1" customHeight="1">
      <c r="B2030" s="14"/>
      <c r="C2030" s="14"/>
      <c r="D2030" s="14"/>
      <c r="E2030" s="14"/>
      <c r="F2030" s="14"/>
      <c r="G2030" s="14"/>
      <c r="H2030" s="79"/>
      <c r="I2030" s="14"/>
    </row>
    <row r="2031" spans="2:9" ht="12.75" hidden="1" customHeight="1">
      <c r="B2031" s="14"/>
      <c r="C2031" s="14"/>
      <c r="D2031" s="14"/>
      <c r="E2031" s="14"/>
      <c r="F2031" s="14"/>
      <c r="G2031" s="14"/>
      <c r="H2031" s="79"/>
      <c r="I2031" s="14"/>
    </row>
    <row r="2032" spans="2:9" ht="12.75" hidden="1" customHeight="1">
      <c r="B2032" s="14"/>
      <c r="C2032" s="14"/>
      <c r="D2032" s="14"/>
      <c r="E2032" s="14"/>
      <c r="F2032" s="14"/>
      <c r="G2032" s="14"/>
      <c r="H2032" s="79"/>
      <c r="I2032" s="14"/>
    </row>
    <row r="2033" spans="2:9" ht="12.75" hidden="1" customHeight="1">
      <c r="B2033" s="14"/>
      <c r="C2033" s="14"/>
      <c r="D2033" s="14"/>
      <c r="E2033" s="14"/>
      <c r="F2033" s="14"/>
      <c r="G2033" s="14"/>
      <c r="H2033" s="79"/>
      <c r="I2033" s="14"/>
    </row>
    <row r="2034" spans="2:9" ht="12.75" hidden="1" customHeight="1">
      <c r="B2034" s="14"/>
      <c r="C2034" s="14"/>
      <c r="D2034" s="14"/>
      <c r="E2034" s="14"/>
      <c r="F2034" s="14"/>
      <c r="G2034" s="14"/>
      <c r="H2034" s="79"/>
      <c r="I2034" s="14"/>
    </row>
    <row r="2035" spans="2:9" ht="12.75" hidden="1" customHeight="1">
      <c r="B2035" s="14"/>
      <c r="C2035" s="14"/>
      <c r="D2035" s="14"/>
      <c r="E2035" s="14"/>
      <c r="F2035" s="14"/>
      <c r="G2035" s="14"/>
      <c r="H2035" s="79"/>
      <c r="I2035" s="14"/>
    </row>
    <row r="2036" spans="2:9" ht="12.75" hidden="1" customHeight="1">
      <c r="B2036" s="14"/>
      <c r="C2036" s="14"/>
      <c r="D2036" s="14"/>
      <c r="E2036" s="14"/>
      <c r="F2036" s="14"/>
      <c r="G2036" s="14"/>
      <c r="H2036" s="79"/>
      <c r="I2036" s="14"/>
    </row>
    <row r="2037" spans="2:9" ht="12.75" hidden="1" customHeight="1">
      <c r="B2037" s="14"/>
      <c r="C2037" s="14"/>
      <c r="D2037" s="14"/>
      <c r="E2037" s="14"/>
      <c r="F2037" s="14"/>
      <c r="G2037" s="14"/>
      <c r="H2037" s="79"/>
      <c r="I2037" s="14"/>
    </row>
    <row r="2038" spans="2:9" ht="12.75" hidden="1" customHeight="1">
      <c r="B2038" s="14"/>
      <c r="C2038" s="14"/>
      <c r="D2038" s="14"/>
      <c r="E2038" s="14"/>
      <c r="F2038" s="14"/>
      <c r="G2038" s="14"/>
      <c r="H2038" s="79"/>
      <c r="I2038" s="14"/>
    </row>
    <row r="2039" spans="2:9" ht="12.75" hidden="1" customHeight="1">
      <c r="B2039" s="14"/>
      <c r="C2039" s="14"/>
      <c r="D2039" s="14"/>
      <c r="E2039" s="14"/>
      <c r="F2039" s="14"/>
      <c r="G2039" s="14"/>
      <c r="H2039" s="79"/>
      <c r="I2039" s="14"/>
    </row>
    <row r="2040" spans="2:9" ht="12.75" hidden="1" customHeight="1">
      <c r="B2040" s="14"/>
      <c r="C2040" s="14"/>
      <c r="D2040" s="14"/>
      <c r="E2040" s="14"/>
      <c r="F2040" s="14"/>
      <c r="G2040" s="14"/>
      <c r="H2040" s="79"/>
      <c r="I2040" s="14"/>
    </row>
    <row r="2041" spans="2:9" ht="12.75" hidden="1" customHeight="1">
      <c r="B2041" s="14"/>
      <c r="C2041" s="14"/>
      <c r="D2041" s="14"/>
      <c r="E2041" s="14"/>
      <c r="F2041" s="14"/>
      <c r="G2041" s="14"/>
      <c r="H2041" s="79"/>
      <c r="I2041" s="14"/>
    </row>
    <row r="2042" spans="2:9" ht="12.75" hidden="1" customHeight="1">
      <c r="B2042" s="14"/>
      <c r="C2042" s="14"/>
      <c r="D2042" s="14"/>
      <c r="E2042" s="14"/>
      <c r="F2042" s="14"/>
      <c r="G2042" s="14"/>
      <c r="H2042" s="79"/>
      <c r="I2042" s="14"/>
    </row>
    <row r="2043" spans="2:9" ht="12.75" hidden="1" customHeight="1">
      <c r="B2043" s="14"/>
      <c r="C2043" s="14"/>
      <c r="D2043" s="14"/>
      <c r="E2043" s="14"/>
      <c r="F2043" s="14"/>
      <c r="G2043" s="14"/>
      <c r="H2043" s="79"/>
      <c r="I2043" s="14"/>
    </row>
    <row r="2044" spans="2:9" ht="12.75" hidden="1" customHeight="1">
      <c r="B2044" s="14"/>
      <c r="C2044" s="14"/>
      <c r="D2044" s="14"/>
      <c r="E2044" s="14"/>
      <c r="F2044" s="14"/>
      <c r="G2044" s="14"/>
      <c r="H2044" s="79"/>
      <c r="I2044" s="14"/>
    </row>
    <row r="2045" spans="2:9" ht="12.75" hidden="1" customHeight="1">
      <c r="B2045" s="14"/>
      <c r="C2045" s="14"/>
      <c r="D2045" s="14"/>
      <c r="E2045" s="14"/>
      <c r="F2045" s="14"/>
      <c r="G2045" s="14"/>
      <c r="H2045" s="79"/>
      <c r="I2045" s="14"/>
    </row>
    <row r="2046" spans="2:9" ht="12.75" hidden="1" customHeight="1">
      <c r="B2046" s="14"/>
      <c r="C2046" s="14"/>
      <c r="D2046" s="14"/>
      <c r="E2046" s="14"/>
      <c r="F2046" s="14"/>
      <c r="G2046" s="14"/>
      <c r="H2046" s="79"/>
      <c r="I2046" s="14"/>
    </row>
    <row r="2047" spans="2:9" ht="12.75" hidden="1" customHeight="1">
      <c r="B2047" s="14"/>
      <c r="C2047" s="14"/>
      <c r="D2047" s="14"/>
      <c r="E2047" s="14"/>
      <c r="F2047" s="14"/>
      <c r="G2047" s="14"/>
      <c r="H2047" s="79"/>
      <c r="I2047" s="14"/>
    </row>
    <row r="2048" spans="2:9" ht="12.75" hidden="1" customHeight="1">
      <c r="B2048" s="14"/>
      <c r="C2048" s="14"/>
      <c r="D2048" s="14"/>
      <c r="E2048" s="14"/>
      <c r="F2048" s="14"/>
      <c r="G2048" s="14"/>
      <c r="H2048" s="79"/>
      <c r="I2048" s="14"/>
    </row>
    <row r="2049" spans="2:9" ht="12.75" hidden="1" customHeight="1">
      <c r="B2049" s="14"/>
      <c r="C2049" s="14"/>
      <c r="D2049" s="14"/>
      <c r="E2049" s="14"/>
      <c r="F2049" s="14"/>
      <c r="G2049" s="14"/>
      <c r="H2049" s="79"/>
      <c r="I2049" s="14"/>
    </row>
    <row r="2050" spans="2:9" ht="12.75" hidden="1" customHeight="1">
      <c r="B2050" s="14"/>
      <c r="C2050" s="14"/>
      <c r="D2050" s="14"/>
      <c r="E2050" s="14"/>
      <c r="F2050" s="14"/>
      <c r="G2050" s="14"/>
      <c r="H2050" s="79"/>
      <c r="I2050" s="14"/>
    </row>
    <row r="2051" spans="2:9" ht="12.75" hidden="1" customHeight="1">
      <c r="B2051" s="14"/>
      <c r="C2051" s="14"/>
      <c r="D2051" s="14"/>
      <c r="E2051" s="14"/>
      <c r="F2051" s="14"/>
      <c r="G2051" s="14"/>
      <c r="H2051" s="79"/>
      <c r="I2051" s="14"/>
    </row>
    <row r="2052" spans="2:9" ht="12.75" hidden="1" customHeight="1">
      <c r="B2052" s="14"/>
      <c r="C2052" s="14"/>
      <c r="D2052" s="14"/>
      <c r="E2052" s="14"/>
      <c r="F2052" s="14"/>
      <c r="G2052" s="14"/>
      <c r="H2052" s="79"/>
      <c r="I2052" s="14"/>
    </row>
    <row r="2053" spans="2:9" ht="12.75" hidden="1" customHeight="1">
      <c r="B2053" s="14"/>
      <c r="C2053" s="14"/>
      <c r="D2053" s="14"/>
      <c r="E2053" s="14"/>
      <c r="F2053" s="14"/>
      <c r="G2053" s="14"/>
      <c r="H2053" s="79"/>
      <c r="I2053" s="14"/>
    </row>
    <row r="2054" spans="2:9" ht="12.75" hidden="1" customHeight="1">
      <c r="B2054" s="14"/>
      <c r="C2054" s="14"/>
      <c r="D2054" s="14"/>
      <c r="E2054" s="14"/>
      <c r="F2054" s="14"/>
      <c r="G2054" s="14"/>
      <c r="H2054" s="79"/>
      <c r="I2054" s="14"/>
    </row>
    <row r="2055" spans="2:9" ht="12.75" hidden="1" customHeight="1">
      <c r="B2055" s="14"/>
      <c r="C2055" s="14"/>
      <c r="D2055" s="14"/>
      <c r="E2055" s="14"/>
      <c r="F2055" s="14"/>
      <c r="G2055" s="14"/>
      <c r="H2055" s="79"/>
      <c r="I2055" s="14"/>
    </row>
    <row r="2056" spans="2:9" ht="12.75" hidden="1" customHeight="1">
      <c r="B2056" s="14"/>
      <c r="C2056" s="14"/>
      <c r="D2056" s="14"/>
      <c r="E2056" s="14"/>
      <c r="F2056" s="14"/>
      <c r="G2056" s="14"/>
      <c r="H2056" s="79"/>
      <c r="I2056" s="14"/>
    </row>
    <row r="2057" spans="2:9" ht="12.75" hidden="1" customHeight="1">
      <c r="B2057" s="14"/>
      <c r="C2057" s="14"/>
      <c r="D2057" s="14"/>
      <c r="E2057" s="14"/>
      <c r="F2057" s="14"/>
      <c r="G2057" s="14"/>
      <c r="H2057" s="79"/>
      <c r="I2057" s="14"/>
    </row>
    <row r="2058" spans="2:9" ht="12.75" hidden="1" customHeight="1">
      <c r="B2058" s="14"/>
      <c r="C2058" s="14"/>
      <c r="D2058" s="14"/>
      <c r="E2058" s="14"/>
      <c r="F2058" s="14"/>
      <c r="G2058" s="14"/>
      <c r="H2058" s="79"/>
      <c r="I2058" s="14"/>
    </row>
    <row r="2059" spans="2:9" ht="12.75" hidden="1" customHeight="1">
      <c r="B2059" s="14"/>
      <c r="C2059" s="14"/>
      <c r="D2059" s="14"/>
      <c r="E2059" s="14"/>
      <c r="F2059" s="14"/>
      <c r="G2059" s="14"/>
      <c r="H2059" s="79"/>
      <c r="I2059" s="14"/>
    </row>
    <row r="2060" spans="2:9" ht="12.75" hidden="1" customHeight="1">
      <c r="B2060" s="14"/>
      <c r="C2060" s="14"/>
      <c r="D2060" s="14"/>
      <c r="E2060" s="14"/>
      <c r="F2060" s="14"/>
      <c r="G2060" s="14"/>
      <c r="H2060" s="79"/>
      <c r="I2060" s="14"/>
    </row>
    <row r="2061" spans="2:9" ht="12.75" hidden="1" customHeight="1">
      <c r="B2061" s="14"/>
      <c r="C2061" s="14"/>
      <c r="D2061" s="14"/>
      <c r="E2061" s="14"/>
      <c r="F2061" s="14"/>
      <c r="G2061" s="14"/>
      <c r="H2061" s="79"/>
      <c r="I2061" s="14"/>
    </row>
    <row r="2062" spans="2:9" ht="12.75" hidden="1" customHeight="1">
      <c r="B2062" s="14"/>
      <c r="C2062" s="14"/>
      <c r="D2062" s="14"/>
      <c r="E2062" s="14"/>
      <c r="F2062" s="14"/>
      <c r="G2062" s="14"/>
      <c r="H2062" s="79"/>
      <c r="I2062" s="14"/>
    </row>
    <row r="2063" spans="2:9" ht="12.75" hidden="1" customHeight="1">
      <c r="B2063" s="14"/>
      <c r="C2063" s="14"/>
      <c r="D2063" s="14"/>
      <c r="E2063" s="14"/>
      <c r="F2063" s="14"/>
      <c r="G2063" s="14"/>
      <c r="H2063" s="79"/>
      <c r="I2063" s="14"/>
    </row>
    <row r="2064" spans="2:9" ht="12.75" hidden="1" customHeight="1">
      <c r="B2064" s="14"/>
      <c r="C2064" s="14"/>
      <c r="D2064" s="14"/>
      <c r="E2064" s="14"/>
      <c r="F2064" s="14"/>
      <c r="G2064" s="14"/>
      <c r="H2064" s="79"/>
      <c r="I2064" s="14"/>
    </row>
    <row r="2065" spans="2:9" ht="12.75" hidden="1" customHeight="1">
      <c r="B2065" s="14"/>
      <c r="C2065" s="14"/>
      <c r="D2065" s="14"/>
      <c r="E2065" s="14"/>
      <c r="F2065" s="14"/>
      <c r="G2065" s="14"/>
      <c r="H2065" s="79"/>
      <c r="I2065" s="14"/>
    </row>
    <row r="2066" spans="2:9" ht="12.75" hidden="1" customHeight="1">
      <c r="B2066" s="14"/>
      <c r="C2066" s="14"/>
      <c r="D2066" s="14"/>
      <c r="E2066" s="14"/>
      <c r="F2066" s="14"/>
      <c r="G2066" s="14"/>
      <c r="H2066" s="79"/>
      <c r="I2066" s="14"/>
    </row>
    <row r="2067" spans="2:9" ht="12.75" hidden="1" customHeight="1">
      <c r="B2067" s="14"/>
      <c r="C2067" s="14"/>
      <c r="D2067" s="14"/>
      <c r="E2067" s="14"/>
      <c r="F2067" s="14"/>
      <c r="G2067" s="14"/>
      <c r="H2067" s="79"/>
      <c r="I2067" s="14"/>
    </row>
    <row r="2068" spans="2:9" ht="12.75" hidden="1" customHeight="1">
      <c r="B2068" s="14"/>
      <c r="C2068" s="14"/>
      <c r="D2068" s="14"/>
      <c r="E2068" s="14"/>
      <c r="F2068" s="14"/>
      <c r="G2068" s="14"/>
      <c r="H2068" s="79"/>
      <c r="I2068" s="14"/>
    </row>
    <row r="2069" spans="2:9" ht="12.75" hidden="1" customHeight="1">
      <c r="B2069" s="14"/>
      <c r="C2069" s="14"/>
      <c r="D2069" s="14"/>
      <c r="E2069" s="14"/>
      <c r="F2069" s="14"/>
      <c r="G2069" s="14"/>
      <c r="H2069" s="79"/>
      <c r="I2069" s="14"/>
    </row>
    <row r="2070" spans="2:9" ht="12.75" hidden="1" customHeight="1">
      <c r="B2070" s="14"/>
      <c r="C2070" s="14"/>
      <c r="D2070" s="14"/>
      <c r="E2070" s="14"/>
      <c r="F2070" s="14"/>
      <c r="G2070" s="14"/>
      <c r="H2070" s="79"/>
      <c r="I2070" s="14"/>
    </row>
    <row r="2071" spans="2:9" ht="12.75" hidden="1" customHeight="1">
      <c r="B2071" s="14"/>
      <c r="C2071" s="14"/>
      <c r="D2071" s="14"/>
      <c r="E2071" s="14"/>
      <c r="F2071" s="14"/>
      <c r="G2071" s="14"/>
      <c r="H2071" s="79"/>
      <c r="I2071" s="14"/>
    </row>
    <row r="2072" spans="2:9" ht="12.75" hidden="1" customHeight="1">
      <c r="B2072" s="14"/>
      <c r="C2072" s="14"/>
      <c r="D2072" s="14"/>
      <c r="E2072" s="14"/>
      <c r="F2072" s="14"/>
      <c r="G2072" s="14"/>
      <c r="H2072" s="79"/>
      <c r="I2072" s="14"/>
    </row>
    <row r="2073" spans="2:9" ht="12.75" hidden="1" customHeight="1">
      <c r="B2073" s="14"/>
      <c r="C2073" s="14"/>
      <c r="D2073" s="14"/>
      <c r="E2073" s="14"/>
      <c r="F2073" s="14"/>
      <c r="G2073" s="14"/>
      <c r="H2073" s="79"/>
      <c r="I2073" s="14"/>
    </row>
    <row r="2074" spans="2:9" ht="12.75" hidden="1" customHeight="1">
      <c r="B2074" s="14"/>
      <c r="C2074" s="14"/>
      <c r="D2074" s="14"/>
      <c r="E2074" s="14"/>
      <c r="F2074" s="14"/>
      <c r="G2074" s="14"/>
      <c r="H2074" s="79"/>
      <c r="I2074" s="14"/>
    </row>
    <row r="2075" spans="2:9" ht="12.75" hidden="1" customHeight="1">
      <c r="B2075" s="14"/>
      <c r="C2075" s="14"/>
      <c r="D2075" s="14"/>
      <c r="E2075" s="14"/>
      <c r="F2075" s="14"/>
      <c r="G2075" s="14"/>
      <c r="H2075" s="79"/>
      <c r="I2075" s="14"/>
    </row>
    <row r="2076" spans="2:9" ht="12.75" hidden="1" customHeight="1">
      <c r="B2076" s="14"/>
      <c r="C2076" s="14"/>
      <c r="D2076" s="14"/>
      <c r="E2076" s="14"/>
      <c r="F2076" s="14"/>
      <c r="G2076" s="14"/>
      <c r="H2076" s="79"/>
      <c r="I2076" s="14"/>
    </row>
    <row r="2077" spans="2:9" ht="12.75" hidden="1" customHeight="1">
      <c r="B2077" s="14"/>
      <c r="C2077" s="14"/>
      <c r="D2077" s="14"/>
      <c r="E2077" s="14"/>
      <c r="F2077" s="14"/>
      <c r="G2077" s="14"/>
      <c r="H2077" s="79"/>
      <c r="I2077" s="14"/>
    </row>
    <row r="2078" spans="2:9" ht="12.75" hidden="1" customHeight="1">
      <c r="B2078" s="14"/>
      <c r="C2078" s="14"/>
      <c r="D2078" s="14"/>
      <c r="E2078" s="14"/>
      <c r="F2078" s="14"/>
      <c r="G2078" s="14"/>
      <c r="H2078" s="79"/>
      <c r="I2078" s="14"/>
    </row>
    <row r="2079" spans="2:9" ht="12.75" hidden="1" customHeight="1">
      <c r="B2079" s="14"/>
      <c r="C2079" s="14"/>
      <c r="D2079" s="14"/>
      <c r="E2079" s="14"/>
      <c r="F2079" s="14"/>
      <c r="G2079" s="14"/>
      <c r="H2079" s="79"/>
      <c r="I2079" s="14"/>
    </row>
    <row r="2080" spans="2:9" ht="12.75" hidden="1" customHeight="1">
      <c r="B2080" s="14"/>
      <c r="C2080" s="14"/>
      <c r="D2080" s="14"/>
      <c r="E2080" s="14"/>
      <c r="F2080" s="14"/>
      <c r="G2080" s="14"/>
      <c r="H2080" s="79"/>
      <c r="I2080" s="14"/>
    </row>
    <row r="2081" spans="2:9" ht="12.75" hidden="1" customHeight="1">
      <c r="B2081" s="14"/>
      <c r="C2081" s="14"/>
      <c r="D2081" s="14"/>
      <c r="E2081" s="14"/>
      <c r="F2081" s="14"/>
      <c r="G2081" s="14"/>
      <c r="H2081" s="79"/>
      <c r="I2081" s="14"/>
    </row>
    <row r="2082" spans="2:9" ht="12.75" hidden="1" customHeight="1">
      <c r="B2082" s="14"/>
      <c r="C2082" s="14"/>
      <c r="D2082" s="14"/>
      <c r="E2082" s="14"/>
      <c r="F2082" s="14"/>
      <c r="G2082" s="14"/>
      <c r="H2082" s="79"/>
      <c r="I2082" s="14"/>
    </row>
    <row r="2083" spans="2:9" ht="12.75" hidden="1" customHeight="1">
      <c r="B2083" s="14"/>
      <c r="C2083" s="14"/>
      <c r="D2083" s="14"/>
      <c r="E2083" s="14"/>
      <c r="F2083" s="14"/>
      <c r="G2083" s="14"/>
      <c r="H2083" s="79"/>
      <c r="I2083" s="14"/>
    </row>
    <row r="2084" spans="2:9" ht="12.75" hidden="1" customHeight="1">
      <c r="B2084" s="14"/>
      <c r="C2084" s="14"/>
      <c r="D2084" s="14"/>
      <c r="E2084" s="14"/>
      <c r="F2084" s="14"/>
      <c r="G2084" s="14"/>
      <c r="H2084" s="79"/>
      <c r="I2084" s="14"/>
    </row>
    <row r="2085" spans="2:9" ht="12.75" hidden="1" customHeight="1">
      <c r="B2085" s="14"/>
      <c r="C2085" s="14"/>
      <c r="D2085" s="14"/>
      <c r="E2085" s="14"/>
      <c r="F2085" s="14"/>
      <c r="G2085" s="14"/>
      <c r="H2085" s="79"/>
      <c r="I2085" s="14"/>
    </row>
    <row r="2086" spans="2:9" ht="12.75" hidden="1" customHeight="1">
      <c r="B2086" s="14"/>
      <c r="C2086" s="14"/>
      <c r="D2086" s="14"/>
      <c r="E2086" s="14"/>
      <c r="F2086" s="14"/>
      <c r="G2086" s="14"/>
      <c r="H2086" s="79"/>
      <c r="I2086" s="14"/>
    </row>
    <row r="2087" spans="2:9" ht="12.75" hidden="1" customHeight="1">
      <c r="B2087" s="14"/>
      <c r="C2087" s="14"/>
      <c r="D2087" s="14"/>
      <c r="E2087" s="14"/>
      <c r="F2087" s="14"/>
      <c r="G2087" s="14"/>
      <c r="H2087" s="79"/>
      <c r="I2087" s="14"/>
    </row>
    <row r="2088" spans="2:9" ht="12.75" hidden="1" customHeight="1">
      <c r="B2088" s="14"/>
      <c r="C2088" s="14"/>
      <c r="D2088" s="14"/>
      <c r="E2088" s="14"/>
      <c r="F2088" s="14"/>
      <c r="G2088" s="14"/>
      <c r="H2088" s="79"/>
      <c r="I2088" s="14"/>
    </row>
    <row r="2089" spans="2:9" ht="12.75" hidden="1" customHeight="1">
      <c r="B2089" s="14"/>
      <c r="C2089" s="14"/>
      <c r="D2089" s="14"/>
      <c r="E2089" s="14"/>
      <c r="F2089" s="14"/>
      <c r="G2089" s="14"/>
      <c r="H2089" s="79"/>
      <c r="I2089" s="14"/>
    </row>
    <row r="2090" spans="2:9" ht="12.75" hidden="1" customHeight="1">
      <c r="B2090" s="14"/>
      <c r="C2090" s="14"/>
      <c r="D2090" s="14"/>
      <c r="E2090" s="14"/>
      <c r="F2090" s="14"/>
      <c r="G2090" s="14"/>
      <c r="H2090" s="79"/>
      <c r="I2090" s="14"/>
    </row>
    <row r="2091" spans="2:9" ht="12.75" hidden="1" customHeight="1">
      <c r="B2091" s="14"/>
      <c r="C2091" s="14"/>
      <c r="D2091" s="14"/>
      <c r="E2091" s="14"/>
      <c r="F2091" s="14"/>
      <c r="G2091" s="14"/>
      <c r="H2091" s="79"/>
      <c r="I2091" s="14"/>
    </row>
    <row r="2092" spans="2:9" ht="12.75" hidden="1" customHeight="1">
      <c r="B2092" s="14"/>
      <c r="C2092" s="14"/>
      <c r="D2092" s="14"/>
      <c r="E2092" s="14"/>
      <c r="F2092" s="14"/>
      <c r="G2092" s="14"/>
      <c r="H2092" s="79"/>
      <c r="I2092" s="14"/>
    </row>
    <row r="2093" spans="2:9" ht="12.75" hidden="1" customHeight="1">
      <c r="B2093" s="14"/>
      <c r="C2093" s="14"/>
      <c r="D2093" s="14"/>
      <c r="E2093" s="14"/>
      <c r="F2093" s="14"/>
      <c r="G2093" s="14"/>
      <c r="H2093" s="79"/>
      <c r="I2093" s="14"/>
    </row>
    <row r="2094" spans="2:9" ht="12.75" hidden="1" customHeight="1">
      <c r="B2094" s="14"/>
      <c r="C2094" s="14"/>
      <c r="D2094" s="14"/>
      <c r="E2094" s="14"/>
      <c r="F2094" s="14"/>
      <c r="G2094" s="14"/>
      <c r="H2094" s="79"/>
      <c r="I2094" s="14"/>
    </row>
    <row r="2095" spans="2:9" ht="12.75" hidden="1" customHeight="1">
      <c r="B2095" s="14"/>
      <c r="C2095" s="14"/>
      <c r="D2095" s="14"/>
      <c r="E2095" s="14"/>
      <c r="F2095" s="14"/>
      <c r="G2095" s="14"/>
      <c r="H2095" s="79"/>
      <c r="I2095" s="14"/>
    </row>
    <row r="2096" spans="2:9" ht="12.75" hidden="1" customHeight="1">
      <c r="B2096" s="14"/>
      <c r="C2096" s="14"/>
      <c r="D2096" s="14"/>
      <c r="E2096" s="14"/>
      <c r="F2096" s="14"/>
      <c r="G2096" s="14"/>
      <c r="H2096" s="79"/>
      <c r="I2096" s="14"/>
    </row>
    <row r="2097" spans="2:9" ht="12.75" hidden="1" customHeight="1">
      <c r="B2097" s="14"/>
      <c r="C2097" s="14"/>
      <c r="D2097" s="14"/>
      <c r="E2097" s="14"/>
      <c r="F2097" s="14"/>
      <c r="G2097" s="14"/>
      <c r="H2097" s="79"/>
      <c r="I2097" s="14"/>
    </row>
    <row r="2098" spans="2:9" ht="12.75" hidden="1" customHeight="1">
      <c r="B2098" s="14"/>
      <c r="C2098" s="14"/>
      <c r="D2098" s="14"/>
      <c r="E2098" s="14"/>
      <c r="F2098" s="14"/>
      <c r="G2098" s="14"/>
      <c r="H2098" s="79"/>
      <c r="I2098" s="14"/>
    </row>
    <row r="2099" spans="2:9" ht="12.75" hidden="1" customHeight="1">
      <c r="B2099" s="14"/>
      <c r="C2099" s="14"/>
      <c r="D2099" s="14"/>
      <c r="E2099" s="14"/>
      <c r="F2099" s="14"/>
      <c r="G2099" s="14"/>
      <c r="H2099" s="79"/>
      <c r="I2099" s="14"/>
    </row>
    <row r="2100" spans="2:9" ht="12.75" hidden="1" customHeight="1">
      <c r="B2100" s="14"/>
      <c r="C2100" s="14"/>
      <c r="D2100" s="14"/>
      <c r="E2100" s="14"/>
      <c r="F2100" s="14"/>
      <c r="G2100" s="14"/>
      <c r="H2100" s="79"/>
      <c r="I2100" s="14"/>
    </row>
    <row r="2101" spans="2:9" ht="12.75" hidden="1" customHeight="1">
      <c r="B2101" s="14"/>
      <c r="C2101" s="14"/>
      <c r="D2101" s="14"/>
      <c r="E2101" s="14"/>
      <c r="F2101" s="14"/>
      <c r="G2101" s="14"/>
      <c r="H2101" s="79"/>
      <c r="I2101" s="14"/>
    </row>
    <row r="2102" spans="2:9" ht="12.75" hidden="1" customHeight="1">
      <c r="B2102" s="14"/>
      <c r="C2102" s="14"/>
      <c r="D2102" s="14"/>
      <c r="E2102" s="14"/>
      <c r="F2102" s="14"/>
      <c r="G2102" s="14"/>
      <c r="H2102" s="79"/>
      <c r="I2102" s="14"/>
    </row>
    <row r="2103" spans="2:9" ht="12.75" hidden="1" customHeight="1">
      <c r="B2103" s="14"/>
      <c r="C2103" s="14"/>
      <c r="D2103" s="14"/>
      <c r="E2103" s="14"/>
      <c r="F2103" s="14"/>
      <c r="G2103" s="14"/>
      <c r="H2103" s="79"/>
      <c r="I2103" s="14"/>
    </row>
    <row r="2104" spans="2:9" ht="12.75" hidden="1" customHeight="1">
      <c r="B2104" s="14"/>
      <c r="C2104" s="14"/>
      <c r="D2104" s="14"/>
      <c r="E2104" s="14"/>
      <c r="F2104" s="14"/>
      <c r="G2104" s="14"/>
      <c r="H2104" s="79"/>
      <c r="I2104" s="14"/>
    </row>
    <row r="2105" spans="2:9" ht="12.75" hidden="1" customHeight="1">
      <c r="B2105" s="14"/>
      <c r="C2105" s="14"/>
      <c r="D2105" s="14"/>
      <c r="E2105" s="14"/>
      <c r="F2105" s="14"/>
      <c r="G2105" s="14"/>
      <c r="H2105" s="79"/>
      <c r="I2105" s="14"/>
    </row>
    <row r="2106" spans="2:9" ht="12.75" hidden="1" customHeight="1">
      <c r="B2106" s="14"/>
      <c r="C2106" s="14"/>
      <c r="D2106" s="14"/>
      <c r="E2106" s="14"/>
      <c r="F2106" s="14"/>
      <c r="G2106" s="14"/>
      <c r="H2106" s="79"/>
      <c r="I2106" s="14"/>
    </row>
    <row r="2107" spans="2:9" ht="12.75" hidden="1" customHeight="1">
      <c r="B2107" s="14"/>
      <c r="C2107" s="14"/>
      <c r="D2107" s="14"/>
      <c r="E2107" s="14"/>
      <c r="F2107" s="14"/>
      <c r="G2107" s="14"/>
      <c r="H2107" s="79"/>
      <c r="I2107" s="14"/>
    </row>
    <row r="2108" spans="2:9" ht="12.75" hidden="1" customHeight="1">
      <c r="B2108" s="14"/>
      <c r="C2108" s="14"/>
      <c r="D2108" s="14"/>
      <c r="E2108" s="14"/>
      <c r="F2108" s="14"/>
      <c r="G2108" s="14"/>
      <c r="H2108" s="79"/>
      <c r="I2108" s="14"/>
    </row>
    <row r="2109" spans="2:9" ht="12.75" hidden="1" customHeight="1">
      <c r="B2109" s="14"/>
      <c r="C2109" s="14"/>
      <c r="D2109" s="14"/>
      <c r="E2109" s="14"/>
      <c r="F2109" s="14"/>
      <c r="G2109" s="14"/>
      <c r="H2109" s="79"/>
      <c r="I2109" s="14"/>
    </row>
    <row r="2110" spans="2:9" ht="12.75" hidden="1" customHeight="1">
      <c r="B2110" s="14"/>
      <c r="C2110" s="14"/>
      <c r="D2110" s="14"/>
      <c r="E2110" s="14"/>
      <c r="F2110" s="14"/>
      <c r="G2110" s="14"/>
      <c r="H2110" s="79"/>
      <c r="I2110" s="14"/>
    </row>
    <row r="2111" spans="2:9" ht="12.75" hidden="1" customHeight="1">
      <c r="B2111" s="14"/>
      <c r="C2111" s="14"/>
      <c r="D2111" s="14"/>
      <c r="E2111" s="14"/>
      <c r="F2111" s="14"/>
      <c r="G2111" s="14"/>
      <c r="H2111" s="79"/>
      <c r="I2111" s="14"/>
    </row>
    <row r="2112" spans="2:9" ht="12.75" hidden="1" customHeight="1">
      <c r="B2112" s="14"/>
      <c r="C2112" s="14"/>
      <c r="D2112" s="14"/>
      <c r="E2112" s="14"/>
      <c r="F2112" s="14"/>
      <c r="G2112" s="14"/>
      <c r="H2112" s="79"/>
      <c r="I2112" s="14"/>
    </row>
    <row r="2113" spans="2:9" ht="12.75" hidden="1" customHeight="1">
      <c r="B2113" s="14"/>
      <c r="C2113" s="14"/>
      <c r="D2113" s="14"/>
      <c r="E2113" s="14"/>
      <c r="F2113" s="14"/>
      <c r="G2113" s="14"/>
      <c r="H2113" s="79"/>
      <c r="I2113" s="14"/>
    </row>
    <row r="2114" spans="2:9" ht="12.75" hidden="1" customHeight="1">
      <c r="B2114" s="14"/>
      <c r="C2114" s="14"/>
      <c r="D2114" s="14"/>
      <c r="E2114" s="14"/>
      <c r="F2114" s="14"/>
      <c r="G2114" s="14"/>
      <c r="H2114" s="79"/>
      <c r="I2114" s="14"/>
    </row>
    <row r="2115" spans="2:9" ht="12.75" hidden="1" customHeight="1">
      <c r="B2115" s="14"/>
      <c r="C2115" s="14"/>
      <c r="D2115" s="14"/>
      <c r="E2115" s="14"/>
      <c r="F2115" s="14"/>
      <c r="G2115" s="14"/>
      <c r="H2115" s="79"/>
      <c r="I2115" s="14"/>
    </row>
    <row r="2116" spans="2:9" ht="12.75" hidden="1" customHeight="1">
      <c r="B2116" s="14"/>
      <c r="C2116" s="14"/>
      <c r="D2116" s="14"/>
      <c r="E2116" s="14"/>
      <c r="F2116" s="14"/>
      <c r="G2116" s="14"/>
      <c r="H2116" s="79"/>
      <c r="I2116" s="14"/>
    </row>
    <row r="2117" spans="2:9" ht="12.75" hidden="1" customHeight="1">
      <c r="B2117" s="14"/>
      <c r="C2117" s="14"/>
      <c r="D2117" s="14"/>
      <c r="E2117" s="14"/>
      <c r="F2117" s="14"/>
      <c r="G2117" s="14"/>
      <c r="H2117" s="79"/>
      <c r="I2117" s="14"/>
    </row>
    <row r="2118" spans="2:9" ht="12.75" hidden="1" customHeight="1">
      <c r="B2118" s="14"/>
      <c r="C2118" s="14"/>
      <c r="D2118" s="14"/>
      <c r="E2118" s="14"/>
      <c r="F2118" s="14"/>
      <c r="G2118" s="14"/>
      <c r="H2118" s="79"/>
      <c r="I2118" s="14"/>
    </row>
    <row r="2119" spans="2:9" ht="12.75" hidden="1" customHeight="1">
      <c r="B2119" s="14"/>
      <c r="C2119" s="14"/>
      <c r="D2119" s="14"/>
      <c r="E2119" s="14"/>
      <c r="F2119" s="14"/>
      <c r="G2119" s="14"/>
      <c r="H2119" s="79"/>
      <c r="I2119" s="14"/>
    </row>
    <row r="2120" spans="2:9" ht="12.75" hidden="1" customHeight="1">
      <c r="B2120" s="14"/>
      <c r="C2120" s="14"/>
      <c r="D2120" s="14"/>
      <c r="E2120" s="14"/>
      <c r="F2120" s="14"/>
      <c r="G2120" s="14"/>
      <c r="H2120" s="79"/>
      <c r="I2120" s="14"/>
    </row>
  </sheetData>
  <sheetProtection sheet="1" objects="1" scenarios="1" selectLockedCells="1"/>
  <protectedRanges>
    <protectedRange sqref="D4:G123" name="Day 2 Scores"/>
    <protectedRange sqref="C2" name="Search Box"/>
  </protectedRanges>
  <mergeCells count="1">
    <mergeCell ref="B1:H1"/>
  </mergeCells>
  <conditionalFormatting sqref="C3 C1123:C1048576">
    <cfRule type="containsText" dxfId="74" priority="11" operator="containsText" text="REd">
      <formula>NOT(ISERROR(SEARCH("REd",C3)))</formula>
    </cfRule>
  </conditionalFormatting>
  <conditionalFormatting sqref="C3 C146:C1048576">
    <cfRule type="containsText" dxfId="73" priority="10" operator="containsText" text="yellow">
      <formula>NOT(ISERROR(SEARCH("yellow",C3)))</formula>
    </cfRule>
  </conditionalFormatting>
  <conditionalFormatting sqref="C3 C146:C1048576">
    <cfRule type="containsText" dxfId="72" priority="9" operator="containsText" text="green">
      <formula>NOT(ISERROR(SEARCH("green",C3)))</formula>
    </cfRule>
  </conditionalFormatting>
  <conditionalFormatting sqref="C3 C1123:C1048576">
    <cfRule type="containsText" dxfId="71" priority="8" operator="containsText" text="Blue">
      <formula>NOT(ISERROR(SEARCH("Blue",C3)))</formula>
    </cfRule>
  </conditionalFormatting>
  <conditionalFormatting sqref="C3">
    <cfRule type="expression" dxfId="70" priority="7">
      <formula>COUNTIFS($AA:$AA, $AA3, $C:$C, $C3) &gt; 1</formula>
    </cfRule>
  </conditionalFormatting>
  <conditionalFormatting sqref="C4:C1122">
    <cfRule type="containsText" dxfId="69" priority="6" operator="containsText" text="Red">
      <formula>NOT(ISERROR(SEARCH("Red",C4)))</formula>
    </cfRule>
  </conditionalFormatting>
  <conditionalFormatting sqref="C4:C156">
    <cfRule type="containsText" dxfId="68" priority="5" operator="containsText" text="yellow">
      <formula>NOT(ISERROR(SEARCH("yellow",C4)))</formula>
    </cfRule>
  </conditionalFormatting>
  <conditionalFormatting sqref="C4:C156">
    <cfRule type="containsText" dxfId="67" priority="4" operator="containsText" text="green">
      <formula>NOT(ISERROR(SEARCH("green",C4)))</formula>
    </cfRule>
  </conditionalFormatting>
  <conditionalFormatting sqref="C4:C1122">
    <cfRule type="containsText" dxfId="66" priority="3" operator="containsText" text="blue">
      <formula>NOT(ISERROR(SEARCH("blue",C4)))</formula>
    </cfRule>
  </conditionalFormatting>
  <conditionalFormatting sqref="C1123:C1048576">
    <cfRule type="expression" dxfId="65" priority="13">
      <formula>COUNTIFS($AA:$AA, $AA124, $C:$C, $C1123) &gt; 1</formula>
    </cfRule>
  </conditionalFormatting>
  <conditionalFormatting sqref="B4:B153">
    <cfRule type="expression" dxfId="64" priority="2">
      <formula>AND($D$2&lt;&gt;"", ISNUMBER(SEARCH($D$2, $B4)))</formula>
    </cfRule>
  </conditionalFormatting>
  <conditionalFormatting sqref="B4:B153">
    <cfRule type="expression" dxfId="63" priority="1">
      <formula>AND($C$2&lt;&gt;"", ISNUMBER(SEARCH($C$2, $B4)))</formula>
    </cfRule>
  </conditionalFormatting>
  <dataValidations count="3">
    <dataValidation type="custom" allowBlank="1" showDropDown="1" sqref="H3:I3 H1250:I2120" xr:uid="{00000000-0002-0000-0200-000000000000}">
      <formula1>""</formula1>
    </dataValidation>
    <dataValidation type="list" allowBlank="1" showErrorMessage="1" sqref="C3:C1048576" xr:uid="{9AE1B2A3-BD7A-4B63-9EF4-E50AC494B640}">
      <formula1>"RED,YELLOW,GREEN,BLUE"</formula1>
    </dataValidation>
    <dataValidation type="whole" allowBlank="1" showInputMessage="1" showErrorMessage="1" error="&quot;Please enter a full centimeter length (e.g., 35). Decimals and letters are not allowed!&quot;" sqref="D4:G140" xr:uid="{2443632D-1095-48E7-9992-74130C28583B}">
      <formula1>0</formula1>
      <formula2>350</formula2>
    </dataValidation>
  </dataValidations>
  <pageMargins left="0.7" right="0.7" top="0.75" bottom="0.75" header="0.3" footer="0.3"/>
  <drawing r:id="rId1"/>
  <tableParts count="2">
    <tablePart r:id="rId2"/>
    <tablePart r:id="rId3"/>
  </tableParts>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6AEF3EC-AAC0-4BEB-8835-519AC8DC6D6B}">
  <sheetPr>
    <tabColor rgb="FF0070C0"/>
  </sheetPr>
  <dimension ref="A1:AU110"/>
  <sheetViews>
    <sheetView showGridLines="0" workbookViewId="0">
      <pane ySplit="2" topLeftCell="B3" activePane="bottomLeft" state="frozen"/>
      <selection pane="bottomLeft" activeCell="L11" sqref="L11"/>
    </sheetView>
  </sheetViews>
  <sheetFormatPr defaultColWidth="0" defaultRowHeight="27.75" customHeight="1" zeroHeight="1"/>
  <cols>
    <col min="1" max="1" width="5.28515625" style="127" hidden="1" customWidth="1"/>
    <col min="2" max="2" width="26.85546875" style="127" customWidth="1"/>
    <col min="3" max="3" width="26.140625" style="127" customWidth="1"/>
    <col min="4" max="4" width="15.7109375" style="127" customWidth="1"/>
    <col min="5" max="5" width="7.5703125" style="127" customWidth="1"/>
    <col min="6" max="6" width="5" style="127" hidden="1" customWidth="1"/>
    <col min="7" max="7" width="24.140625" style="127" customWidth="1"/>
    <col min="8" max="8" width="22" style="127" customWidth="1"/>
    <col min="9" max="9" width="16.140625" style="127" customWidth="1"/>
    <col min="10" max="10" width="6.85546875" style="127" customWidth="1"/>
    <col min="11" max="11" width="5.7109375" style="127" hidden="1" customWidth="1"/>
    <col min="12" max="12" width="23.42578125" style="127" customWidth="1"/>
    <col min="13" max="13" width="21.42578125" style="127" customWidth="1"/>
    <col min="14" max="14" width="16.28515625" style="127" customWidth="1"/>
    <col min="15" max="15" width="9.28515625" style="127" customWidth="1"/>
    <col min="16" max="16" width="6.85546875" style="127" hidden="1" customWidth="1"/>
    <col min="17" max="17" width="24.28515625" style="127" customWidth="1"/>
    <col min="18" max="18" width="20.7109375" style="127" customWidth="1"/>
    <col min="19" max="19" width="15.42578125" style="127" customWidth="1"/>
    <col min="20" max="20" width="6.42578125" style="127" customWidth="1"/>
    <col min="21" max="21" width="9.140625" style="124" hidden="1" customWidth="1"/>
    <col min="22" max="16384" width="0" style="124" hidden="1"/>
  </cols>
  <sheetData>
    <row r="1" spans="1:47" ht="27.75" customHeight="1">
      <c r="A1" s="123"/>
      <c r="B1" s="321" t="s">
        <v>54</v>
      </c>
      <c r="C1" s="321"/>
      <c r="D1" s="321"/>
      <c r="E1" s="321"/>
      <c r="F1" s="321"/>
      <c r="G1" s="321"/>
      <c r="H1" s="321"/>
      <c r="I1" s="321"/>
      <c r="J1" s="321"/>
      <c r="K1" s="321"/>
      <c r="L1" s="321"/>
      <c r="M1" s="321"/>
      <c r="N1" s="321"/>
      <c r="O1" s="321"/>
      <c r="P1" s="321"/>
      <c r="Q1" s="321"/>
      <c r="R1" s="321"/>
      <c r="S1" s="321"/>
      <c r="T1" s="322"/>
    </row>
    <row r="2" spans="1:47" ht="27.75" customHeight="1">
      <c r="A2" s="125" t="s">
        <v>55</v>
      </c>
      <c r="B2" s="204" t="s">
        <v>45</v>
      </c>
      <c r="C2" s="205" t="s">
        <v>29</v>
      </c>
      <c r="D2" s="205" t="s">
        <v>56</v>
      </c>
      <c r="E2" s="206" t="s">
        <v>57</v>
      </c>
      <c r="F2" s="200" t="s">
        <v>55</v>
      </c>
      <c r="G2" s="207" t="s">
        <v>45</v>
      </c>
      <c r="H2" s="207" t="s">
        <v>29</v>
      </c>
      <c r="I2" s="207" t="s">
        <v>56</v>
      </c>
      <c r="J2" s="208" t="s">
        <v>58</v>
      </c>
      <c r="K2" s="209" t="s">
        <v>55</v>
      </c>
      <c r="L2" s="213" t="s">
        <v>45</v>
      </c>
      <c r="M2" s="214" t="s">
        <v>29</v>
      </c>
      <c r="N2" s="214" t="s">
        <v>56</v>
      </c>
      <c r="O2" s="215" t="s">
        <v>58</v>
      </c>
      <c r="P2" s="210" t="s">
        <v>55</v>
      </c>
      <c r="Q2" s="211" t="s">
        <v>45</v>
      </c>
      <c r="R2" s="211" t="s">
        <v>29</v>
      </c>
      <c r="S2" s="211" t="s">
        <v>56</v>
      </c>
      <c r="T2" s="212" t="s">
        <v>58</v>
      </c>
    </row>
    <row r="3" spans="1:47" ht="27.75" customHeight="1">
      <c r="A3" s="126">
        <v>1</v>
      </c>
      <c r="B3" s="154" t="str">
        <f>IFERROR(INDEX('DAY 1 SCORES'!$B:$B, MATCH("RED" &amp; $A3, 'DAY 1 SCORES'!$J:$J, 0)), "")</f>
        <v/>
      </c>
      <c r="C3" s="155" t="str">
        <f>IFERROR(INDEX(DATA_IMPORT!$B:$B, MATCH(B3, DATA_IMPORT!$A:$A, 0)), "")</f>
        <v/>
      </c>
      <c r="D3" s="155" t="str">
        <f>IFERROR(VLOOKUP($B3, 'DAY 1 SCORES'!$B:$K, 10, FALSE), "")</f>
        <v>///</v>
      </c>
      <c r="E3" s="156" t="str">
        <f>IF(B3="", "", IFERROR(INDEX('DAY 1 SCORES'!$H:$H, MATCH(B3, 'DAY 1 SCORES'!$B:$B, 0)), ""))</f>
        <v/>
      </c>
      <c r="F3" s="157">
        <v>1</v>
      </c>
      <c r="G3" s="158" t="str">
        <f>IFERROR(INDEX('DAY 1 SCORES'!$B:$B, MATCH("YELLOW" &amp; $A3, 'DAY 1 SCORES'!$J:$J, 0)), "")</f>
        <v/>
      </c>
      <c r="H3" s="159" t="str">
        <f>IFERROR(INDEX(DATA_IMPORT!$B:$B, MATCH(G3, DATA_IMPORT!$A:$A, 0)), "")</f>
        <v/>
      </c>
      <c r="I3" s="159" t="str">
        <f>IFERROR(VLOOKUP($G3, 'DAY 1 SCORES'!$B:$K, 10, FALSE), "")</f>
        <v>///</v>
      </c>
      <c r="J3" s="159" t="str">
        <f>IF(G3="", "", IFERROR(INDEX('DAY 1 SCORES'!$H:$H, MATCH(G3, 'DAY 1 SCORES'!$B:$B, 0)), ""))</f>
        <v/>
      </c>
      <c r="K3" s="160">
        <v>1</v>
      </c>
      <c r="L3" s="201" t="str">
        <f>IFERROR(INDEX('DAY 1 SCORES'!$B:$B, MATCH("GREEN" &amp; $A3, 'DAY 1 SCORES'!$J:$J, 0)), "")</f>
        <v/>
      </c>
      <c r="M3" s="202" t="str">
        <f>IFERROR(INDEX(DATA_IMPORT!$B:$B, MATCH(L3, DATA_IMPORT!$A:$A, 0)), "")</f>
        <v/>
      </c>
      <c r="N3" s="202" t="str">
        <f>IFERROR(VLOOKUP($L3, 'DAY 1 SCORES'!$B:$K, 10, FALSE), "")</f>
        <v>///</v>
      </c>
      <c r="O3" s="203" t="str">
        <f>IF(L3="", "", IFERROR(INDEX('DAY 1 SCORES'!$H:$H, MATCH(L3, 'DAY 1 SCORES'!$B:$B, 0)), ""))</f>
        <v/>
      </c>
      <c r="P3" s="161">
        <v>1</v>
      </c>
      <c r="Q3" s="296" t="str">
        <f>IFERROR(INDEX('DAY 1 SCORES'!$B:$B, MATCH("BLUE" &amp; $A3, 'DAY 1 SCORES'!$J:$J, 0)), "")</f>
        <v/>
      </c>
      <c r="R3" s="162" t="str">
        <f>IFERROR(INDEX(DATA_IMPORT!$B:$B, MATCH(Q3, DATA_IMPORT!$A:$A, 0)), "")</f>
        <v/>
      </c>
      <c r="S3" s="162" t="str">
        <f>IFERROR(VLOOKUP($Q3, 'DAY 1 SCORES'!$B:$K, 10, FALSE), "")</f>
        <v>///</v>
      </c>
      <c r="T3" s="162" t="str">
        <f>IF(Q3="", "", IFERROR(INDEX('DAY 1 SCORES'!$H:$H, MATCH(Q3, 'DAY 1 SCORES'!$B:$B, 0)), ""))</f>
        <v/>
      </c>
      <c r="U3" s="142"/>
      <c r="V3" s="142"/>
      <c r="W3" s="142"/>
      <c r="X3" s="142"/>
      <c r="Y3" s="142"/>
      <c r="Z3" s="142"/>
      <c r="AA3" s="142"/>
      <c r="AB3" s="142"/>
      <c r="AC3" s="142"/>
      <c r="AD3" s="142"/>
      <c r="AE3" s="142"/>
      <c r="AF3" s="142"/>
      <c r="AG3" s="142"/>
      <c r="AH3" s="142"/>
      <c r="AI3" s="142"/>
      <c r="AJ3" s="142"/>
      <c r="AK3" s="142"/>
      <c r="AL3" s="142"/>
      <c r="AM3" s="142"/>
      <c r="AN3" s="142"/>
      <c r="AO3" s="142"/>
      <c r="AP3" s="142"/>
      <c r="AQ3" s="142"/>
      <c r="AR3" s="142"/>
      <c r="AS3" s="142"/>
      <c r="AT3" s="142"/>
      <c r="AU3" s="142"/>
    </row>
    <row r="4" spans="1:47" ht="27.75" customHeight="1">
      <c r="A4" s="126">
        <v>2</v>
      </c>
      <c r="B4" s="154" t="str">
        <f>IFERROR(INDEX('DAY 1 SCORES'!$B:$B, MATCH("RED" &amp; $A4, 'DAY 1 SCORES'!$J:$J, 0)), "")</f>
        <v/>
      </c>
      <c r="C4" s="155" t="str">
        <f>IFERROR(INDEX(DATA_IMPORT!$B:$B, MATCH(B4, DATA_IMPORT!$A:$A, 0)), "")</f>
        <v/>
      </c>
      <c r="D4" s="155" t="str">
        <f>IFERROR(VLOOKUP($B4, 'DAY 1 SCORES'!$B:$K, 10, FALSE), "")</f>
        <v>///</v>
      </c>
      <c r="E4" s="156" t="str">
        <f>IF(B4="", "", IFERROR(INDEX('DAY 1 SCORES'!$H:$H, MATCH(B4, 'DAY 1 SCORES'!$B:$B, 0)), ""))</f>
        <v/>
      </c>
      <c r="F4" s="157">
        <v>2</v>
      </c>
      <c r="G4" s="158" t="str">
        <f>IFERROR(INDEX('DAY 1 SCORES'!$B:$B, MATCH("YELLOW" &amp; $A4, 'DAY 1 SCORES'!$J:$J, 0)), "")</f>
        <v/>
      </c>
      <c r="H4" s="159" t="str">
        <f>IFERROR(INDEX(DATA_IMPORT!$B:$B, MATCH(G4, DATA_IMPORT!$A:$A, 0)), "")</f>
        <v/>
      </c>
      <c r="I4" s="159" t="str">
        <f>IFERROR(VLOOKUP($G4, 'DAY 1 SCORES'!$B:$K, 10, FALSE), "")</f>
        <v>///</v>
      </c>
      <c r="J4" s="159" t="str">
        <f>IF(G4="", "", IFERROR(INDEX('DAY 1 SCORES'!$H:$H, MATCH(G4, 'DAY 1 SCORES'!$B:$B, 0)), ""))</f>
        <v/>
      </c>
      <c r="K4" s="160">
        <v>2</v>
      </c>
      <c r="L4" s="201" t="str">
        <f>IFERROR(INDEX('DAY 1 SCORES'!$B:$B, MATCH("GREEN" &amp; $A4, 'DAY 1 SCORES'!$J:$J, 0)), "")</f>
        <v/>
      </c>
      <c r="M4" s="202" t="str">
        <f>IFERROR(INDEX(DATA_IMPORT!$B:$B, MATCH(L4, DATA_IMPORT!$A:$A, 0)), "")</f>
        <v/>
      </c>
      <c r="N4" s="202" t="str">
        <f>IFERROR(VLOOKUP($L4, 'DAY 1 SCORES'!$B:$K, 10, FALSE), "")</f>
        <v>///</v>
      </c>
      <c r="O4" s="203" t="str">
        <f>IF(L4="", "", IFERROR(INDEX('DAY 1 SCORES'!$H:$H, MATCH(L4, 'DAY 1 SCORES'!$B:$B, 0)), ""))</f>
        <v/>
      </c>
      <c r="P4" s="161">
        <v>2</v>
      </c>
      <c r="Q4" s="296" t="str">
        <f>IFERROR(INDEX('DAY 1 SCORES'!$B:$B, MATCH("BLUE" &amp; $A4, 'DAY 1 SCORES'!$J:$J, 0)), "")</f>
        <v/>
      </c>
      <c r="R4" s="162" t="str">
        <f>IFERROR(INDEX(DATA_IMPORT!$B:$B, MATCH(Q4, DATA_IMPORT!$A:$A, 0)), "")</f>
        <v/>
      </c>
      <c r="S4" s="162" t="str">
        <f>IFERROR(VLOOKUP($Q4, 'DAY 1 SCORES'!$B:$K, 10, FALSE), "")</f>
        <v>///</v>
      </c>
      <c r="T4" s="162" t="str">
        <f>IF(Q4="", "", IFERROR(INDEX('DAY 1 SCORES'!$H:$H, MATCH(Q4, 'DAY 1 SCORES'!$B:$B, 0)), ""))</f>
        <v/>
      </c>
      <c r="U4" s="142"/>
      <c r="V4" s="142"/>
      <c r="W4" s="142"/>
      <c r="X4" s="142"/>
      <c r="Y4" s="142"/>
      <c r="Z4" s="142"/>
      <c r="AA4" s="142"/>
      <c r="AB4" s="142"/>
      <c r="AC4" s="142"/>
      <c r="AD4" s="142"/>
      <c r="AE4" s="142"/>
      <c r="AF4" s="142"/>
      <c r="AG4" s="142"/>
      <c r="AH4" s="142"/>
      <c r="AI4" s="142"/>
      <c r="AJ4" s="142"/>
      <c r="AK4" s="142"/>
      <c r="AL4" s="142"/>
      <c r="AM4" s="142"/>
      <c r="AN4" s="142"/>
      <c r="AO4" s="142"/>
      <c r="AP4" s="142"/>
      <c r="AQ4" s="142"/>
      <c r="AR4" s="142"/>
      <c r="AS4" s="142"/>
      <c r="AT4" s="142"/>
      <c r="AU4" s="142"/>
    </row>
    <row r="5" spans="1:47" ht="27.75" customHeight="1">
      <c r="A5" s="126">
        <v>3</v>
      </c>
      <c r="B5" s="154" t="str">
        <f>IFERROR(INDEX('DAY 1 SCORES'!$B:$B, MATCH("RED" &amp; $A5, 'DAY 1 SCORES'!$J:$J, 0)), "")</f>
        <v/>
      </c>
      <c r="C5" s="155" t="str">
        <f>IFERROR(INDEX(DATA_IMPORT!$B:$B, MATCH(B5, DATA_IMPORT!$A:$A, 0)), "")</f>
        <v/>
      </c>
      <c r="D5" s="155" t="str">
        <f>IFERROR(VLOOKUP($B5, 'DAY 1 SCORES'!$B:$K, 10, FALSE), "")</f>
        <v>///</v>
      </c>
      <c r="E5" s="156" t="str">
        <f>IF(B5="", "", IFERROR(INDEX('DAY 1 SCORES'!$H:$H, MATCH(B5, 'DAY 1 SCORES'!$B:$B, 0)), ""))</f>
        <v/>
      </c>
      <c r="F5" s="157">
        <v>3</v>
      </c>
      <c r="G5" s="158" t="str">
        <f>IFERROR(INDEX('DAY 1 SCORES'!$B:$B, MATCH("YELLOW" &amp; $A5, 'DAY 1 SCORES'!$J:$J, 0)), "")</f>
        <v/>
      </c>
      <c r="H5" s="159" t="str">
        <f>IFERROR(INDEX(DATA_IMPORT!$B:$B, MATCH(G5, DATA_IMPORT!$A:$A, 0)), "")</f>
        <v/>
      </c>
      <c r="I5" s="159" t="str">
        <f>IFERROR(VLOOKUP($G5, 'DAY 1 SCORES'!$B:$K, 10, FALSE), "")</f>
        <v>///</v>
      </c>
      <c r="J5" s="159" t="str">
        <f>IF(G5="", "", IFERROR(INDEX('DAY 1 SCORES'!$H:$H, MATCH(G5, 'DAY 1 SCORES'!$B:$B, 0)), ""))</f>
        <v/>
      </c>
      <c r="K5" s="160">
        <v>3</v>
      </c>
      <c r="L5" s="201" t="str">
        <f>IFERROR(INDEX('DAY 1 SCORES'!$B:$B, MATCH("GREEN" &amp; $A5, 'DAY 1 SCORES'!$J:$J, 0)), "")</f>
        <v/>
      </c>
      <c r="M5" s="202" t="str">
        <f>IFERROR(INDEX(DATA_IMPORT!$B:$B, MATCH(L5, DATA_IMPORT!$A:$A, 0)), "")</f>
        <v/>
      </c>
      <c r="N5" s="202" t="str">
        <f>IFERROR(VLOOKUP($L5, 'DAY 1 SCORES'!$B:$K, 10, FALSE), "")</f>
        <v>///</v>
      </c>
      <c r="O5" s="203" t="str">
        <f>IF(L5="", "", IFERROR(INDEX('DAY 1 SCORES'!$H:$H, MATCH(L5, 'DAY 1 SCORES'!$B:$B, 0)), ""))</f>
        <v/>
      </c>
      <c r="P5" s="161">
        <v>3</v>
      </c>
      <c r="Q5" s="296" t="str">
        <f>IFERROR(INDEX('DAY 1 SCORES'!$B:$B, MATCH("BLUE" &amp; $A5, 'DAY 1 SCORES'!$J:$J, 0)), "")</f>
        <v/>
      </c>
      <c r="R5" s="162" t="str">
        <f>IFERROR(INDEX(DATA_IMPORT!$B:$B, MATCH(Q5, DATA_IMPORT!$A:$A, 0)), "")</f>
        <v/>
      </c>
      <c r="S5" s="162" t="str">
        <f>IFERROR(VLOOKUP($Q5, 'DAY 1 SCORES'!$B:$K, 10, FALSE), "")</f>
        <v>///</v>
      </c>
      <c r="T5" s="162" t="str">
        <f>IF(Q5="", "", IFERROR(INDEX('DAY 1 SCORES'!$H:$H, MATCH(Q5, 'DAY 1 SCORES'!$B:$B, 0)), ""))</f>
        <v/>
      </c>
      <c r="U5" s="142"/>
      <c r="V5" s="142"/>
      <c r="W5" s="142"/>
      <c r="X5" s="142"/>
      <c r="Y5" s="142"/>
      <c r="Z5" s="142"/>
      <c r="AA5" s="142"/>
      <c r="AB5" s="142"/>
      <c r="AC5" s="142"/>
      <c r="AD5" s="142"/>
      <c r="AE5" s="142"/>
      <c r="AF5" s="142"/>
      <c r="AG5" s="142"/>
      <c r="AH5" s="142"/>
      <c r="AI5" s="142"/>
      <c r="AJ5" s="142"/>
      <c r="AK5" s="142"/>
      <c r="AL5" s="142"/>
      <c r="AM5" s="142"/>
      <c r="AN5" s="142"/>
      <c r="AO5" s="142"/>
      <c r="AP5" s="142"/>
      <c r="AQ5" s="142"/>
      <c r="AR5" s="142"/>
      <c r="AS5" s="142"/>
      <c r="AT5" s="142"/>
      <c r="AU5" s="142"/>
    </row>
    <row r="6" spans="1:47" ht="27.75" customHeight="1">
      <c r="A6" s="126">
        <v>4</v>
      </c>
      <c r="B6" s="154" t="str">
        <f>IFERROR(INDEX('DAY 1 SCORES'!$B:$B, MATCH("RED" &amp; $A6, 'DAY 1 SCORES'!$J:$J, 0)), "")</f>
        <v/>
      </c>
      <c r="C6" s="155" t="str">
        <f>IFERROR(INDEX(DATA_IMPORT!$B:$B, MATCH(B6, DATA_IMPORT!$A:$A, 0)), "")</f>
        <v/>
      </c>
      <c r="D6" s="155" t="str">
        <f>IFERROR(VLOOKUP($B6, 'DAY 1 SCORES'!$B:$K, 10, FALSE), "")</f>
        <v>///</v>
      </c>
      <c r="E6" s="156" t="str">
        <f>IF(B6="", "", IFERROR(INDEX('DAY 1 SCORES'!$H:$H, MATCH(B6, 'DAY 1 SCORES'!$B:$B, 0)), ""))</f>
        <v/>
      </c>
      <c r="F6" s="157">
        <v>4</v>
      </c>
      <c r="G6" s="158" t="str">
        <f>IFERROR(INDEX('DAY 1 SCORES'!$B:$B, MATCH("YELLOW" &amp; $A6, 'DAY 1 SCORES'!$J:$J, 0)), "")</f>
        <v/>
      </c>
      <c r="H6" s="159" t="str">
        <f>IFERROR(INDEX(DATA_IMPORT!$B:$B, MATCH(G6, DATA_IMPORT!$A:$A, 0)), "")</f>
        <v/>
      </c>
      <c r="I6" s="159" t="str">
        <f>IFERROR(VLOOKUP($G6, 'DAY 1 SCORES'!$B:$K, 10, FALSE), "")</f>
        <v>///</v>
      </c>
      <c r="J6" s="159" t="str">
        <f>IF(G6="", "", IFERROR(INDEX('DAY 1 SCORES'!$H:$H, MATCH(G6, 'DAY 1 SCORES'!$B:$B, 0)), ""))</f>
        <v/>
      </c>
      <c r="K6" s="160">
        <v>4</v>
      </c>
      <c r="L6" s="201" t="str">
        <f>IFERROR(INDEX('DAY 1 SCORES'!$B:$B, MATCH("GREEN" &amp; $A6, 'DAY 1 SCORES'!$J:$J, 0)), "")</f>
        <v/>
      </c>
      <c r="M6" s="202" t="str">
        <f>IFERROR(INDEX(DATA_IMPORT!$B:$B, MATCH(L6, DATA_IMPORT!$A:$A, 0)), "")</f>
        <v/>
      </c>
      <c r="N6" s="202" t="str">
        <f>IFERROR(VLOOKUP($L6, 'DAY 1 SCORES'!$B:$K, 10, FALSE), "")</f>
        <v>///</v>
      </c>
      <c r="O6" s="203" t="str">
        <f>IF(L6="", "", IFERROR(INDEX('DAY 1 SCORES'!$H:$H, MATCH(L6, 'DAY 1 SCORES'!$B:$B, 0)), ""))</f>
        <v/>
      </c>
      <c r="P6" s="161">
        <v>4</v>
      </c>
      <c r="Q6" s="296" t="str">
        <f>IFERROR(INDEX('DAY 1 SCORES'!$B:$B, MATCH("BLUE" &amp; $A6, 'DAY 1 SCORES'!$J:$J, 0)), "")</f>
        <v/>
      </c>
      <c r="R6" s="162" t="str">
        <f>IFERROR(INDEX(DATA_IMPORT!$B:$B, MATCH(Q6, DATA_IMPORT!$A:$A, 0)), "")</f>
        <v/>
      </c>
      <c r="S6" s="162" t="str">
        <f>IFERROR(VLOOKUP($Q6, 'DAY 1 SCORES'!$B:$K, 10, FALSE), "")</f>
        <v>///</v>
      </c>
      <c r="T6" s="162" t="str">
        <f>IF(Q6="", "", IFERROR(INDEX('DAY 1 SCORES'!$H:$H, MATCH(Q6, 'DAY 1 SCORES'!$B:$B, 0)), ""))</f>
        <v/>
      </c>
      <c r="U6" s="142"/>
      <c r="V6" s="142"/>
      <c r="W6" s="142"/>
      <c r="X6" s="142"/>
      <c r="Y6" s="142"/>
      <c r="Z6" s="142"/>
      <c r="AA6" s="142"/>
      <c r="AB6" s="142"/>
      <c r="AC6" s="142"/>
      <c r="AD6" s="142"/>
      <c r="AE6" s="142"/>
      <c r="AF6" s="142"/>
      <c r="AG6" s="142"/>
      <c r="AH6" s="142"/>
      <c r="AI6" s="142"/>
      <c r="AJ6" s="142"/>
      <c r="AK6" s="142"/>
      <c r="AL6" s="142"/>
      <c r="AM6" s="142"/>
      <c r="AN6" s="142"/>
      <c r="AO6" s="142"/>
      <c r="AP6" s="142"/>
      <c r="AQ6" s="142"/>
      <c r="AR6" s="142"/>
      <c r="AS6" s="142"/>
      <c r="AT6" s="142"/>
      <c r="AU6" s="142"/>
    </row>
    <row r="7" spans="1:47" ht="27.75" customHeight="1">
      <c r="A7" s="126">
        <v>5</v>
      </c>
      <c r="B7" s="154" t="str">
        <f>IFERROR(INDEX('DAY 1 SCORES'!$B:$B, MATCH("RED" &amp; $A7, 'DAY 1 SCORES'!$J:$J, 0)), "")</f>
        <v/>
      </c>
      <c r="C7" s="155" t="str">
        <f>IFERROR(INDEX(DATA_IMPORT!$B:$B, MATCH(B7, DATA_IMPORT!$A:$A, 0)), "")</f>
        <v/>
      </c>
      <c r="D7" s="155" t="str">
        <f>IFERROR(VLOOKUP($B7, 'DAY 1 SCORES'!$B:$K, 10, FALSE), "")</f>
        <v>///</v>
      </c>
      <c r="E7" s="156" t="str">
        <f>IF(B7="", "", IFERROR(INDEX('DAY 1 SCORES'!$H:$H, MATCH(B7, 'DAY 1 SCORES'!$B:$B, 0)), ""))</f>
        <v/>
      </c>
      <c r="F7" s="157">
        <v>5</v>
      </c>
      <c r="G7" s="158" t="str">
        <f>IFERROR(INDEX('DAY 1 SCORES'!$B:$B, MATCH("YELLOW" &amp; $A7, 'DAY 1 SCORES'!$J:$J, 0)), "")</f>
        <v/>
      </c>
      <c r="H7" s="159" t="str">
        <f>IFERROR(INDEX(DATA_IMPORT!$B:$B, MATCH(G7, DATA_IMPORT!$A:$A, 0)), "")</f>
        <v/>
      </c>
      <c r="I7" s="159" t="str">
        <f>IFERROR(VLOOKUP($G7, 'DAY 1 SCORES'!$B:$K, 10, FALSE), "")</f>
        <v>///</v>
      </c>
      <c r="J7" s="159" t="str">
        <f>IF(G7="", "", IFERROR(INDEX('DAY 1 SCORES'!$H:$H, MATCH(G7, 'DAY 1 SCORES'!$B:$B, 0)), ""))</f>
        <v/>
      </c>
      <c r="K7" s="160">
        <v>5</v>
      </c>
      <c r="L7" s="201" t="str">
        <f>IFERROR(INDEX('DAY 1 SCORES'!$B:$B, MATCH("GREEN" &amp; $A7, 'DAY 1 SCORES'!$J:$J, 0)), "")</f>
        <v/>
      </c>
      <c r="M7" s="202" t="str">
        <f>IFERROR(INDEX(DATA_IMPORT!$B:$B, MATCH(L7, DATA_IMPORT!$A:$A, 0)), "")</f>
        <v/>
      </c>
      <c r="N7" s="202" t="str">
        <f>IFERROR(VLOOKUP($L7, 'DAY 1 SCORES'!$B:$K, 10, FALSE), "")</f>
        <v>///</v>
      </c>
      <c r="O7" s="203" t="str">
        <f>IF(L7="", "", IFERROR(INDEX('DAY 1 SCORES'!$H:$H, MATCH(L7, 'DAY 1 SCORES'!$B:$B, 0)), ""))</f>
        <v/>
      </c>
      <c r="P7" s="161">
        <v>5</v>
      </c>
      <c r="Q7" s="296" t="str">
        <f>IFERROR(INDEX('DAY 1 SCORES'!$B:$B, MATCH("BLUE" &amp; $A7, 'DAY 1 SCORES'!$J:$J, 0)), "")</f>
        <v/>
      </c>
      <c r="R7" s="162" t="str">
        <f>IFERROR(INDEX(DATA_IMPORT!$B:$B, MATCH(Q7, DATA_IMPORT!$A:$A, 0)), "")</f>
        <v/>
      </c>
      <c r="S7" s="162" t="str">
        <f>IFERROR(VLOOKUP($Q7, 'DAY 1 SCORES'!$B:$K, 10, FALSE), "")</f>
        <v>///</v>
      </c>
      <c r="T7" s="162" t="str">
        <f>IF(Q7="", "", IFERROR(INDEX('DAY 1 SCORES'!$H:$H, MATCH(Q7, 'DAY 1 SCORES'!$B:$B, 0)), ""))</f>
        <v/>
      </c>
      <c r="U7" s="142"/>
      <c r="V7" s="142"/>
      <c r="W7" s="142"/>
      <c r="X7" s="142"/>
      <c r="Y7" s="142"/>
      <c r="Z7" s="142"/>
      <c r="AA7" s="142"/>
      <c r="AB7" s="142"/>
      <c r="AC7" s="142"/>
      <c r="AD7" s="142"/>
      <c r="AE7" s="142"/>
      <c r="AF7" s="142"/>
      <c r="AG7" s="142"/>
      <c r="AH7" s="142"/>
      <c r="AI7" s="142"/>
      <c r="AJ7" s="142"/>
      <c r="AK7" s="142"/>
      <c r="AL7" s="142"/>
      <c r="AM7" s="142"/>
      <c r="AN7" s="142"/>
      <c r="AO7" s="142"/>
      <c r="AP7" s="142"/>
      <c r="AQ7" s="142"/>
      <c r="AR7" s="142"/>
      <c r="AS7" s="142"/>
      <c r="AT7" s="142"/>
      <c r="AU7" s="142"/>
    </row>
    <row r="8" spans="1:47" ht="27.75" customHeight="1">
      <c r="A8" s="126">
        <v>6</v>
      </c>
      <c r="B8" s="154" t="str">
        <f>IFERROR(INDEX('DAY 1 SCORES'!$B:$B, MATCH("RED" &amp; $A8, 'DAY 1 SCORES'!$J:$J, 0)), "")</f>
        <v/>
      </c>
      <c r="C8" s="155" t="str">
        <f>IFERROR(INDEX(DATA_IMPORT!$B:$B, MATCH(B8, DATA_IMPORT!$A:$A, 0)), "")</f>
        <v/>
      </c>
      <c r="D8" s="155" t="str">
        <f>IFERROR(VLOOKUP($B8, 'DAY 1 SCORES'!$B:$K, 10, FALSE), "")</f>
        <v>///</v>
      </c>
      <c r="E8" s="156" t="str">
        <f>IF(B8="", "", IFERROR(INDEX('DAY 1 SCORES'!$H:$H, MATCH(B8, 'DAY 1 SCORES'!$B:$B, 0)), ""))</f>
        <v/>
      </c>
      <c r="F8" s="157">
        <v>6</v>
      </c>
      <c r="G8" s="158" t="str">
        <f>IFERROR(INDEX('DAY 1 SCORES'!$B:$B, MATCH("YELLOW" &amp; $A8, 'DAY 1 SCORES'!$J:$J, 0)), "")</f>
        <v/>
      </c>
      <c r="H8" s="159" t="str">
        <f>IFERROR(INDEX(DATA_IMPORT!$B:$B, MATCH(G8, DATA_IMPORT!$A:$A, 0)), "")</f>
        <v/>
      </c>
      <c r="I8" s="159" t="str">
        <f>IFERROR(VLOOKUP($G8, 'DAY 1 SCORES'!$B:$K, 10, FALSE), "")</f>
        <v>///</v>
      </c>
      <c r="J8" s="159" t="str">
        <f>IF(G8="", "", IFERROR(INDEX('DAY 1 SCORES'!$H:$H, MATCH(G8, 'DAY 1 SCORES'!$B:$B, 0)), ""))</f>
        <v/>
      </c>
      <c r="K8" s="160">
        <v>6</v>
      </c>
      <c r="L8" s="201" t="str">
        <f>IFERROR(INDEX('DAY 1 SCORES'!$B:$B, MATCH("GREEN" &amp; $A8, 'DAY 1 SCORES'!$J:$J, 0)), "")</f>
        <v/>
      </c>
      <c r="M8" s="202" t="str">
        <f>IFERROR(INDEX(DATA_IMPORT!$B:$B, MATCH(L8, DATA_IMPORT!$A:$A, 0)), "")</f>
        <v/>
      </c>
      <c r="N8" s="202" t="str">
        <f>IFERROR(VLOOKUP($L8, 'DAY 1 SCORES'!$B:$K, 10, FALSE), "")</f>
        <v>///</v>
      </c>
      <c r="O8" s="203" t="str">
        <f>IF(L8="", "", IFERROR(INDEX('DAY 1 SCORES'!$H:$H, MATCH(L8, 'DAY 1 SCORES'!$B:$B, 0)), ""))</f>
        <v/>
      </c>
      <c r="P8" s="161">
        <v>6</v>
      </c>
      <c r="Q8" s="296" t="str">
        <f>IFERROR(INDEX('DAY 1 SCORES'!$B:$B, MATCH("BLUE" &amp; $A8, 'DAY 1 SCORES'!$J:$J, 0)), "")</f>
        <v/>
      </c>
      <c r="R8" s="162" t="str">
        <f>IFERROR(INDEX(DATA_IMPORT!$B:$B, MATCH(Q8, DATA_IMPORT!$A:$A, 0)), "")</f>
        <v/>
      </c>
      <c r="S8" s="162" t="str">
        <f>IFERROR(VLOOKUP($Q8, 'DAY 1 SCORES'!$B:$K, 10, FALSE), "")</f>
        <v>///</v>
      </c>
      <c r="T8" s="162" t="str">
        <f>IF(Q8="", "", IFERROR(INDEX('DAY 1 SCORES'!$H:$H, MATCH(Q8, 'DAY 1 SCORES'!$B:$B, 0)), ""))</f>
        <v/>
      </c>
      <c r="U8" s="142"/>
      <c r="V8" s="142"/>
      <c r="W8" s="142"/>
      <c r="X8" s="142"/>
      <c r="Y8" s="142"/>
      <c r="Z8" s="142"/>
      <c r="AA8" s="142"/>
      <c r="AB8" s="142"/>
      <c r="AC8" s="142"/>
      <c r="AD8" s="142"/>
      <c r="AE8" s="142"/>
      <c r="AF8" s="142"/>
      <c r="AG8" s="142"/>
      <c r="AH8" s="142"/>
      <c r="AI8" s="142"/>
      <c r="AJ8" s="142"/>
      <c r="AK8" s="142"/>
      <c r="AL8" s="142"/>
      <c r="AM8" s="142"/>
      <c r="AN8" s="142"/>
      <c r="AO8" s="142"/>
      <c r="AP8" s="142"/>
      <c r="AQ8" s="142"/>
      <c r="AR8" s="142"/>
      <c r="AS8" s="142"/>
      <c r="AT8" s="142"/>
      <c r="AU8" s="142"/>
    </row>
    <row r="9" spans="1:47" ht="27.75" customHeight="1">
      <c r="A9" s="126">
        <v>7</v>
      </c>
      <c r="B9" s="154" t="str">
        <f>IFERROR(INDEX('DAY 1 SCORES'!$B:$B, MATCH("RED" &amp; $A9, 'DAY 1 SCORES'!$J:$J, 0)), "")</f>
        <v/>
      </c>
      <c r="C9" s="155" t="str">
        <f>IFERROR(INDEX(DATA_IMPORT!$B:$B, MATCH(B9, DATA_IMPORT!$A:$A, 0)), "")</f>
        <v/>
      </c>
      <c r="D9" s="155" t="str">
        <f>IFERROR(VLOOKUP($B9, 'DAY 1 SCORES'!$B:$K, 10, FALSE), "")</f>
        <v>///</v>
      </c>
      <c r="E9" s="156" t="str">
        <f>IF(B9="", "", IFERROR(INDEX('DAY 1 SCORES'!$H:$H, MATCH(B9, 'DAY 1 SCORES'!$B:$B, 0)), ""))</f>
        <v/>
      </c>
      <c r="F9" s="157">
        <v>7</v>
      </c>
      <c r="G9" s="158" t="str">
        <f>IFERROR(INDEX('DAY 1 SCORES'!$B:$B, MATCH("YELLOW" &amp; $A9, 'DAY 1 SCORES'!$J:$J, 0)), "")</f>
        <v/>
      </c>
      <c r="H9" s="159" t="str">
        <f>IFERROR(INDEX(DATA_IMPORT!$B:$B, MATCH(G9, DATA_IMPORT!$A:$A, 0)), "")</f>
        <v/>
      </c>
      <c r="I9" s="159" t="str">
        <f>IFERROR(VLOOKUP($G9, 'DAY 1 SCORES'!$B:$K, 10, FALSE), "")</f>
        <v>///</v>
      </c>
      <c r="J9" s="159" t="str">
        <f>IF(G9="", "", IFERROR(INDEX('DAY 1 SCORES'!$H:$H, MATCH(G9, 'DAY 1 SCORES'!$B:$B, 0)), ""))</f>
        <v/>
      </c>
      <c r="K9" s="160">
        <v>7</v>
      </c>
      <c r="L9" s="201" t="str">
        <f>IFERROR(INDEX('DAY 1 SCORES'!$B:$B, MATCH("GREEN" &amp; $A9, 'DAY 1 SCORES'!$J:$J, 0)), "")</f>
        <v/>
      </c>
      <c r="M9" s="202" t="str">
        <f>IFERROR(INDEX(DATA_IMPORT!$B:$B, MATCH(L9, DATA_IMPORT!$A:$A, 0)), "")</f>
        <v/>
      </c>
      <c r="N9" s="202" t="str">
        <f>IFERROR(VLOOKUP($L9, 'DAY 1 SCORES'!$B:$K, 10, FALSE), "")</f>
        <v>///</v>
      </c>
      <c r="O9" s="203" t="str">
        <f>IF(L9="", "", IFERROR(INDEX('DAY 1 SCORES'!$H:$H, MATCH(L9, 'DAY 1 SCORES'!$B:$B, 0)), ""))</f>
        <v/>
      </c>
      <c r="P9" s="161">
        <v>7</v>
      </c>
      <c r="Q9" s="296" t="str">
        <f>IFERROR(INDEX('DAY 1 SCORES'!$B:$B, MATCH("BLUE" &amp; $A9, 'DAY 1 SCORES'!$J:$J, 0)), "")</f>
        <v/>
      </c>
      <c r="R9" s="162" t="str">
        <f>IFERROR(INDEX(DATA_IMPORT!$B:$B, MATCH(Q9, DATA_IMPORT!$A:$A, 0)), "")</f>
        <v/>
      </c>
      <c r="S9" s="162" t="str">
        <f>IFERROR(VLOOKUP($Q9, 'DAY 1 SCORES'!$B:$K, 10, FALSE), "")</f>
        <v>///</v>
      </c>
      <c r="T9" s="162" t="str">
        <f>IF(Q9="", "", IFERROR(INDEX('DAY 1 SCORES'!$H:$H, MATCH(Q9, 'DAY 1 SCORES'!$B:$B, 0)), ""))</f>
        <v/>
      </c>
      <c r="U9" s="142"/>
      <c r="V9" s="142"/>
      <c r="W9" s="142"/>
      <c r="X9" s="142"/>
      <c r="Y9" s="142"/>
      <c r="Z9" s="142"/>
      <c r="AA9" s="142"/>
      <c r="AB9" s="142"/>
      <c r="AC9" s="142"/>
      <c r="AD9" s="142"/>
      <c r="AE9" s="142"/>
      <c r="AF9" s="142"/>
      <c r="AG9" s="142"/>
      <c r="AH9" s="142"/>
      <c r="AI9" s="142"/>
      <c r="AJ9" s="142"/>
      <c r="AK9" s="142"/>
      <c r="AL9" s="142"/>
      <c r="AM9" s="142"/>
      <c r="AN9" s="142"/>
      <c r="AO9" s="142"/>
      <c r="AP9" s="142"/>
      <c r="AQ9" s="142"/>
      <c r="AR9" s="142"/>
      <c r="AS9" s="142"/>
      <c r="AT9" s="142"/>
      <c r="AU9" s="142"/>
    </row>
    <row r="10" spans="1:47" ht="27.75" customHeight="1">
      <c r="A10" s="126">
        <v>8</v>
      </c>
      <c r="B10" s="154" t="str">
        <f>IFERROR(INDEX('DAY 1 SCORES'!$B:$B, MATCH("RED" &amp; $A10, 'DAY 1 SCORES'!$J:$J, 0)), "")</f>
        <v/>
      </c>
      <c r="C10" s="155" t="str">
        <f>IFERROR(INDEX(DATA_IMPORT!$B:$B, MATCH(B10, DATA_IMPORT!$A:$A, 0)), "")</f>
        <v/>
      </c>
      <c r="D10" s="155" t="str">
        <f>IFERROR(VLOOKUP($B10, 'DAY 1 SCORES'!$B:$K, 10, FALSE), "")</f>
        <v>///</v>
      </c>
      <c r="E10" s="156" t="str">
        <f>IF(B10="", "", IFERROR(INDEX('DAY 1 SCORES'!$H:$H, MATCH(B10, 'DAY 1 SCORES'!$B:$B, 0)), ""))</f>
        <v/>
      </c>
      <c r="F10" s="157">
        <v>8</v>
      </c>
      <c r="G10" s="158" t="str">
        <f>IFERROR(INDEX('DAY 1 SCORES'!$B:$B, MATCH("YELLOW" &amp; $A10, 'DAY 1 SCORES'!$J:$J, 0)), "")</f>
        <v/>
      </c>
      <c r="H10" s="159" t="str">
        <f>IFERROR(INDEX(DATA_IMPORT!$B:$B, MATCH(G10, DATA_IMPORT!$A:$A, 0)), "")</f>
        <v/>
      </c>
      <c r="I10" s="159" t="str">
        <f>IFERROR(VLOOKUP($G10, 'DAY 1 SCORES'!$B:$K, 10, FALSE), "")</f>
        <v>///</v>
      </c>
      <c r="J10" s="159" t="str">
        <f>IF(G10="", "", IFERROR(INDEX('DAY 1 SCORES'!$H:$H, MATCH(G10, 'DAY 1 SCORES'!$B:$B, 0)), ""))</f>
        <v/>
      </c>
      <c r="K10" s="160">
        <v>8</v>
      </c>
      <c r="L10" s="201" t="str">
        <f>IFERROR(INDEX('DAY 1 SCORES'!$B:$B, MATCH("GREEN" &amp; $A10, 'DAY 1 SCORES'!$J:$J, 0)), "")</f>
        <v/>
      </c>
      <c r="M10" s="202" t="str">
        <f>IFERROR(INDEX(DATA_IMPORT!$B:$B, MATCH(L10, DATA_IMPORT!$A:$A, 0)), "")</f>
        <v/>
      </c>
      <c r="N10" s="202" t="str">
        <f>IFERROR(VLOOKUP($L10, 'DAY 1 SCORES'!$B:$K, 10, FALSE), "")</f>
        <v>///</v>
      </c>
      <c r="O10" s="203" t="str">
        <f>IF(L10="", "", IFERROR(INDEX('DAY 1 SCORES'!$H:$H, MATCH(L10, 'DAY 1 SCORES'!$B:$B, 0)), ""))</f>
        <v/>
      </c>
      <c r="P10" s="161">
        <v>8</v>
      </c>
      <c r="Q10" s="296" t="str">
        <f>IFERROR(INDEX('DAY 1 SCORES'!$B:$B, MATCH("BLUE" &amp; $A10, 'DAY 1 SCORES'!$J:$J, 0)), "")</f>
        <v/>
      </c>
      <c r="R10" s="162" t="str">
        <f>IFERROR(INDEX(DATA_IMPORT!$B:$B, MATCH(Q10, DATA_IMPORT!$A:$A, 0)), "")</f>
        <v/>
      </c>
      <c r="S10" s="162" t="str">
        <f>IFERROR(VLOOKUP($Q10, 'DAY 1 SCORES'!$B:$K, 10, FALSE), "")</f>
        <v>///</v>
      </c>
      <c r="T10" s="162" t="str">
        <f>IF(Q10="", "", IFERROR(INDEX('DAY 1 SCORES'!$H:$H, MATCH(Q10, 'DAY 1 SCORES'!$B:$B, 0)), ""))</f>
        <v/>
      </c>
      <c r="U10" s="142"/>
      <c r="V10" s="142"/>
      <c r="W10" s="142"/>
      <c r="X10" s="142"/>
      <c r="Y10" s="142"/>
      <c r="Z10" s="142"/>
      <c r="AA10" s="142"/>
      <c r="AB10" s="142"/>
      <c r="AC10" s="142"/>
      <c r="AD10" s="142"/>
      <c r="AE10" s="142"/>
      <c r="AF10" s="142"/>
      <c r="AG10" s="142"/>
      <c r="AH10" s="142"/>
      <c r="AI10" s="142"/>
      <c r="AJ10" s="142"/>
      <c r="AK10" s="142"/>
      <c r="AL10" s="142"/>
      <c r="AM10" s="142"/>
      <c r="AN10" s="142"/>
      <c r="AO10" s="142"/>
      <c r="AP10" s="142"/>
      <c r="AQ10" s="142"/>
      <c r="AR10" s="142"/>
      <c r="AS10" s="142"/>
      <c r="AT10" s="142"/>
      <c r="AU10" s="142"/>
    </row>
    <row r="11" spans="1:47" ht="27.75" customHeight="1">
      <c r="A11" s="126">
        <v>9</v>
      </c>
      <c r="B11" s="154" t="str">
        <f>IFERROR(INDEX('DAY 1 SCORES'!$B:$B, MATCH("RED" &amp; $A11, 'DAY 1 SCORES'!$J:$J, 0)), "")</f>
        <v/>
      </c>
      <c r="C11" s="155" t="str">
        <f>IFERROR(INDEX(DATA_IMPORT!$B:$B, MATCH(B11, DATA_IMPORT!$A:$A, 0)), "")</f>
        <v/>
      </c>
      <c r="D11" s="155" t="str">
        <f>IFERROR(VLOOKUP($B11, 'DAY 1 SCORES'!$B:$K, 10, FALSE), "")</f>
        <v>///</v>
      </c>
      <c r="E11" s="156" t="str">
        <f>IF(B11="", "", IFERROR(INDEX('DAY 1 SCORES'!$H:$H, MATCH(B11, 'DAY 1 SCORES'!$B:$B, 0)), ""))</f>
        <v/>
      </c>
      <c r="F11" s="157">
        <v>9</v>
      </c>
      <c r="G11" s="158" t="str">
        <f>IFERROR(INDEX('DAY 1 SCORES'!$B:$B, MATCH("YELLOW" &amp; $A11, 'DAY 1 SCORES'!$J:$J, 0)), "")</f>
        <v/>
      </c>
      <c r="H11" s="159" t="str">
        <f>IFERROR(INDEX(DATA_IMPORT!$B:$B, MATCH(G11, DATA_IMPORT!$A:$A, 0)), "")</f>
        <v/>
      </c>
      <c r="I11" s="159" t="str">
        <f>IFERROR(VLOOKUP($G11, 'DAY 1 SCORES'!$B:$K, 10, FALSE), "")</f>
        <v>///</v>
      </c>
      <c r="J11" s="159" t="str">
        <f>IF(G11="", "", IFERROR(INDEX('DAY 1 SCORES'!$H:$H, MATCH(G11, 'DAY 1 SCORES'!$B:$B, 0)), ""))</f>
        <v/>
      </c>
      <c r="K11" s="160">
        <v>9</v>
      </c>
      <c r="L11" s="201" t="str">
        <f>IFERROR(INDEX('DAY 1 SCORES'!$B:$B, MATCH("GREEN" &amp; $A11, 'DAY 1 SCORES'!$J:$J, 0)), "")</f>
        <v/>
      </c>
      <c r="M11" s="202" t="str">
        <f>IFERROR(INDEX(DATA_IMPORT!$B:$B, MATCH(L11, DATA_IMPORT!$A:$A, 0)), "")</f>
        <v/>
      </c>
      <c r="N11" s="202" t="str">
        <f>IFERROR(VLOOKUP($L11, 'DAY 1 SCORES'!$B:$K, 10, FALSE), "")</f>
        <v>///</v>
      </c>
      <c r="O11" s="203" t="str">
        <f>IF(L11="", "", IFERROR(INDEX('DAY 1 SCORES'!$H:$H, MATCH(L11, 'DAY 1 SCORES'!$B:$B, 0)), ""))</f>
        <v/>
      </c>
      <c r="P11" s="161">
        <v>9</v>
      </c>
      <c r="Q11" s="296" t="str">
        <f>IFERROR(INDEX('DAY 1 SCORES'!$B:$B, MATCH("BLUE" &amp; $A11, 'DAY 1 SCORES'!$J:$J, 0)), "")</f>
        <v/>
      </c>
      <c r="R11" s="162" t="str">
        <f>IFERROR(INDEX(DATA_IMPORT!$B:$B, MATCH(Q11, DATA_IMPORT!$A:$A, 0)), "")</f>
        <v/>
      </c>
      <c r="S11" s="162" t="str">
        <f>IFERROR(VLOOKUP($Q11, 'DAY 1 SCORES'!$B:$K, 10, FALSE), "")</f>
        <v>///</v>
      </c>
      <c r="T11" s="162" t="str">
        <f>IF(Q11="", "", IFERROR(INDEX('DAY 1 SCORES'!$H:$H, MATCH(Q11, 'DAY 1 SCORES'!$B:$B, 0)), ""))</f>
        <v/>
      </c>
      <c r="U11" s="142"/>
      <c r="V11" s="142"/>
      <c r="W11" s="142"/>
      <c r="X11" s="142"/>
      <c r="Y11" s="142"/>
      <c r="Z11" s="142"/>
      <c r="AA11" s="142"/>
      <c r="AB11" s="142"/>
      <c r="AC11" s="142"/>
      <c r="AD11" s="142"/>
      <c r="AE11" s="142"/>
      <c r="AF11" s="142"/>
      <c r="AG11" s="142"/>
      <c r="AH11" s="142"/>
      <c r="AI11" s="142"/>
      <c r="AJ11" s="142"/>
      <c r="AK11" s="142"/>
      <c r="AL11" s="142"/>
      <c r="AM11" s="142"/>
      <c r="AN11" s="142"/>
      <c r="AO11" s="142"/>
      <c r="AP11" s="142"/>
      <c r="AQ11" s="142"/>
      <c r="AR11" s="142"/>
      <c r="AS11" s="142"/>
      <c r="AT11" s="142"/>
      <c r="AU11" s="142"/>
    </row>
    <row r="12" spans="1:47" ht="27.75" customHeight="1">
      <c r="A12" s="126">
        <v>10</v>
      </c>
      <c r="B12" s="154" t="str">
        <f>IFERROR(INDEX('DAY 1 SCORES'!$B:$B, MATCH("RED" &amp; $A12, 'DAY 1 SCORES'!$J:$J, 0)), "")</f>
        <v/>
      </c>
      <c r="C12" s="155" t="str">
        <f>IFERROR(INDEX(DATA_IMPORT!$B:$B, MATCH(B12, DATA_IMPORT!$A:$A, 0)), "")</f>
        <v/>
      </c>
      <c r="D12" s="155" t="str">
        <f>IFERROR(VLOOKUP($B12, 'DAY 1 SCORES'!$B:$K, 10, FALSE), "")</f>
        <v>///</v>
      </c>
      <c r="E12" s="156" t="str">
        <f>IF(B12="", "", IFERROR(INDEX('DAY 1 SCORES'!$H:$H, MATCH(B12, 'DAY 1 SCORES'!$B:$B, 0)), ""))</f>
        <v/>
      </c>
      <c r="F12" s="157">
        <v>10</v>
      </c>
      <c r="G12" s="158" t="str">
        <f>IFERROR(INDEX('DAY 1 SCORES'!$B:$B, MATCH("YELLOW" &amp; $A12, 'DAY 1 SCORES'!$J:$J, 0)), "")</f>
        <v/>
      </c>
      <c r="H12" s="159" t="str">
        <f>IFERROR(INDEX(DATA_IMPORT!$B:$B, MATCH(G12, DATA_IMPORT!$A:$A, 0)), "")</f>
        <v/>
      </c>
      <c r="I12" s="159" t="str">
        <f>IFERROR(VLOOKUP($G12, 'DAY 1 SCORES'!$B:$K, 10, FALSE), "")</f>
        <v>///</v>
      </c>
      <c r="J12" s="159" t="str">
        <f>IF(G12="", "", IFERROR(INDEX('DAY 1 SCORES'!$H:$H, MATCH(G12, 'DAY 1 SCORES'!$B:$B, 0)), ""))</f>
        <v/>
      </c>
      <c r="K12" s="160">
        <v>10</v>
      </c>
      <c r="L12" s="201" t="str">
        <f>IFERROR(INDEX('DAY 1 SCORES'!$B:$B, MATCH("GREEN" &amp; $A12, 'DAY 1 SCORES'!$J:$J, 0)), "")</f>
        <v/>
      </c>
      <c r="M12" s="202" t="str">
        <f>IFERROR(INDEX(DATA_IMPORT!$B:$B, MATCH(L12, DATA_IMPORT!$A:$A, 0)), "")</f>
        <v/>
      </c>
      <c r="N12" s="202" t="str">
        <f>IFERROR(VLOOKUP($L12, 'DAY 1 SCORES'!$B:$K, 10, FALSE), "")</f>
        <v>///</v>
      </c>
      <c r="O12" s="203" t="str">
        <f>IF(L12="", "", IFERROR(INDEX('DAY 1 SCORES'!$H:$H, MATCH(L12, 'DAY 1 SCORES'!$B:$B, 0)), ""))</f>
        <v/>
      </c>
      <c r="P12" s="161">
        <v>10</v>
      </c>
      <c r="Q12" s="296" t="str">
        <f>IFERROR(INDEX('DAY 1 SCORES'!$B:$B, MATCH("BLUE" &amp; $A12, 'DAY 1 SCORES'!$J:$J, 0)), "")</f>
        <v/>
      </c>
      <c r="R12" s="162" t="str">
        <f>IFERROR(INDEX(DATA_IMPORT!$B:$B, MATCH(Q12, DATA_IMPORT!$A:$A, 0)), "")</f>
        <v/>
      </c>
      <c r="S12" s="162" t="str">
        <f>IFERROR(VLOOKUP($Q12, 'DAY 1 SCORES'!$B:$K, 10, FALSE), "")</f>
        <v>///</v>
      </c>
      <c r="T12" s="162" t="str">
        <f>IF(Q12="", "", IFERROR(INDEX('DAY 1 SCORES'!$H:$H, MATCH(Q12, 'DAY 1 SCORES'!$B:$B, 0)), ""))</f>
        <v/>
      </c>
      <c r="U12" s="142"/>
      <c r="V12" s="142"/>
      <c r="W12" s="142"/>
      <c r="X12" s="142"/>
      <c r="Y12" s="142"/>
      <c r="Z12" s="142"/>
      <c r="AA12" s="142"/>
      <c r="AB12" s="142"/>
      <c r="AC12" s="142"/>
      <c r="AD12" s="142"/>
      <c r="AE12" s="142"/>
      <c r="AF12" s="142"/>
      <c r="AG12" s="142"/>
      <c r="AH12" s="142"/>
      <c r="AI12" s="142"/>
      <c r="AJ12" s="142"/>
      <c r="AK12" s="142"/>
      <c r="AL12" s="142"/>
      <c r="AM12" s="142"/>
      <c r="AN12" s="142"/>
      <c r="AO12" s="142"/>
      <c r="AP12" s="142"/>
      <c r="AQ12" s="142"/>
      <c r="AR12" s="142"/>
      <c r="AS12" s="142"/>
      <c r="AT12" s="142"/>
      <c r="AU12" s="142"/>
    </row>
    <row r="13" spans="1:47" ht="27.75" customHeight="1">
      <c r="A13" s="126">
        <v>11</v>
      </c>
      <c r="B13" s="154" t="str">
        <f>IFERROR(INDEX('DAY 1 SCORES'!$B:$B, MATCH("RED" &amp; $A13, 'DAY 1 SCORES'!$J:$J, 0)), "")</f>
        <v/>
      </c>
      <c r="C13" s="155" t="str">
        <f>IFERROR(INDEX(DATA_IMPORT!$B:$B, MATCH(B13, DATA_IMPORT!$A:$A, 0)), "")</f>
        <v/>
      </c>
      <c r="D13" s="155" t="str">
        <f>IFERROR(VLOOKUP($B13, 'DAY 1 SCORES'!$B:$K, 10, FALSE), "")</f>
        <v>///</v>
      </c>
      <c r="E13" s="156" t="str">
        <f>IF(B13="", "", IFERROR(INDEX('DAY 1 SCORES'!$H:$H, MATCH(B13, 'DAY 1 SCORES'!$B:$B, 0)), ""))</f>
        <v/>
      </c>
      <c r="F13" s="157">
        <v>11</v>
      </c>
      <c r="G13" s="158" t="str">
        <f>IFERROR(INDEX('DAY 1 SCORES'!$B:$B, MATCH("YELLOW" &amp; $A13, 'DAY 1 SCORES'!$J:$J, 0)), "")</f>
        <v/>
      </c>
      <c r="H13" s="159" t="str">
        <f>IFERROR(INDEX(DATA_IMPORT!$B:$B, MATCH(G13, DATA_IMPORT!$A:$A, 0)), "")</f>
        <v/>
      </c>
      <c r="I13" s="159" t="str">
        <f>IFERROR(VLOOKUP($G13, 'DAY 1 SCORES'!$B:$K, 10, FALSE), "")</f>
        <v>///</v>
      </c>
      <c r="J13" s="159" t="str">
        <f>IF(G13="", "", IFERROR(INDEX('DAY 1 SCORES'!$H:$H, MATCH(G13, 'DAY 1 SCORES'!$B:$B, 0)), ""))</f>
        <v/>
      </c>
      <c r="K13" s="160">
        <v>11</v>
      </c>
      <c r="L13" s="201" t="str">
        <f>IFERROR(INDEX('DAY 1 SCORES'!$B:$B, MATCH("GREEN" &amp; $A13, 'DAY 1 SCORES'!$J:$J, 0)), "")</f>
        <v/>
      </c>
      <c r="M13" s="202" t="str">
        <f>IFERROR(INDEX(DATA_IMPORT!$B:$B, MATCH(L13, DATA_IMPORT!$A:$A, 0)), "")</f>
        <v/>
      </c>
      <c r="N13" s="202" t="str">
        <f>IFERROR(VLOOKUP($L13, 'DAY 1 SCORES'!$B:$K, 10, FALSE), "")</f>
        <v>///</v>
      </c>
      <c r="O13" s="203" t="str">
        <f>IF(L13="", "", IFERROR(INDEX('DAY 1 SCORES'!$H:$H, MATCH(L13, 'DAY 1 SCORES'!$B:$B, 0)), ""))</f>
        <v/>
      </c>
      <c r="P13" s="161">
        <v>11</v>
      </c>
      <c r="Q13" s="296" t="str">
        <f>IFERROR(INDEX('DAY 1 SCORES'!$B:$B, MATCH("BLUE" &amp; $A13, 'DAY 1 SCORES'!$J:$J, 0)), "")</f>
        <v/>
      </c>
      <c r="R13" s="162" t="str">
        <f>IFERROR(INDEX(DATA_IMPORT!$B:$B, MATCH(Q13, DATA_IMPORT!$A:$A, 0)), "")</f>
        <v/>
      </c>
      <c r="S13" s="162" t="str">
        <f>IFERROR(VLOOKUP($Q13, 'DAY 1 SCORES'!$B:$K, 10, FALSE), "")</f>
        <v>///</v>
      </c>
      <c r="T13" s="162" t="str">
        <f>IF(Q13="", "", IFERROR(INDEX('DAY 1 SCORES'!$H:$H, MATCH(Q13, 'DAY 1 SCORES'!$B:$B, 0)), ""))</f>
        <v/>
      </c>
      <c r="U13" s="142"/>
      <c r="V13" s="142"/>
      <c r="W13" s="142"/>
      <c r="X13" s="142"/>
      <c r="Y13" s="142"/>
      <c r="Z13" s="142"/>
      <c r="AA13" s="142"/>
      <c r="AB13" s="142"/>
      <c r="AC13" s="142"/>
      <c r="AD13" s="142"/>
      <c r="AE13" s="142"/>
      <c r="AF13" s="142"/>
      <c r="AG13" s="142"/>
      <c r="AH13" s="142"/>
      <c r="AI13" s="142"/>
      <c r="AJ13" s="142"/>
      <c r="AK13" s="142"/>
      <c r="AL13" s="142"/>
      <c r="AM13" s="142"/>
      <c r="AN13" s="142"/>
      <c r="AO13" s="142"/>
      <c r="AP13" s="142"/>
      <c r="AQ13" s="142"/>
      <c r="AR13" s="142"/>
      <c r="AS13" s="142"/>
      <c r="AT13" s="142"/>
      <c r="AU13" s="142"/>
    </row>
    <row r="14" spans="1:47" ht="27.75" customHeight="1">
      <c r="A14" s="126">
        <v>12</v>
      </c>
      <c r="B14" s="154" t="str">
        <f>IFERROR(INDEX('DAY 1 SCORES'!$B:$B, MATCH("RED" &amp; $A14, 'DAY 1 SCORES'!$J:$J, 0)), "")</f>
        <v/>
      </c>
      <c r="C14" s="155" t="str">
        <f>IFERROR(INDEX(DATA_IMPORT!$B:$B, MATCH(B14, DATA_IMPORT!$A:$A, 0)), "")</f>
        <v/>
      </c>
      <c r="D14" s="155" t="str">
        <f>IFERROR(VLOOKUP($B14, 'DAY 1 SCORES'!$B:$K, 10, FALSE), "")</f>
        <v>///</v>
      </c>
      <c r="E14" s="156" t="str">
        <f>IF(B14="", "", IFERROR(INDEX('DAY 1 SCORES'!$H:$H, MATCH(B14, 'DAY 1 SCORES'!$B:$B, 0)), ""))</f>
        <v/>
      </c>
      <c r="F14" s="157">
        <v>12</v>
      </c>
      <c r="G14" s="158" t="str">
        <f>IFERROR(INDEX('DAY 1 SCORES'!$B:$B, MATCH("YELLOW" &amp; $A14, 'DAY 1 SCORES'!$J:$J, 0)), "")</f>
        <v/>
      </c>
      <c r="H14" s="159" t="str">
        <f>IFERROR(INDEX(DATA_IMPORT!$B:$B, MATCH(G14, DATA_IMPORT!$A:$A, 0)), "")</f>
        <v/>
      </c>
      <c r="I14" s="159" t="str">
        <f>IFERROR(VLOOKUP($G14, 'DAY 1 SCORES'!$B:$K, 10, FALSE), "")</f>
        <v>///</v>
      </c>
      <c r="J14" s="159" t="str">
        <f>IF(G14="", "", IFERROR(INDEX('DAY 1 SCORES'!$H:$H, MATCH(G14, 'DAY 1 SCORES'!$B:$B, 0)), ""))</f>
        <v/>
      </c>
      <c r="K14" s="160">
        <v>12</v>
      </c>
      <c r="L14" s="201" t="str">
        <f>IFERROR(INDEX('DAY 1 SCORES'!$B:$B, MATCH("GREEN" &amp; $A14, 'DAY 1 SCORES'!$J:$J, 0)), "")</f>
        <v/>
      </c>
      <c r="M14" s="202" t="str">
        <f>IFERROR(INDEX(DATA_IMPORT!$B:$B, MATCH(L14, DATA_IMPORT!$A:$A, 0)), "")</f>
        <v/>
      </c>
      <c r="N14" s="202" t="str">
        <f>IFERROR(VLOOKUP($L14, 'DAY 1 SCORES'!$B:$K, 10, FALSE), "")</f>
        <v>///</v>
      </c>
      <c r="O14" s="203" t="str">
        <f>IF(L14="", "", IFERROR(INDEX('DAY 1 SCORES'!$H:$H, MATCH(L14, 'DAY 1 SCORES'!$B:$B, 0)), ""))</f>
        <v/>
      </c>
      <c r="P14" s="161">
        <v>12</v>
      </c>
      <c r="Q14" s="296" t="str">
        <f>IFERROR(INDEX('DAY 1 SCORES'!$B:$B, MATCH("BLUE" &amp; $A14, 'DAY 1 SCORES'!$J:$J, 0)), "")</f>
        <v/>
      </c>
      <c r="R14" s="162" t="str">
        <f>IFERROR(INDEX(DATA_IMPORT!$B:$B, MATCH(Q14, DATA_IMPORT!$A:$A, 0)), "")</f>
        <v/>
      </c>
      <c r="S14" s="162" t="str">
        <f>IFERROR(VLOOKUP($Q14, 'DAY 1 SCORES'!$B:$K, 10, FALSE), "")</f>
        <v>///</v>
      </c>
      <c r="T14" s="162" t="str">
        <f>IF(Q14="", "", IFERROR(INDEX('DAY 1 SCORES'!$H:$H, MATCH(Q14, 'DAY 1 SCORES'!$B:$B, 0)), ""))</f>
        <v/>
      </c>
      <c r="U14" s="142"/>
      <c r="V14" s="142"/>
      <c r="W14" s="142"/>
      <c r="X14" s="142"/>
      <c r="Y14" s="142"/>
      <c r="Z14" s="142"/>
      <c r="AA14" s="142"/>
      <c r="AB14" s="142"/>
      <c r="AC14" s="142"/>
      <c r="AD14" s="142"/>
      <c r="AE14" s="142"/>
      <c r="AF14" s="142"/>
      <c r="AG14" s="142"/>
      <c r="AH14" s="142"/>
      <c r="AI14" s="142"/>
      <c r="AJ14" s="142"/>
      <c r="AK14" s="142"/>
      <c r="AL14" s="142"/>
      <c r="AM14" s="142"/>
      <c r="AN14" s="142"/>
      <c r="AO14" s="142"/>
      <c r="AP14" s="142"/>
      <c r="AQ14" s="142"/>
      <c r="AR14" s="142"/>
      <c r="AS14" s="142"/>
      <c r="AT14" s="142"/>
      <c r="AU14" s="142"/>
    </row>
    <row r="15" spans="1:47" ht="27.75" customHeight="1">
      <c r="A15" s="126">
        <v>13</v>
      </c>
      <c r="B15" s="154" t="str">
        <f>IFERROR(INDEX('DAY 1 SCORES'!$B:$B, MATCH("RED" &amp; $A15, 'DAY 1 SCORES'!$J:$J, 0)), "")</f>
        <v/>
      </c>
      <c r="C15" s="155" t="str">
        <f>IFERROR(INDEX(DATA_IMPORT!$B:$B, MATCH(B15, DATA_IMPORT!$A:$A, 0)), "")</f>
        <v/>
      </c>
      <c r="D15" s="155" t="str">
        <f>IFERROR(VLOOKUP($B15, 'DAY 1 SCORES'!$B:$K, 10, FALSE), "")</f>
        <v>///</v>
      </c>
      <c r="E15" s="156" t="str">
        <f>IF(B15="", "", IFERROR(INDEX('DAY 1 SCORES'!$H:$H, MATCH(B15, 'DAY 1 SCORES'!$B:$B, 0)), ""))</f>
        <v/>
      </c>
      <c r="F15" s="157">
        <v>13</v>
      </c>
      <c r="G15" s="158" t="str">
        <f>IFERROR(INDEX('DAY 1 SCORES'!$B:$B, MATCH("YELLOW" &amp; $A15, 'DAY 1 SCORES'!$J:$J, 0)), "")</f>
        <v/>
      </c>
      <c r="H15" s="159" t="str">
        <f>IFERROR(INDEX(DATA_IMPORT!$B:$B, MATCH(G15, DATA_IMPORT!$A:$A, 0)), "")</f>
        <v/>
      </c>
      <c r="I15" s="159" t="str">
        <f>IFERROR(VLOOKUP($G15, 'DAY 1 SCORES'!$B:$K, 10, FALSE), "")</f>
        <v>///</v>
      </c>
      <c r="J15" s="159" t="str">
        <f>IF(G15="", "", IFERROR(INDEX('DAY 1 SCORES'!$H:$H, MATCH(G15, 'DAY 1 SCORES'!$B:$B, 0)), ""))</f>
        <v/>
      </c>
      <c r="K15" s="160">
        <v>13</v>
      </c>
      <c r="L15" s="201" t="str">
        <f>IFERROR(INDEX('DAY 1 SCORES'!$B:$B, MATCH("GREEN" &amp; $A15, 'DAY 1 SCORES'!$J:$J, 0)), "")</f>
        <v/>
      </c>
      <c r="M15" s="202" t="str">
        <f>IFERROR(INDEX(DATA_IMPORT!$B:$B, MATCH(L15, DATA_IMPORT!$A:$A, 0)), "")</f>
        <v/>
      </c>
      <c r="N15" s="202" t="str">
        <f>IFERROR(VLOOKUP($L15, 'DAY 1 SCORES'!$B:$K, 10, FALSE), "")</f>
        <v>///</v>
      </c>
      <c r="O15" s="203" t="str">
        <f>IF(L15="", "", IFERROR(INDEX('DAY 1 SCORES'!$H:$H, MATCH(L15, 'DAY 1 SCORES'!$B:$B, 0)), ""))</f>
        <v/>
      </c>
      <c r="P15" s="161">
        <v>13</v>
      </c>
      <c r="Q15" s="296" t="str">
        <f>IFERROR(INDEX('DAY 1 SCORES'!$B:$B, MATCH("BLUE" &amp; $A15, 'DAY 1 SCORES'!$J:$J, 0)), "")</f>
        <v/>
      </c>
      <c r="R15" s="162" t="str">
        <f>IFERROR(INDEX(DATA_IMPORT!$B:$B, MATCH(Q15, DATA_IMPORT!$A:$A, 0)), "")</f>
        <v/>
      </c>
      <c r="S15" s="162" t="str">
        <f>IFERROR(VLOOKUP($Q15, 'DAY 1 SCORES'!$B:$K, 10, FALSE), "")</f>
        <v>///</v>
      </c>
      <c r="T15" s="162" t="str">
        <f>IF(Q15="", "", IFERROR(INDEX('DAY 1 SCORES'!$H:$H, MATCH(Q15, 'DAY 1 SCORES'!$B:$B, 0)), ""))</f>
        <v/>
      </c>
      <c r="U15" s="142"/>
      <c r="V15" s="142"/>
      <c r="W15" s="142"/>
      <c r="X15" s="142"/>
      <c r="Y15" s="142"/>
      <c r="Z15" s="142"/>
      <c r="AA15" s="142"/>
      <c r="AB15" s="142"/>
      <c r="AC15" s="142"/>
      <c r="AD15" s="142"/>
      <c r="AE15" s="142"/>
      <c r="AF15" s="142"/>
      <c r="AG15" s="142"/>
      <c r="AH15" s="142"/>
      <c r="AI15" s="142"/>
      <c r="AJ15" s="142"/>
      <c r="AK15" s="142"/>
      <c r="AL15" s="142"/>
      <c r="AM15" s="142"/>
      <c r="AN15" s="142"/>
      <c r="AO15" s="142"/>
      <c r="AP15" s="142"/>
      <c r="AQ15" s="142"/>
      <c r="AR15" s="142"/>
      <c r="AS15" s="142"/>
      <c r="AT15" s="142"/>
      <c r="AU15" s="142"/>
    </row>
    <row r="16" spans="1:47" ht="27.75" customHeight="1">
      <c r="A16" s="126">
        <v>14</v>
      </c>
      <c r="B16" s="154" t="str">
        <f>IFERROR(INDEX('DAY 1 SCORES'!$B:$B, MATCH("RED" &amp; $A16, 'DAY 1 SCORES'!$J:$J, 0)), "")</f>
        <v/>
      </c>
      <c r="C16" s="155" t="str">
        <f>IFERROR(INDEX(DATA_IMPORT!$B:$B, MATCH(B16, DATA_IMPORT!$A:$A, 0)), "")</f>
        <v/>
      </c>
      <c r="D16" s="155" t="str">
        <f>IFERROR(VLOOKUP($B16, 'DAY 1 SCORES'!$B:$K, 10, FALSE), "")</f>
        <v>///</v>
      </c>
      <c r="E16" s="156" t="str">
        <f>IF(B16="", "", IFERROR(INDEX('DAY 1 SCORES'!$H:$H, MATCH(B16, 'DAY 1 SCORES'!$B:$B, 0)), ""))</f>
        <v/>
      </c>
      <c r="F16" s="157">
        <v>14</v>
      </c>
      <c r="G16" s="158" t="str">
        <f>IFERROR(INDEX('DAY 1 SCORES'!$B:$B, MATCH("YELLOW" &amp; $A16, 'DAY 1 SCORES'!$J:$J, 0)), "")</f>
        <v/>
      </c>
      <c r="H16" s="159" t="str">
        <f>IFERROR(INDEX(DATA_IMPORT!$B:$B, MATCH(G16, DATA_IMPORT!$A:$A, 0)), "")</f>
        <v/>
      </c>
      <c r="I16" s="159" t="str">
        <f>IFERROR(VLOOKUP($G16, 'DAY 1 SCORES'!$B:$K, 10, FALSE), "")</f>
        <v>///</v>
      </c>
      <c r="J16" s="159" t="str">
        <f>IF(G16="", "", IFERROR(INDEX('DAY 1 SCORES'!$H:$H, MATCH(G16, 'DAY 1 SCORES'!$B:$B, 0)), ""))</f>
        <v/>
      </c>
      <c r="K16" s="160">
        <v>14</v>
      </c>
      <c r="L16" s="201" t="str">
        <f>IFERROR(INDEX('DAY 1 SCORES'!$B:$B, MATCH("GREEN" &amp; $A16, 'DAY 1 SCORES'!$J:$J, 0)), "")</f>
        <v/>
      </c>
      <c r="M16" s="202" t="str">
        <f>IFERROR(INDEX(DATA_IMPORT!$B:$B, MATCH(L16, DATA_IMPORT!$A:$A, 0)), "")</f>
        <v/>
      </c>
      <c r="N16" s="202" t="str">
        <f>IFERROR(VLOOKUP($L16, 'DAY 1 SCORES'!$B:$K, 10, FALSE), "")</f>
        <v>///</v>
      </c>
      <c r="O16" s="203" t="str">
        <f>IF(L16="", "", IFERROR(INDEX('DAY 1 SCORES'!$H:$H, MATCH(L16, 'DAY 1 SCORES'!$B:$B, 0)), ""))</f>
        <v/>
      </c>
      <c r="P16" s="161">
        <v>14</v>
      </c>
      <c r="Q16" s="296" t="str">
        <f>IFERROR(INDEX('DAY 1 SCORES'!$B:$B, MATCH("BLUE" &amp; $A16, 'DAY 1 SCORES'!$J:$J, 0)), "")</f>
        <v/>
      </c>
      <c r="R16" s="162" t="str">
        <f>IFERROR(INDEX(DATA_IMPORT!$B:$B, MATCH(Q16, DATA_IMPORT!$A:$A, 0)), "")</f>
        <v/>
      </c>
      <c r="S16" s="162" t="str">
        <f>IFERROR(VLOOKUP($Q16, 'DAY 1 SCORES'!$B:$K, 10, FALSE), "")</f>
        <v>///</v>
      </c>
      <c r="T16" s="162" t="str">
        <f>IF(Q16="", "", IFERROR(INDEX('DAY 1 SCORES'!$H:$H, MATCH(Q16, 'DAY 1 SCORES'!$B:$B, 0)), ""))</f>
        <v/>
      </c>
      <c r="U16" s="142"/>
      <c r="V16" s="142"/>
      <c r="W16" s="142"/>
      <c r="X16" s="142"/>
      <c r="Y16" s="142"/>
      <c r="Z16" s="142"/>
      <c r="AA16" s="142"/>
      <c r="AB16" s="142"/>
      <c r="AC16" s="142"/>
      <c r="AD16" s="142"/>
      <c r="AE16" s="142"/>
      <c r="AF16" s="142"/>
      <c r="AG16" s="142"/>
      <c r="AH16" s="142"/>
      <c r="AI16" s="142"/>
      <c r="AJ16" s="142"/>
      <c r="AK16" s="142"/>
      <c r="AL16" s="142"/>
      <c r="AM16" s="142"/>
      <c r="AN16" s="142"/>
      <c r="AO16" s="142"/>
      <c r="AP16" s="142"/>
      <c r="AQ16" s="142"/>
      <c r="AR16" s="142"/>
      <c r="AS16" s="142"/>
      <c r="AT16" s="142"/>
      <c r="AU16" s="142"/>
    </row>
    <row r="17" spans="1:47" ht="27.75" customHeight="1">
      <c r="A17" s="126">
        <v>15</v>
      </c>
      <c r="B17" s="154" t="str">
        <f>IFERROR(INDEX('DAY 1 SCORES'!$B:$B, MATCH("RED" &amp; $A17, 'DAY 1 SCORES'!$J:$J, 0)), "")</f>
        <v/>
      </c>
      <c r="C17" s="155" t="str">
        <f>IFERROR(INDEX(DATA_IMPORT!$B:$B, MATCH(B17, DATA_IMPORT!$A:$A, 0)), "")</f>
        <v/>
      </c>
      <c r="D17" s="155" t="str">
        <f>IFERROR(VLOOKUP($B17, 'DAY 1 SCORES'!$B:$K, 10, FALSE), "")</f>
        <v>///</v>
      </c>
      <c r="E17" s="156" t="str">
        <f>IF(B17="", "", IFERROR(INDEX('DAY 1 SCORES'!$H:$H, MATCH(B17, 'DAY 1 SCORES'!$B:$B, 0)), ""))</f>
        <v/>
      </c>
      <c r="F17" s="157">
        <v>15</v>
      </c>
      <c r="G17" s="158" t="str">
        <f>IFERROR(INDEX('DAY 1 SCORES'!$B:$B, MATCH("YELLOW" &amp; $A17, 'DAY 1 SCORES'!$J:$J, 0)), "")</f>
        <v/>
      </c>
      <c r="H17" s="159" t="str">
        <f>IFERROR(INDEX(DATA_IMPORT!$B:$B, MATCH(G17, DATA_IMPORT!$A:$A, 0)), "")</f>
        <v/>
      </c>
      <c r="I17" s="159" t="str">
        <f>IFERROR(VLOOKUP($G17, 'DAY 1 SCORES'!$B:$K, 10, FALSE), "")</f>
        <v>///</v>
      </c>
      <c r="J17" s="159" t="str">
        <f>IF(G17="", "", IFERROR(INDEX('DAY 1 SCORES'!$H:$H, MATCH(G17, 'DAY 1 SCORES'!$B:$B, 0)), ""))</f>
        <v/>
      </c>
      <c r="K17" s="160">
        <v>15</v>
      </c>
      <c r="L17" s="201" t="str">
        <f>IFERROR(INDEX('DAY 1 SCORES'!$B:$B, MATCH("GREEN" &amp; $A17, 'DAY 1 SCORES'!$J:$J, 0)), "")</f>
        <v/>
      </c>
      <c r="M17" s="202" t="str">
        <f>IFERROR(INDEX(DATA_IMPORT!$B:$B, MATCH(L17, DATA_IMPORT!$A:$A, 0)), "")</f>
        <v/>
      </c>
      <c r="N17" s="202" t="str">
        <f>IFERROR(VLOOKUP($L17, 'DAY 1 SCORES'!$B:$K, 10, FALSE), "")</f>
        <v>///</v>
      </c>
      <c r="O17" s="203" t="str">
        <f>IF(L17="", "", IFERROR(INDEX('DAY 1 SCORES'!$H:$H, MATCH(L17, 'DAY 1 SCORES'!$B:$B, 0)), ""))</f>
        <v/>
      </c>
      <c r="P17" s="161">
        <v>15</v>
      </c>
      <c r="Q17" s="296" t="str">
        <f>IFERROR(INDEX('DAY 1 SCORES'!$B:$B, MATCH("BLUE" &amp; $A17, 'DAY 1 SCORES'!$J:$J, 0)), "")</f>
        <v/>
      </c>
      <c r="R17" s="162" t="str">
        <f>IFERROR(INDEX(DATA_IMPORT!$B:$B, MATCH(Q17, DATA_IMPORT!$A:$A, 0)), "")</f>
        <v/>
      </c>
      <c r="S17" s="162" t="str">
        <f>IFERROR(VLOOKUP($Q17, 'DAY 1 SCORES'!$B:$K, 10, FALSE), "")</f>
        <v>///</v>
      </c>
      <c r="T17" s="162" t="str">
        <f>IF(Q17="", "", IFERROR(INDEX('DAY 1 SCORES'!$H:$H, MATCH(Q17, 'DAY 1 SCORES'!$B:$B, 0)), ""))</f>
        <v/>
      </c>
      <c r="U17" s="142"/>
      <c r="V17" s="142"/>
      <c r="W17" s="142"/>
      <c r="X17" s="142"/>
      <c r="Y17" s="142"/>
      <c r="Z17" s="142"/>
      <c r="AA17" s="142"/>
      <c r="AB17" s="142"/>
      <c r="AC17" s="142"/>
      <c r="AD17" s="142"/>
      <c r="AE17" s="142"/>
      <c r="AF17" s="142"/>
      <c r="AG17" s="142"/>
      <c r="AH17" s="142"/>
      <c r="AI17" s="142"/>
      <c r="AJ17" s="142"/>
      <c r="AK17" s="142"/>
      <c r="AL17" s="142"/>
      <c r="AM17" s="142"/>
      <c r="AN17" s="142"/>
      <c r="AO17" s="142"/>
      <c r="AP17" s="142"/>
      <c r="AQ17" s="142"/>
      <c r="AR17" s="142"/>
      <c r="AS17" s="142"/>
      <c r="AT17" s="142"/>
      <c r="AU17" s="142"/>
    </row>
    <row r="18" spans="1:47" ht="27.75" customHeight="1">
      <c r="A18" s="126">
        <v>16</v>
      </c>
      <c r="B18" s="154" t="str">
        <f>IFERROR(INDEX('DAY 1 SCORES'!$B:$B, MATCH("RED" &amp; $A18, 'DAY 1 SCORES'!$J:$J, 0)), "")</f>
        <v/>
      </c>
      <c r="C18" s="155" t="str">
        <f>IFERROR(INDEX(DATA_IMPORT!$B:$B, MATCH(B18, DATA_IMPORT!$A:$A, 0)), "")</f>
        <v/>
      </c>
      <c r="D18" s="155" t="str">
        <f>IFERROR(VLOOKUP($B18, 'DAY 1 SCORES'!$B:$K, 10, FALSE), "")</f>
        <v>///</v>
      </c>
      <c r="E18" s="156" t="str">
        <f>IF(B18="", "", IFERROR(INDEX('DAY 1 SCORES'!$H:$H, MATCH(B18, 'DAY 1 SCORES'!$B:$B, 0)), ""))</f>
        <v/>
      </c>
      <c r="F18" s="157">
        <v>16</v>
      </c>
      <c r="G18" s="158" t="str">
        <f>IFERROR(INDEX('DAY 1 SCORES'!$B:$B, MATCH("YELLOW" &amp; $A18, 'DAY 1 SCORES'!$J:$J, 0)), "")</f>
        <v/>
      </c>
      <c r="H18" s="159" t="str">
        <f>IFERROR(INDEX(DATA_IMPORT!$B:$B, MATCH(G18, DATA_IMPORT!$A:$A, 0)), "")</f>
        <v/>
      </c>
      <c r="I18" s="159" t="str">
        <f>IFERROR(VLOOKUP($G18, 'DAY 1 SCORES'!$B:$K, 10, FALSE), "")</f>
        <v>///</v>
      </c>
      <c r="J18" s="159" t="str">
        <f>IF(G18="", "", IFERROR(INDEX('DAY 1 SCORES'!$H:$H, MATCH(G18, 'DAY 1 SCORES'!$B:$B, 0)), ""))</f>
        <v/>
      </c>
      <c r="K18" s="160">
        <v>16</v>
      </c>
      <c r="L18" s="201" t="str">
        <f>IFERROR(INDEX('DAY 1 SCORES'!$B:$B, MATCH("GREEN" &amp; $A18, 'DAY 1 SCORES'!$J:$J, 0)), "")</f>
        <v/>
      </c>
      <c r="M18" s="202" t="str">
        <f>IFERROR(INDEX(DATA_IMPORT!$B:$B, MATCH(L18, DATA_IMPORT!$A:$A, 0)), "")</f>
        <v/>
      </c>
      <c r="N18" s="202" t="str">
        <f>IFERROR(VLOOKUP($L18, 'DAY 1 SCORES'!$B:$K, 10, FALSE), "")</f>
        <v>///</v>
      </c>
      <c r="O18" s="203" t="str">
        <f>IF(L18="", "", IFERROR(INDEX('DAY 1 SCORES'!$H:$H, MATCH(L18, 'DAY 1 SCORES'!$B:$B, 0)), ""))</f>
        <v/>
      </c>
      <c r="P18" s="161">
        <v>16</v>
      </c>
      <c r="Q18" s="296" t="str">
        <f>IFERROR(INDEX('DAY 1 SCORES'!$B:$B, MATCH("BLUE" &amp; $A18, 'DAY 1 SCORES'!$J:$J, 0)), "")</f>
        <v/>
      </c>
      <c r="R18" s="162" t="str">
        <f>IFERROR(INDEX(DATA_IMPORT!$B:$B, MATCH(Q18, DATA_IMPORT!$A:$A, 0)), "")</f>
        <v/>
      </c>
      <c r="S18" s="162" t="str">
        <f>IFERROR(VLOOKUP($Q18, 'DAY 1 SCORES'!$B:$K, 10, FALSE), "")</f>
        <v>///</v>
      </c>
      <c r="T18" s="162" t="str">
        <f>IF(Q18="", "", IFERROR(INDEX('DAY 1 SCORES'!$H:$H, MATCH(Q18, 'DAY 1 SCORES'!$B:$B, 0)), ""))</f>
        <v/>
      </c>
      <c r="U18" s="142"/>
      <c r="V18" s="142"/>
      <c r="W18" s="142"/>
      <c r="X18" s="142"/>
      <c r="Y18" s="142"/>
      <c r="Z18" s="142"/>
      <c r="AA18" s="142"/>
      <c r="AB18" s="142"/>
      <c r="AC18" s="142"/>
      <c r="AD18" s="142"/>
      <c r="AE18" s="142"/>
      <c r="AF18" s="142"/>
      <c r="AG18" s="142"/>
      <c r="AH18" s="142"/>
      <c r="AI18" s="142"/>
      <c r="AJ18" s="142"/>
      <c r="AK18" s="142"/>
      <c r="AL18" s="142"/>
      <c r="AM18" s="142"/>
      <c r="AN18" s="142"/>
      <c r="AO18" s="142"/>
      <c r="AP18" s="142"/>
      <c r="AQ18" s="142"/>
      <c r="AR18" s="142"/>
      <c r="AS18" s="142"/>
      <c r="AT18" s="142"/>
      <c r="AU18" s="142"/>
    </row>
    <row r="19" spans="1:47" ht="27.75" customHeight="1">
      <c r="A19" s="126">
        <v>17</v>
      </c>
      <c r="B19" s="154" t="str">
        <f>IFERROR(INDEX('DAY 1 SCORES'!$B:$B, MATCH("RED" &amp; $A19, 'DAY 1 SCORES'!$J:$J, 0)), "")</f>
        <v/>
      </c>
      <c r="C19" s="155" t="str">
        <f>IFERROR(INDEX(DATA_IMPORT!$B:$B, MATCH(B19, DATA_IMPORT!$A:$A, 0)), "")</f>
        <v/>
      </c>
      <c r="D19" s="155" t="str">
        <f>IFERROR(VLOOKUP($B19, 'DAY 1 SCORES'!$B:$K, 10, FALSE), "")</f>
        <v>///</v>
      </c>
      <c r="E19" s="156" t="str">
        <f>IF(B19="", "", IFERROR(INDEX('DAY 1 SCORES'!$H:$H, MATCH(B19, 'DAY 1 SCORES'!$B:$B, 0)), ""))</f>
        <v/>
      </c>
      <c r="F19" s="157">
        <v>17</v>
      </c>
      <c r="G19" s="158" t="str">
        <f>IFERROR(INDEX('DAY 1 SCORES'!$B:$B, MATCH("YELLOW" &amp; $A19, 'DAY 1 SCORES'!$J:$J, 0)), "")</f>
        <v/>
      </c>
      <c r="H19" s="159" t="str">
        <f>IFERROR(INDEX(DATA_IMPORT!$B:$B, MATCH(G19, DATA_IMPORT!$A:$A, 0)), "")</f>
        <v/>
      </c>
      <c r="I19" s="159" t="str">
        <f>IFERROR(VLOOKUP($G19, 'DAY 1 SCORES'!$B:$K, 10, FALSE), "")</f>
        <v>///</v>
      </c>
      <c r="J19" s="159" t="str">
        <f>IF(G19="", "", IFERROR(INDEX('DAY 1 SCORES'!$H:$H, MATCH(G19, 'DAY 1 SCORES'!$B:$B, 0)), ""))</f>
        <v/>
      </c>
      <c r="K19" s="160">
        <v>17</v>
      </c>
      <c r="L19" s="201" t="str">
        <f>IFERROR(INDEX('DAY 1 SCORES'!$B:$B, MATCH("GREEN" &amp; $A19, 'DAY 1 SCORES'!$J:$J, 0)), "")</f>
        <v/>
      </c>
      <c r="M19" s="202" t="str">
        <f>IFERROR(INDEX(DATA_IMPORT!$B:$B, MATCH(L19, DATA_IMPORT!$A:$A, 0)), "")</f>
        <v/>
      </c>
      <c r="N19" s="202" t="str">
        <f>IFERROR(VLOOKUP($L19, 'DAY 1 SCORES'!$B:$K, 10, FALSE), "")</f>
        <v>///</v>
      </c>
      <c r="O19" s="203" t="str">
        <f>IF(L19="", "", IFERROR(INDEX('DAY 1 SCORES'!$H:$H, MATCH(L19, 'DAY 1 SCORES'!$B:$B, 0)), ""))</f>
        <v/>
      </c>
      <c r="P19" s="161">
        <v>17</v>
      </c>
      <c r="Q19" s="296" t="str">
        <f>IFERROR(INDEX('DAY 1 SCORES'!$B:$B, MATCH("BLUE" &amp; $A19, 'DAY 1 SCORES'!$J:$J, 0)), "")</f>
        <v/>
      </c>
      <c r="R19" s="162" t="str">
        <f>IFERROR(INDEX(DATA_IMPORT!$B:$B, MATCH(Q19, DATA_IMPORT!$A:$A, 0)), "")</f>
        <v/>
      </c>
      <c r="S19" s="162" t="str">
        <f>IFERROR(VLOOKUP($Q19, 'DAY 1 SCORES'!$B:$K, 10, FALSE), "")</f>
        <v>///</v>
      </c>
      <c r="T19" s="162" t="str">
        <f>IF(Q19="", "", IFERROR(INDEX('DAY 1 SCORES'!$H:$H, MATCH(Q19, 'DAY 1 SCORES'!$B:$B, 0)), ""))</f>
        <v/>
      </c>
      <c r="U19" s="142"/>
      <c r="V19" s="142"/>
      <c r="W19" s="142"/>
      <c r="X19" s="142"/>
      <c r="Y19" s="142"/>
      <c r="Z19" s="142"/>
      <c r="AA19" s="142"/>
      <c r="AB19" s="142"/>
      <c r="AC19" s="142"/>
      <c r="AD19" s="142"/>
      <c r="AE19" s="142"/>
      <c r="AF19" s="142"/>
      <c r="AG19" s="142"/>
      <c r="AH19" s="142"/>
      <c r="AI19" s="142"/>
      <c r="AJ19" s="142"/>
      <c r="AK19" s="142"/>
      <c r="AL19" s="142"/>
      <c r="AM19" s="142"/>
      <c r="AN19" s="142"/>
      <c r="AO19" s="142"/>
      <c r="AP19" s="142"/>
      <c r="AQ19" s="142"/>
      <c r="AR19" s="142"/>
      <c r="AS19" s="142"/>
      <c r="AT19" s="142"/>
      <c r="AU19" s="142"/>
    </row>
    <row r="20" spans="1:47" ht="27.75" customHeight="1">
      <c r="A20" s="126">
        <v>18</v>
      </c>
      <c r="B20" s="154" t="str">
        <f>IFERROR(INDEX('DAY 1 SCORES'!$B:$B, MATCH("RED" &amp; $A20, 'DAY 1 SCORES'!$J:$J, 0)), "")</f>
        <v/>
      </c>
      <c r="C20" s="155" t="str">
        <f>IFERROR(INDEX(DATA_IMPORT!$B:$B, MATCH(B20, DATA_IMPORT!$A:$A, 0)), "")</f>
        <v/>
      </c>
      <c r="D20" s="155" t="str">
        <f>IFERROR(VLOOKUP($B20, 'DAY 1 SCORES'!$B:$K, 10, FALSE), "")</f>
        <v>///</v>
      </c>
      <c r="E20" s="156" t="str">
        <f>IF(B20="", "", IFERROR(INDEX('DAY 1 SCORES'!$H:$H, MATCH(B20, 'DAY 1 SCORES'!$B:$B, 0)), ""))</f>
        <v/>
      </c>
      <c r="F20" s="157">
        <v>18</v>
      </c>
      <c r="G20" s="158" t="str">
        <f>IFERROR(INDEX('DAY 1 SCORES'!$B:$B, MATCH("YELLOW" &amp; $A20, 'DAY 1 SCORES'!$J:$J, 0)), "")</f>
        <v/>
      </c>
      <c r="H20" s="159" t="str">
        <f>IFERROR(INDEX(DATA_IMPORT!$B:$B, MATCH(G20, DATA_IMPORT!$A:$A, 0)), "")</f>
        <v/>
      </c>
      <c r="I20" s="159" t="str">
        <f>IFERROR(VLOOKUP($G20, 'DAY 1 SCORES'!$B:$K, 10, FALSE), "")</f>
        <v>///</v>
      </c>
      <c r="J20" s="159" t="str">
        <f>IF(G20="", "", IFERROR(INDEX('DAY 1 SCORES'!$H:$H, MATCH(G20, 'DAY 1 SCORES'!$B:$B, 0)), ""))</f>
        <v/>
      </c>
      <c r="K20" s="160">
        <v>18</v>
      </c>
      <c r="L20" s="201" t="str">
        <f>IFERROR(INDEX('DAY 1 SCORES'!$B:$B, MATCH("GREEN" &amp; $A20, 'DAY 1 SCORES'!$J:$J, 0)), "")</f>
        <v/>
      </c>
      <c r="M20" s="202" t="str">
        <f>IFERROR(INDEX(DATA_IMPORT!$B:$B, MATCH(L20, DATA_IMPORT!$A:$A, 0)), "")</f>
        <v/>
      </c>
      <c r="N20" s="202" t="str">
        <f>IFERROR(VLOOKUP($L20, 'DAY 1 SCORES'!$B:$K, 10, FALSE), "")</f>
        <v>///</v>
      </c>
      <c r="O20" s="203" t="str">
        <f>IF(L20="", "", IFERROR(INDEX('DAY 1 SCORES'!$H:$H, MATCH(L20, 'DAY 1 SCORES'!$B:$B, 0)), ""))</f>
        <v/>
      </c>
      <c r="P20" s="161">
        <v>18</v>
      </c>
      <c r="Q20" s="296" t="str">
        <f>IFERROR(INDEX('DAY 1 SCORES'!$B:$B, MATCH("BLUE" &amp; $A20, 'DAY 1 SCORES'!$J:$J, 0)), "")</f>
        <v/>
      </c>
      <c r="R20" s="162" t="str">
        <f>IFERROR(INDEX(DATA_IMPORT!$B:$B, MATCH(Q20, DATA_IMPORT!$A:$A, 0)), "")</f>
        <v/>
      </c>
      <c r="S20" s="162" t="str">
        <f>IFERROR(VLOOKUP($Q20, 'DAY 1 SCORES'!$B:$K, 10, FALSE), "")</f>
        <v>///</v>
      </c>
      <c r="T20" s="162" t="str">
        <f>IF(Q20="", "", IFERROR(INDEX('DAY 1 SCORES'!$H:$H, MATCH(Q20, 'DAY 1 SCORES'!$B:$B, 0)), ""))</f>
        <v/>
      </c>
      <c r="U20" s="142"/>
      <c r="V20" s="142"/>
      <c r="W20" s="142"/>
      <c r="X20" s="142"/>
      <c r="Y20" s="142"/>
      <c r="Z20" s="142"/>
      <c r="AA20" s="142"/>
      <c r="AB20" s="142"/>
      <c r="AC20" s="142"/>
      <c r="AD20" s="142"/>
      <c r="AE20" s="142"/>
      <c r="AF20" s="142"/>
      <c r="AG20" s="142"/>
      <c r="AH20" s="142"/>
      <c r="AI20" s="142"/>
      <c r="AJ20" s="142"/>
      <c r="AK20" s="142"/>
      <c r="AL20" s="142"/>
      <c r="AM20" s="142"/>
      <c r="AN20" s="142"/>
      <c r="AO20" s="142"/>
      <c r="AP20" s="142"/>
      <c r="AQ20" s="142"/>
      <c r="AR20" s="142"/>
      <c r="AS20" s="142"/>
      <c r="AT20" s="142"/>
      <c r="AU20" s="142"/>
    </row>
    <row r="21" spans="1:47" ht="27.75" customHeight="1">
      <c r="A21" s="126">
        <v>19</v>
      </c>
      <c r="B21" s="154" t="str">
        <f>IFERROR(INDEX('DAY 1 SCORES'!$B:$B, MATCH("RED" &amp; $A21, 'DAY 1 SCORES'!$J:$J, 0)), "")</f>
        <v/>
      </c>
      <c r="C21" s="155" t="str">
        <f>IFERROR(INDEX(DATA_IMPORT!$B:$B, MATCH(B21, DATA_IMPORT!$A:$A, 0)), "")</f>
        <v/>
      </c>
      <c r="D21" s="155" t="str">
        <f>IFERROR(VLOOKUP($B21, 'DAY 1 SCORES'!$B:$K, 10, FALSE), "")</f>
        <v>///</v>
      </c>
      <c r="E21" s="156" t="str">
        <f>IF(B21="", "", IFERROR(INDEX('DAY 1 SCORES'!$H:$H, MATCH(B21, 'DAY 1 SCORES'!$B:$B, 0)), ""))</f>
        <v/>
      </c>
      <c r="F21" s="157">
        <v>19</v>
      </c>
      <c r="G21" s="158" t="str">
        <f>IFERROR(INDEX('DAY 1 SCORES'!$B:$B, MATCH("YELLOW" &amp; $A21, 'DAY 1 SCORES'!$J:$J, 0)), "")</f>
        <v/>
      </c>
      <c r="H21" s="159" t="str">
        <f>IFERROR(INDEX(DATA_IMPORT!$B:$B, MATCH(G21, DATA_IMPORT!$A:$A, 0)), "")</f>
        <v/>
      </c>
      <c r="I21" s="159" t="str">
        <f>IFERROR(VLOOKUP($G21, 'DAY 1 SCORES'!$B:$K, 10, FALSE), "")</f>
        <v>///</v>
      </c>
      <c r="J21" s="159" t="str">
        <f>IF(G21="", "", IFERROR(INDEX('DAY 1 SCORES'!$H:$H, MATCH(G21, 'DAY 1 SCORES'!$B:$B, 0)), ""))</f>
        <v/>
      </c>
      <c r="K21" s="160">
        <v>19</v>
      </c>
      <c r="L21" s="201" t="str">
        <f>IFERROR(INDEX('DAY 1 SCORES'!$B:$B, MATCH("GREEN" &amp; $A21, 'DAY 1 SCORES'!$J:$J, 0)), "")</f>
        <v/>
      </c>
      <c r="M21" s="202" t="str">
        <f>IFERROR(INDEX(DATA_IMPORT!$B:$B, MATCH(L21, DATA_IMPORT!$A:$A, 0)), "")</f>
        <v/>
      </c>
      <c r="N21" s="202" t="str">
        <f>IFERROR(VLOOKUP($L21, 'DAY 1 SCORES'!$B:$K, 10, FALSE), "")</f>
        <v>///</v>
      </c>
      <c r="O21" s="203" t="str">
        <f>IF(L21="", "", IFERROR(INDEX('DAY 1 SCORES'!$H:$H, MATCH(L21, 'DAY 1 SCORES'!$B:$B, 0)), ""))</f>
        <v/>
      </c>
      <c r="P21" s="161">
        <v>19</v>
      </c>
      <c r="Q21" s="296" t="str">
        <f>IFERROR(INDEX('DAY 1 SCORES'!$B:$B, MATCH("BLUE" &amp; $A21, 'DAY 1 SCORES'!$J:$J, 0)), "")</f>
        <v/>
      </c>
      <c r="R21" s="162" t="str">
        <f>IFERROR(INDEX(DATA_IMPORT!$B:$B, MATCH(Q21, DATA_IMPORT!$A:$A, 0)), "")</f>
        <v/>
      </c>
      <c r="S21" s="162" t="str">
        <f>IFERROR(VLOOKUP($Q21, 'DAY 1 SCORES'!$B:$K, 10, FALSE), "")</f>
        <v>///</v>
      </c>
      <c r="T21" s="162" t="str">
        <f>IF(Q21="", "", IFERROR(INDEX('DAY 1 SCORES'!$H:$H, MATCH(Q21, 'DAY 1 SCORES'!$B:$B, 0)), ""))</f>
        <v/>
      </c>
      <c r="U21" s="142"/>
      <c r="V21" s="142"/>
      <c r="W21" s="142"/>
      <c r="X21" s="142"/>
      <c r="Y21" s="142"/>
      <c r="Z21" s="142"/>
      <c r="AA21" s="142"/>
      <c r="AB21" s="142"/>
      <c r="AC21" s="142"/>
      <c r="AD21" s="142"/>
      <c r="AE21" s="142"/>
      <c r="AF21" s="142"/>
      <c r="AG21" s="142"/>
      <c r="AH21" s="142"/>
      <c r="AI21" s="142"/>
      <c r="AJ21" s="142"/>
      <c r="AK21" s="142"/>
      <c r="AL21" s="142"/>
      <c r="AM21" s="142"/>
      <c r="AN21" s="142"/>
      <c r="AO21" s="142"/>
      <c r="AP21" s="142"/>
      <c r="AQ21" s="142"/>
      <c r="AR21" s="142"/>
      <c r="AS21" s="142"/>
      <c r="AT21" s="142"/>
      <c r="AU21" s="142"/>
    </row>
    <row r="22" spans="1:47" ht="27.75" customHeight="1">
      <c r="A22" s="126">
        <v>20</v>
      </c>
      <c r="B22" s="154" t="str">
        <f>IFERROR(INDEX('DAY 1 SCORES'!$B:$B, MATCH("RED" &amp; $A22, 'DAY 1 SCORES'!$J:$J, 0)), "")</f>
        <v/>
      </c>
      <c r="C22" s="155" t="str">
        <f>IFERROR(INDEX(DATA_IMPORT!$B:$B, MATCH(B22, DATA_IMPORT!$A:$A, 0)), "")</f>
        <v/>
      </c>
      <c r="D22" s="155" t="str">
        <f>IFERROR(VLOOKUP($B22, 'DAY 1 SCORES'!$B:$K, 10, FALSE), "")</f>
        <v>///</v>
      </c>
      <c r="E22" s="156" t="str">
        <f>IF(B22="", "", IFERROR(INDEX('DAY 1 SCORES'!$H:$H, MATCH(B22, 'DAY 1 SCORES'!$B:$B, 0)), ""))</f>
        <v/>
      </c>
      <c r="F22" s="157">
        <v>20</v>
      </c>
      <c r="G22" s="158" t="str">
        <f>IFERROR(INDEX('DAY 1 SCORES'!$B:$B, MATCH("YELLOW" &amp; $A22, 'DAY 1 SCORES'!$J:$J, 0)), "")</f>
        <v/>
      </c>
      <c r="H22" s="159" t="str">
        <f>IFERROR(INDEX(DATA_IMPORT!$B:$B, MATCH(G22, DATA_IMPORT!$A:$A, 0)), "")</f>
        <v/>
      </c>
      <c r="I22" s="159" t="str">
        <f>IFERROR(VLOOKUP($G22, 'DAY 1 SCORES'!$B:$K, 10, FALSE), "")</f>
        <v>///</v>
      </c>
      <c r="J22" s="159" t="str">
        <f>IF(G22="", "", IFERROR(INDEX('DAY 1 SCORES'!$H:$H, MATCH(G22, 'DAY 1 SCORES'!$B:$B, 0)), ""))</f>
        <v/>
      </c>
      <c r="K22" s="160">
        <v>20</v>
      </c>
      <c r="L22" s="201" t="str">
        <f>IFERROR(INDEX('DAY 1 SCORES'!$B:$B, MATCH("GREEN" &amp; $A22, 'DAY 1 SCORES'!$J:$J, 0)), "")</f>
        <v/>
      </c>
      <c r="M22" s="202" t="str">
        <f>IFERROR(INDEX(DATA_IMPORT!$B:$B, MATCH(L22, DATA_IMPORT!$A:$A, 0)), "")</f>
        <v/>
      </c>
      <c r="N22" s="202" t="str">
        <f>IFERROR(VLOOKUP($L22, 'DAY 1 SCORES'!$B:$K, 10, FALSE), "")</f>
        <v>///</v>
      </c>
      <c r="O22" s="203" t="str">
        <f>IF(L22="", "", IFERROR(INDEX('DAY 1 SCORES'!$H:$H, MATCH(L22, 'DAY 1 SCORES'!$B:$B, 0)), ""))</f>
        <v/>
      </c>
      <c r="P22" s="161">
        <v>20</v>
      </c>
      <c r="Q22" s="296" t="str">
        <f>IFERROR(INDEX('DAY 1 SCORES'!$B:$B, MATCH("BLUE" &amp; $A22, 'DAY 1 SCORES'!$J:$J, 0)), "")</f>
        <v/>
      </c>
      <c r="R22" s="162" t="str">
        <f>IFERROR(INDEX(DATA_IMPORT!$B:$B, MATCH(Q22, DATA_IMPORT!$A:$A, 0)), "")</f>
        <v/>
      </c>
      <c r="S22" s="162" t="str">
        <f>IFERROR(VLOOKUP($Q22, 'DAY 1 SCORES'!$B:$K, 10, FALSE), "")</f>
        <v>///</v>
      </c>
      <c r="T22" s="162" t="str">
        <f>IF(Q22="", "", IFERROR(INDEX('DAY 1 SCORES'!$H:$H, MATCH(Q22, 'DAY 1 SCORES'!$B:$B, 0)), ""))</f>
        <v/>
      </c>
      <c r="U22" s="142"/>
      <c r="V22" s="142"/>
      <c r="W22" s="142"/>
      <c r="X22" s="142"/>
      <c r="Y22" s="142"/>
      <c r="Z22" s="142"/>
      <c r="AA22" s="142"/>
      <c r="AB22" s="142"/>
      <c r="AC22" s="142"/>
      <c r="AD22" s="142"/>
      <c r="AE22" s="142"/>
      <c r="AF22" s="142"/>
      <c r="AG22" s="142"/>
      <c r="AH22" s="142"/>
      <c r="AI22" s="142"/>
      <c r="AJ22" s="142"/>
      <c r="AK22" s="142"/>
      <c r="AL22" s="142"/>
      <c r="AM22" s="142"/>
      <c r="AN22" s="142"/>
      <c r="AO22" s="142"/>
      <c r="AP22" s="142"/>
      <c r="AQ22" s="142"/>
      <c r="AR22" s="142"/>
      <c r="AS22" s="142"/>
      <c r="AT22" s="142"/>
      <c r="AU22" s="142"/>
    </row>
    <row r="23" spans="1:47" ht="27.75" customHeight="1">
      <c r="A23" s="126">
        <v>21</v>
      </c>
      <c r="B23" s="154" t="str">
        <f>IFERROR(INDEX('DAY 1 SCORES'!$B:$B, MATCH("RED" &amp; $A23, 'DAY 1 SCORES'!$J:$J, 0)), "")</f>
        <v/>
      </c>
      <c r="C23" s="155" t="str">
        <f>IFERROR(INDEX(DATA_IMPORT!$B:$B, MATCH(B23, DATA_IMPORT!$A:$A, 0)), "")</f>
        <v/>
      </c>
      <c r="D23" s="155" t="str">
        <f>IFERROR(VLOOKUP($B23, 'DAY 1 SCORES'!$B:$K, 10, FALSE), "")</f>
        <v>///</v>
      </c>
      <c r="E23" s="156" t="str">
        <f>IF(B23="", "", IFERROR(INDEX('DAY 1 SCORES'!$H:$H, MATCH(B23, 'DAY 1 SCORES'!$B:$B, 0)), ""))</f>
        <v/>
      </c>
      <c r="F23" s="157">
        <v>21</v>
      </c>
      <c r="G23" s="158" t="str">
        <f>IFERROR(INDEX('DAY 1 SCORES'!$B:$B, MATCH("YELLOW" &amp; $A23, 'DAY 1 SCORES'!$J:$J, 0)), "")</f>
        <v/>
      </c>
      <c r="H23" s="159" t="str">
        <f>IFERROR(INDEX(DATA_IMPORT!$B:$B, MATCH(G23, DATA_IMPORT!$A:$A, 0)), "")</f>
        <v/>
      </c>
      <c r="I23" s="159" t="str">
        <f>IFERROR(VLOOKUP($G23, 'DAY 1 SCORES'!$B:$K, 10, FALSE), "")</f>
        <v>///</v>
      </c>
      <c r="J23" s="159" t="str">
        <f>IF(G23="", "", IFERROR(INDEX('DAY 1 SCORES'!$H:$H, MATCH(G23, 'DAY 1 SCORES'!$B:$B, 0)), ""))</f>
        <v/>
      </c>
      <c r="K23" s="160">
        <v>21</v>
      </c>
      <c r="L23" s="201" t="str">
        <f>IFERROR(INDEX('DAY 1 SCORES'!$B:$B, MATCH("GREEN" &amp; $A23, 'DAY 1 SCORES'!$J:$J, 0)), "")</f>
        <v/>
      </c>
      <c r="M23" s="202" t="str">
        <f>IFERROR(INDEX(DATA_IMPORT!$B:$B, MATCH(L23, DATA_IMPORT!$A:$A, 0)), "")</f>
        <v/>
      </c>
      <c r="N23" s="202" t="str">
        <f>IFERROR(VLOOKUP($L23, 'DAY 1 SCORES'!$B:$K, 10, FALSE), "")</f>
        <v>///</v>
      </c>
      <c r="O23" s="203" t="str">
        <f>IF(L23="", "", IFERROR(INDEX('DAY 1 SCORES'!$H:$H, MATCH(L23, 'DAY 1 SCORES'!$B:$B, 0)), ""))</f>
        <v/>
      </c>
      <c r="P23" s="161">
        <v>21</v>
      </c>
      <c r="Q23" s="296" t="str">
        <f>IFERROR(INDEX('DAY 1 SCORES'!$B:$B, MATCH("BLUE" &amp; $A23, 'DAY 1 SCORES'!$J:$J, 0)), "")</f>
        <v/>
      </c>
      <c r="R23" s="162" t="str">
        <f>IFERROR(INDEX(DATA_IMPORT!$B:$B, MATCH(Q23, DATA_IMPORT!$A:$A, 0)), "")</f>
        <v/>
      </c>
      <c r="S23" s="162" t="str">
        <f>IFERROR(VLOOKUP($Q23, 'DAY 1 SCORES'!$B:$K, 10, FALSE), "")</f>
        <v>///</v>
      </c>
      <c r="T23" s="162" t="str">
        <f>IF(Q23="", "", IFERROR(INDEX('DAY 1 SCORES'!$H:$H, MATCH(Q23, 'DAY 1 SCORES'!$B:$B, 0)), ""))</f>
        <v/>
      </c>
      <c r="U23" s="142"/>
      <c r="V23" s="142"/>
      <c r="W23" s="142"/>
      <c r="X23" s="142"/>
      <c r="Y23" s="142"/>
      <c r="Z23" s="142"/>
      <c r="AA23" s="142"/>
      <c r="AB23" s="142"/>
      <c r="AC23" s="142"/>
      <c r="AD23" s="142"/>
      <c r="AE23" s="142"/>
      <c r="AF23" s="142"/>
      <c r="AG23" s="142"/>
      <c r="AH23" s="142"/>
      <c r="AI23" s="142"/>
      <c r="AJ23" s="142"/>
      <c r="AK23" s="142"/>
      <c r="AL23" s="142"/>
      <c r="AM23" s="142"/>
      <c r="AN23" s="142"/>
      <c r="AO23" s="142"/>
      <c r="AP23" s="142"/>
      <c r="AQ23" s="142"/>
      <c r="AR23" s="142"/>
      <c r="AS23" s="142"/>
      <c r="AT23" s="142"/>
      <c r="AU23" s="142"/>
    </row>
    <row r="24" spans="1:47" ht="27.75" customHeight="1">
      <c r="A24" s="126">
        <v>22</v>
      </c>
      <c r="B24" s="154" t="str">
        <f>IFERROR(INDEX('DAY 1 SCORES'!$B:$B, MATCH("RED" &amp; $A24, 'DAY 1 SCORES'!$J:$J, 0)), "")</f>
        <v/>
      </c>
      <c r="C24" s="155" t="str">
        <f>IFERROR(INDEX(DATA_IMPORT!$B:$B, MATCH(B24, DATA_IMPORT!$A:$A, 0)), "")</f>
        <v/>
      </c>
      <c r="D24" s="155" t="str">
        <f>IFERROR(VLOOKUP($B24, 'DAY 1 SCORES'!$B:$K, 10, FALSE), "")</f>
        <v>///</v>
      </c>
      <c r="E24" s="156" t="str">
        <f>IF(B24="", "", IFERROR(INDEX('DAY 1 SCORES'!$H:$H, MATCH(B24, 'DAY 1 SCORES'!$B:$B, 0)), ""))</f>
        <v/>
      </c>
      <c r="F24" s="157">
        <v>22</v>
      </c>
      <c r="G24" s="158" t="str">
        <f>IFERROR(INDEX('DAY 1 SCORES'!$B:$B, MATCH("YELLOW" &amp; $A24, 'DAY 1 SCORES'!$J:$J, 0)), "")</f>
        <v/>
      </c>
      <c r="H24" s="159" t="str">
        <f>IFERROR(INDEX(DATA_IMPORT!$B:$B, MATCH(G24, DATA_IMPORT!$A:$A, 0)), "")</f>
        <v/>
      </c>
      <c r="I24" s="159" t="str">
        <f>IFERROR(VLOOKUP($G24, 'DAY 1 SCORES'!$B:$K, 10, FALSE), "")</f>
        <v>///</v>
      </c>
      <c r="J24" s="159" t="str">
        <f>IF(G24="", "", IFERROR(INDEX('DAY 1 SCORES'!$H:$H, MATCH(G24, 'DAY 1 SCORES'!$B:$B, 0)), ""))</f>
        <v/>
      </c>
      <c r="K24" s="160">
        <v>22</v>
      </c>
      <c r="L24" s="201" t="str">
        <f>IFERROR(INDEX('DAY 1 SCORES'!$B:$B, MATCH("GREEN" &amp; $A24, 'DAY 1 SCORES'!$J:$J, 0)), "")</f>
        <v/>
      </c>
      <c r="M24" s="202" t="str">
        <f>IFERROR(INDEX(DATA_IMPORT!$B:$B, MATCH(L24, DATA_IMPORT!$A:$A, 0)), "")</f>
        <v/>
      </c>
      <c r="N24" s="202" t="str">
        <f>IFERROR(VLOOKUP($L24, 'DAY 1 SCORES'!$B:$K, 10, FALSE), "")</f>
        <v>///</v>
      </c>
      <c r="O24" s="203" t="str">
        <f>IF(L24="", "", IFERROR(INDEX('DAY 1 SCORES'!$H:$H, MATCH(L24, 'DAY 1 SCORES'!$B:$B, 0)), ""))</f>
        <v/>
      </c>
      <c r="P24" s="161">
        <v>22</v>
      </c>
      <c r="Q24" s="296" t="str">
        <f>IFERROR(INDEX('DAY 1 SCORES'!$B:$B, MATCH("BLUE" &amp; $A24, 'DAY 1 SCORES'!$J:$J, 0)), "")</f>
        <v/>
      </c>
      <c r="R24" s="162" t="str">
        <f>IFERROR(INDEX(DATA_IMPORT!$B:$B, MATCH(Q24, DATA_IMPORT!$A:$A, 0)), "")</f>
        <v/>
      </c>
      <c r="S24" s="162" t="str">
        <f>IFERROR(VLOOKUP($Q24, 'DAY 1 SCORES'!$B:$K, 10, FALSE), "")</f>
        <v>///</v>
      </c>
      <c r="T24" s="162" t="str">
        <f>IF(Q24="", "", IFERROR(INDEX('DAY 1 SCORES'!$H:$H, MATCH(Q24, 'DAY 1 SCORES'!$B:$B, 0)), ""))</f>
        <v/>
      </c>
      <c r="U24" s="142"/>
      <c r="V24" s="142"/>
      <c r="W24" s="142"/>
      <c r="X24" s="142"/>
      <c r="Y24" s="142"/>
      <c r="Z24" s="142"/>
      <c r="AA24" s="142"/>
      <c r="AB24" s="142"/>
      <c r="AC24" s="142"/>
      <c r="AD24" s="142"/>
      <c r="AE24" s="142"/>
      <c r="AF24" s="142"/>
      <c r="AG24" s="142"/>
      <c r="AH24" s="142"/>
      <c r="AI24" s="142"/>
      <c r="AJ24" s="142"/>
      <c r="AK24" s="142"/>
      <c r="AL24" s="142"/>
      <c r="AM24" s="142"/>
      <c r="AN24" s="142"/>
      <c r="AO24" s="142"/>
      <c r="AP24" s="142"/>
      <c r="AQ24" s="142"/>
      <c r="AR24" s="142"/>
      <c r="AS24" s="142"/>
      <c r="AT24" s="142"/>
      <c r="AU24" s="142"/>
    </row>
    <row r="25" spans="1:47" ht="27.75" customHeight="1">
      <c r="A25" s="126">
        <v>23</v>
      </c>
      <c r="B25" s="154" t="str">
        <f>IFERROR(INDEX('DAY 1 SCORES'!$B:$B, MATCH("RED" &amp; $A25, 'DAY 1 SCORES'!$J:$J, 0)), "")</f>
        <v/>
      </c>
      <c r="C25" s="155" t="str">
        <f>IFERROR(INDEX(DATA_IMPORT!$B:$B, MATCH(B25, DATA_IMPORT!$A:$A, 0)), "")</f>
        <v/>
      </c>
      <c r="D25" s="155" t="str">
        <f>IFERROR(VLOOKUP($B25, 'DAY 1 SCORES'!$B:$K, 10, FALSE), "")</f>
        <v>///</v>
      </c>
      <c r="E25" s="156" t="str">
        <f>IF(B25="", "", IFERROR(INDEX('DAY 1 SCORES'!$H:$H, MATCH(B25, 'DAY 1 SCORES'!$B:$B, 0)), ""))</f>
        <v/>
      </c>
      <c r="F25" s="157">
        <v>23</v>
      </c>
      <c r="G25" s="158" t="str">
        <f>IFERROR(INDEX('DAY 1 SCORES'!$B:$B, MATCH("YELLOW" &amp; $A25, 'DAY 1 SCORES'!$J:$J, 0)), "")</f>
        <v/>
      </c>
      <c r="H25" s="159" t="str">
        <f>IFERROR(INDEX(DATA_IMPORT!$B:$B, MATCH(G25, DATA_IMPORT!$A:$A, 0)), "")</f>
        <v/>
      </c>
      <c r="I25" s="159" t="str">
        <f>IFERROR(VLOOKUP($G25, 'DAY 1 SCORES'!$B:$K, 10, FALSE), "")</f>
        <v>///</v>
      </c>
      <c r="J25" s="159" t="str">
        <f>IF(G25="", "", IFERROR(INDEX('DAY 1 SCORES'!$H:$H, MATCH(G25, 'DAY 1 SCORES'!$B:$B, 0)), ""))</f>
        <v/>
      </c>
      <c r="K25" s="160">
        <v>23</v>
      </c>
      <c r="L25" s="201" t="str">
        <f>IFERROR(INDEX('DAY 1 SCORES'!$B:$B, MATCH("GREEN" &amp; $A25, 'DAY 1 SCORES'!$J:$J, 0)), "")</f>
        <v/>
      </c>
      <c r="M25" s="202" t="str">
        <f>IFERROR(INDEX(DATA_IMPORT!$B:$B, MATCH(L25, DATA_IMPORT!$A:$A, 0)), "")</f>
        <v/>
      </c>
      <c r="N25" s="202" t="str">
        <f>IFERROR(VLOOKUP($L25, 'DAY 1 SCORES'!$B:$K, 10, FALSE), "")</f>
        <v>///</v>
      </c>
      <c r="O25" s="203" t="str">
        <f>IF(L25="", "", IFERROR(INDEX('DAY 1 SCORES'!$H:$H, MATCH(L25, 'DAY 1 SCORES'!$B:$B, 0)), ""))</f>
        <v/>
      </c>
      <c r="P25" s="161">
        <v>23</v>
      </c>
      <c r="Q25" s="296" t="str">
        <f>IFERROR(INDEX('DAY 1 SCORES'!$B:$B, MATCH("BLUE" &amp; $A25, 'DAY 1 SCORES'!$J:$J, 0)), "")</f>
        <v/>
      </c>
      <c r="R25" s="162" t="str">
        <f>IFERROR(INDEX(DATA_IMPORT!$B:$B, MATCH(Q25, DATA_IMPORT!$A:$A, 0)), "")</f>
        <v/>
      </c>
      <c r="S25" s="162" t="str">
        <f>IFERROR(VLOOKUP($Q25, 'DAY 1 SCORES'!$B:$K, 10, FALSE), "")</f>
        <v>///</v>
      </c>
      <c r="T25" s="162" t="str">
        <f>IF(Q25="", "", IFERROR(INDEX('DAY 1 SCORES'!$H:$H, MATCH(Q25, 'DAY 1 SCORES'!$B:$B, 0)), ""))</f>
        <v/>
      </c>
      <c r="U25" s="142"/>
      <c r="V25" s="142"/>
      <c r="W25" s="142"/>
      <c r="X25" s="142"/>
      <c r="Y25" s="142"/>
      <c r="Z25" s="142"/>
      <c r="AA25" s="142"/>
      <c r="AB25" s="142"/>
      <c r="AC25" s="142"/>
      <c r="AD25" s="142"/>
      <c r="AE25" s="142"/>
      <c r="AF25" s="142"/>
      <c r="AG25" s="142"/>
      <c r="AH25" s="142"/>
      <c r="AI25" s="142"/>
      <c r="AJ25" s="142"/>
      <c r="AK25" s="142"/>
      <c r="AL25" s="142"/>
      <c r="AM25" s="142"/>
      <c r="AN25" s="142"/>
      <c r="AO25" s="142"/>
      <c r="AP25" s="142"/>
      <c r="AQ25" s="142"/>
      <c r="AR25" s="142"/>
      <c r="AS25" s="142"/>
      <c r="AT25" s="142"/>
      <c r="AU25" s="142"/>
    </row>
    <row r="26" spans="1:47" ht="27.75" customHeight="1">
      <c r="A26" s="126">
        <v>24</v>
      </c>
      <c r="B26" s="154" t="str">
        <f>IFERROR(INDEX('DAY 1 SCORES'!$B:$B, MATCH("RED" &amp; $A26, 'DAY 1 SCORES'!$J:$J, 0)), "")</f>
        <v/>
      </c>
      <c r="C26" s="155" t="str">
        <f>IFERROR(INDEX(DATA_IMPORT!$B:$B, MATCH(B26, DATA_IMPORT!$A:$A, 0)), "")</f>
        <v/>
      </c>
      <c r="D26" s="155" t="str">
        <f>IFERROR(VLOOKUP($B26, 'DAY 1 SCORES'!$B:$K, 10, FALSE), "")</f>
        <v>///</v>
      </c>
      <c r="E26" s="156" t="str">
        <f>IF(B26="", "", IFERROR(INDEX('DAY 1 SCORES'!$H:$H, MATCH(B26, 'DAY 1 SCORES'!$B:$B, 0)), ""))</f>
        <v/>
      </c>
      <c r="F26" s="157">
        <v>24</v>
      </c>
      <c r="G26" s="158" t="str">
        <f>IFERROR(INDEX('DAY 1 SCORES'!$B:$B, MATCH("YELLOW" &amp; $A26, 'DAY 1 SCORES'!$J:$J, 0)), "")</f>
        <v/>
      </c>
      <c r="H26" s="159" t="str">
        <f>IFERROR(INDEX(DATA_IMPORT!$B:$B, MATCH(G26, DATA_IMPORT!$A:$A, 0)), "")</f>
        <v/>
      </c>
      <c r="I26" s="159" t="str">
        <f>IFERROR(VLOOKUP($G26, 'DAY 1 SCORES'!$B:$K, 10, FALSE), "")</f>
        <v>///</v>
      </c>
      <c r="J26" s="159" t="str">
        <f>IF(G26="", "", IFERROR(INDEX('DAY 1 SCORES'!$H:$H, MATCH(G26, 'DAY 1 SCORES'!$B:$B, 0)), ""))</f>
        <v/>
      </c>
      <c r="K26" s="160">
        <v>24</v>
      </c>
      <c r="L26" s="201" t="str">
        <f>IFERROR(INDEX('DAY 1 SCORES'!$B:$B, MATCH("GREEN" &amp; $A26, 'DAY 1 SCORES'!$J:$J, 0)), "")</f>
        <v/>
      </c>
      <c r="M26" s="202" t="str">
        <f>IFERROR(INDEX(DATA_IMPORT!$B:$B, MATCH(L26, DATA_IMPORT!$A:$A, 0)), "")</f>
        <v/>
      </c>
      <c r="N26" s="202" t="str">
        <f>IFERROR(VLOOKUP($L26, 'DAY 1 SCORES'!$B:$K, 10, FALSE), "")</f>
        <v>///</v>
      </c>
      <c r="O26" s="203" t="str">
        <f>IF(L26="", "", IFERROR(INDEX('DAY 1 SCORES'!$H:$H, MATCH(L26, 'DAY 1 SCORES'!$B:$B, 0)), ""))</f>
        <v/>
      </c>
      <c r="P26" s="161">
        <v>24</v>
      </c>
      <c r="Q26" s="296" t="str">
        <f>IFERROR(INDEX('DAY 1 SCORES'!$B:$B, MATCH("BLUE" &amp; $A26, 'DAY 1 SCORES'!$J:$J, 0)), "")</f>
        <v/>
      </c>
      <c r="R26" s="162" t="str">
        <f>IFERROR(INDEX(DATA_IMPORT!$B:$B, MATCH(Q26, DATA_IMPORT!$A:$A, 0)), "")</f>
        <v/>
      </c>
      <c r="S26" s="162" t="str">
        <f>IFERROR(VLOOKUP($Q26, 'DAY 1 SCORES'!$B:$K, 10, FALSE), "")</f>
        <v>///</v>
      </c>
      <c r="T26" s="162" t="str">
        <f>IF(Q26="", "", IFERROR(INDEX('DAY 1 SCORES'!$H:$H, MATCH(Q26, 'DAY 1 SCORES'!$B:$B, 0)), ""))</f>
        <v/>
      </c>
      <c r="U26" s="142"/>
      <c r="V26" s="142"/>
      <c r="W26" s="142"/>
      <c r="X26" s="142"/>
      <c r="Y26" s="142"/>
      <c r="Z26" s="142"/>
      <c r="AA26" s="142"/>
      <c r="AB26" s="142"/>
      <c r="AC26" s="142"/>
      <c r="AD26" s="142"/>
      <c r="AE26" s="142"/>
      <c r="AF26" s="142"/>
      <c r="AG26" s="142"/>
      <c r="AH26" s="142"/>
      <c r="AI26" s="142"/>
      <c r="AJ26" s="142"/>
      <c r="AK26" s="142"/>
      <c r="AL26" s="142"/>
      <c r="AM26" s="142"/>
      <c r="AN26" s="142"/>
      <c r="AO26" s="142"/>
      <c r="AP26" s="142"/>
      <c r="AQ26" s="142"/>
      <c r="AR26" s="142"/>
      <c r="AS26" s="142"/>
      <c r="AT26" s="142"/>
      <c r="AU26" s="142"/>
    </row>
    <row r="27" spans="1:47" ht="27.75" customHeight="1">
      <c r="A27" s="126">
        <v>25</v>
      </c>
      <c r="B27" s="154" t="str">
        <f>IFERROR(INDEX('DAY 1 SCORES'!$B:$B, MATCH("RED" &amp; $A27, 'DAY 1 SCORES'!$J:$J, 0)), "")</f>
        <v/>
      </c>
      <c r="C27" s="155" t="str">
        <f>IFERROR(INDEX(DATA_IMPORT!$B:$B, MATCH(B27, DATA_IMPORT!$A:$A, 0)), "")</f>
        <v/>
      </c>
      <c r="D27" s="155" t="str">
        <f>IFERROR(VLOOKUP($B27, 'DAY 1 SCORES'!$B:$K, 10, FALSE), "")</f>
        <v>///</v>
      </c>
      <c r="E27" s="156" t="str">
        <f>IF(B27="", "", IFERROR(INDEX('DAY 1 SCORES'!$H:$H, MATCH(B27, 'DAY 1 SCORES'!$B:$B, 0)), ""))</f>
        <v/>
      </c>
      <c r="F27" s="157">
        <v>25</v>
      </c>
      <c r="G27" s="158" t="str">
        <f>IFERROR(INDEX('DAY 1 SCORES'!$B:$B, MATCH("YELLOW" &amp; $A27, 'DAY 1 SCORES'!$J:$J, 0)), "")</f>
        <v/>
      </c>
      <c r="H27" s="159" t="str">
        <f>IFERROR(INDEX(DATA_IMPORT!$B:$B, MATCH(G27, DATA_IMPORT!$A:$A, 0)), "")</f>
        <v/>
      </c>
      <c r="I27" s="159" t="str">
        <f>IFERROR(VLOOKUP($G27, 'DAY 1 SCORES'!$B:$K, 10, FALSE), "")</f>
        <v>///</v>
      </c>
      <c r="J27" s="159" t="str">
        <f>IF(G27="", "", IFERROR(INDEX('DAY 1 SCORES'!$H:$H, MATCH(G27, 'DAY 1 SCORES'!$B:$B, 0)), ""))</f>
        <v/>
      </c>
      <c r="K27" s="160">
        <v>25</v>
      </c>
      <c r="L27" s="201" t="str">
        <f>IFERROR(INDEX('DAY 1 SCORES'!$B:$B, MATCH("GREEN" &amp; $A27, 'DAY 1 SCORES'!$J:$J, 0)), "")</f>
        <v/>
      </c>
      <c r="M27" s="202" t="str">
        <f>IFERROR(INDEX(DATA_IMPORT!$B:$B, MATCH(L27, DATA_IMPORT!$A:$A, 0)), "")</f>
        <v/>
      </c>
      <c r="N27" s="202" t="str">
        <f>IFERROR(VLOOKUP($L27, 'DAY 1 SCORES'!$B:$K, 10, FALSE), "")</f>
        <v>///</v>
      </c>
      <c r="O27" s="203" t="str">
        <f>IF(L27="", "", IFERROR(INDEX('DAY 1 SCORES'!$H:$H, MATCH(L27, 'DAY 1 SCORES'!$B:$B, 0)), ""))</f>
        <v/>
      </c>
      <c r="P27" s="161">
        <v>25</v>
      </c>
      <c r="Q27" s="296" t="str">
        <f>IFERROR(INDEX('DAY 1 SCORES'!$B:$B, MATCH("BLUE" &amp; $A27, 'DAY 1 SCORES'!$J:$J, 0)), "")</f>
        <v/>
      </c>
      <c r="R27" s="162" t="str">
        <f>IFERROR(INDEX(DATA_IMPORT!$B:$B, MATCH(Q27, DATA_IMPORT!$A:$A, 0)), "")</f>
        <v/>
      </c>
      <c r="S27" s="162" t="str">
        <f>IFERROR(VLOOKUP($Q27, 'DAY 1 SCORES'!$B:$K, 10, FALSE), "")</f>
        <v>///</v>
      </c>
      <c r="T27" s="162" t="str">
        <f>IF(Q27="", "", IFERROR(INDEX('DAY 1 SCORES'!$H:$H, MATCH(Q27, 'DAY 1 SCORES'!$B:$B, 0)), ""))</f>
        <v/>
      </c>
      <c r="U27" s="142"/>
      <c r="V27" s="142"/>
      <c r="W27" s="142"/>
      <c r="X27" s="142"/>
      <c r="Y27" s="142"/>
      <c r="Z27" s="142"/>
      <c r="AA27" s="142"/>
      <c r="AB27" s="142"/>
      <c r="AC27" s="142"/>
      <c r="AD27" s="142"/>
      <c r="AE27" s="142"/>
      <c r="AF27" s="142"/>
      <c r="AG27" s="142"/>
      <c r="AH27" s="142"/>
      <c r="AI27" s="142"/>
      <c r="AJ27" s="142"/>
      <c r="AK27" s="142"/>
      <c r="AL27" s="142"/>
      <c r="AM27" s="142"/>
      <c r="AN27" s="142"/>
      <c r="AO27" s="142"/>
      <c r="AP27" s="142"/>
      <c r="AQ27" s="142"/>
      <c r="AR27" s="142"/>
      <c r="AS27" s="142"/>
      <c r="AT27" s="142"/>
      <c r="AU27" s="142"/>
    </row>
    <row r="28" spans="1:47" ht="27.75" customHeight="1">
      <c r="A28" s="126">
        <v>26</v>
      </c>
      <c r="B28" s="154" t="str">
        <f>IFERROR(INDEX('DAY 1 SCORES'!$B:$B, MATCH("RED" &amp; $A28, 'DAY 1 SCORES'!$J:$J, 0)), "")</f>
        <v/>
      </c>
      <c r="C28" s="155" t="str">
        <f>IFERROR(INDEX(DATA_IMPORT!$B:$B, MATCH(B28, DATA_IMPORT!$A:$A, 0)), "")</f>
        <v/>
      </c>
      <c r="D28" s="155" t="str">
        <f>IFERROR(VLOOKUP($B28, 'DAY 1 SCORES'!$B:$K, 10, FALSE), "")</f>
        <v>///</v>
      </c>
      <c r="E28" s="156" t="str">
        <f>IF(B28="", "", IFERROR(INDEX('DAY 1 SCORES'!$H:$H, MATCH(B28, 'DAY 1 SCORES'!$B:$B, 0)), ""))</f>
        <v/>
      </c>
      <c r="F28" s="157">
        <v>26</v>
      </c>
      <c r="G28" s="158" t="str">
        <f>IFERROR(INDEX('DAY 1 SCORES'!$B:$B, MATCH("YELLOW" &amp; $A28, 'DAY 1 SCORES'!$J:$J, 0)), "")</f>
        <v/>
      </c>
      <c r="H28" s="159" t="str">
        <f>IFERROR(INDEX(DATA_IMPORT!$B:$B, MATCH(G28, DATA_IMPORT!$A:$A, 0)), "")</f>
        <v/>
      </c>
      <c r="I28" s="159" t="str">
        <f>IFERROR(VLOOKUP($G28, 'DAY 1 SCORES'!$B:$K, 10, FALSE), "")</f>
        <v>///</v>
      </c>
      <c r="J28" s="159" t="str">
        <f>IF(G28="", "", IFERROR(INDEX('DAY 1 SCORES'!$H:$H, MATCH(G28, 'DAY 1 SCORES'!$B:$B, 0)), ""))</f>
        <v/>
      </c>
      <c r="K28" s="160">
        <v>26</v>
      </c>
      <c r="L28" s="201" t="str">
        <f>IFERROR(INDEX('DAY 1 SCORES'!$B:$B, MATCH("GREEN" &amp; $A28, 'DAY 1 SCORES'!$J:$J, 0)), "")</f>
        <v/>
      </c>
      <c r="M28" s="202" t="str">
        <f>IFERROR(INDEX(DATA_IMPORT!$B:$B, MATCH(L28, DATA_IMPORT!$A:$A, 0)), "")</f>
        <v/>
      </c>
      <c r="N28" s="202" t="str">
        <f>IFERROR(VLOOKUP($L28, 'DAY 1 SCORES'!$B:$K, 10, FALSE), "")</f>
        <v>///</v>
      </c>
      <c r="O28" s="203" t="str">
        <f>IF(L28="", "", IFERROR(INDEX('DAY 1 SCORES'!$H:$H, MATCH(L28, 'DAY 1 SCORES'!$B:$B, 0)), ""))</f>
        <v/>
      </c>
      <c r="P28" s="161">
        <v>26</v>
      </c>
      <c r="Q28" s="296" t="str">
        <f>IFERROR(INDEX('DAY 1 SCORES'!$B:$B, MATCH("BLUE" &amp; $A28, 'DAY 1 SCORES'!$J:$J, 0)), "")</f>
        <v/>
      </c>
      <c r="R28" s="162" t="str">
        <f>IFERROR(INDEX(DATA_IMPORT!$B:$B, MATCH(Q28, DATA_IMPORT!$A:$A, 0)), "")</f>
        <v/>
      </c>
      <c r="S28" s="162" t="str">
        <f>IFERROR(VLOOKUP($Q28, 'DAY 1 SCORES'!$B:$K, 10, FALSE), "")</f>
        <v>///</v>
      </c>
      <c r="T28" s="162" t="str">
        <f>IF(Q28="", "", IFERROR(INDEX('DAY 1 SCORES'!$H:$H, MATCH(Q28, 'DAY 1 SCORES'!$B:$B, 0)), ""))</f>
        <v/>
      </c>
      <c r="U28" s="142"/>
      <c r="V28" s="142"/>
      <c r="W28" s="142"/>
      <c r="X28" s="142"/>
      <c r="Y28" s="142"/>
      <c r="Z28" s="142"/>
      <c r="AA28" s="142"/>
      <c r="AB28" s="142"/>
      <c r="AC28" s="142"/>
      <c r="AD28" s="142"/>
      <c r="AE28" s="142"/>
      <c r="AF28" s="142"/>
      <c r="AG28" s="142"/>
      <c r="AH28" s="142"/>
      <c r="AI28" s="142"/>
      <c r="AJ28" s="142"/>
      <c r="AK28" s="142"/>
      <c r="AL28" s="142"/>
      <c r="AM28" s="142"/>
      <c r="AN28" s="142"/>
      <c r="AO28" s="142"/>
      <c r="AP28" s="142"/>
      <c r="AQ28" s="142"/>
      <c r="AR28" s="142"/>
      <c r="AS28" s="142"/>
      <c r="AT28" s="142"/>
      <c r="AU28" s="142"/>
    </row>
    <row r="29" spans="1:47" ht="27.75" customHeight="1">
      <c r="A29" s="126">
        <v>27</v>
      </c>
      <c r="B29" s="154" t="str">
        <f>IFERROR(INDEX('DAY 1 SCORES'!$B:$B, MATCH("RED" &amp; $A29, 'DAY 1 SCORES'!$J:$J, 0)), "")</f>
        <v/>
      </c>
      <c r="C29" s="155" t="str">
        <f>IFERROR(INDEX(DATA_IMPORT!$B:$B, MATCH(B29, DATA_IMPORT!$A:$A, 0)), "")</f>
        <v/>
      </c>
      <c r="D29" s="155" t="str">
        <f>IFERROR(VLOOKUP($B29, 'DAY 1 SCORES'!$B:$K, 10, FALSE), "")</f>
        <v>///</v>
      </c>
      <c r="E29" s="156" t="str">
        <f>IF(B29="", "", IFERROR(INDEX('DAY 1 SCORES'!$H:$H, MATCH(B29, 'DAY 1 SCORES'!$B:$B, 0)), ""))</f>
        <v/>
      </c>
      <c r="F29" s="157">
        <v>27</v>
      </c>
      <c r="G29" s="158" t="str">
        <f>IFERROR(INDEX('DAY 1 SCORES'!$B:$B, MATCH("YELLOW" &amp; $A29, 'DAY 1 SCORES'!$J:$J, 0)), "")</f>
        <v/>
      </c>
      <c r="H29" s="159" t="str">
        <f>IFERROR(INDEX(DATA_IMPORT!$B:$B, MATCH(G29, DATA_IMPORT!$A:$A, 0)), "")</f>
        <v/>
      </c>
      <c r="I29" s="159" t="str">
        <f>IFERROR(VLOOKUP($G29, 'DAY 1 SCORES'!$B:$K, 10, FALSE), "")</f>
        <v>///</v>
      </c>
      <c r="J29" s="159" t="str">
        <f>IF(G29="", "", IFERROR(INDEX('DAY 1 SCORES'!$H:$H, MATCH(G29, 'DAY 1 SCORES'!$B:$B, 0)), ""))</f>
        <v/>
      </c>
      <c r="K29" s="160">
        <v>27</v>
      </c>
      <c r="L29" s="201" t="str">
        <f>IFERROR(INDEX('DAY 1 SCORES'!$B:$B, MATCH("GREEN" &amp; $A29, 'DAY 1 SCORES'!$J:$J, 0)), "")</f>
        <v/>
      </c>
      <c r="M29" s="202" t="str">
        <f>IFERROR(INDEX(DATA_IMPORT!$B:$B, MATCH(L29, DATA_IMPORT!$A:$A, 0)), "")</f>
        <v/>
      </c>
      <c r="N29" s="202" t="str">
        <f>IFERROR(VLOOKUP($L29, 'DAY 1 SCORES'!$B:$K, 10, FALSE), "")</f>
        <v>///</v>
      </c>
      <c r="O29" s="203" t="str">
        <f>IF(L29="", "", IFERROR(INDEX('DAY 1 SCORES'!$H:$H, MATCH(L29, 'DAY 1 SCORES'!$B:$B, 0)), ""))</f>
        <v/>
      </c>
      <c r="P29" s="161">
        <v>27</v>
      </c>
      <c r="Q29" s="296" t="str">
        <f>IFERROR(INDEX('DAY 1 SCORES'!$B:$B, MATCH("BLUE" &amp; $A29, 'DAY 1 SCORES'!$J:$J, 0)), "")</f>
        <v/>
      </c>
      <c r="R29" s="162" t="str">
        <f>IFERROR(INDEX(DATA_IMPORT!$B:$B, MATCH(Q29, DATA_IMPORT!$A:$A, 0)), "")</f>
        <v/>
      </c>
      <c r="S29" s="162" t="str">
        <f>IFERROR(VLOOKUP($Q29, 'DAY 1 SCORES'!$B:$K, 10, FALSE), "")</f>
        <v>///</v>
      </c>
      <c r="T29" s="162" t="str">
        <f>IF(Q29="", "", IFERROR(INDEX('DAY 1 SCORES'!$H:$H, MATCH(Q29, 'DAY 1 SCORES'!$B:$B, 0)), ""))</f>
        <v/>
      </c>
      <c r="U29" s="142"/>
      <c r="V29" s="142"/>
      <c r="W29" s="142"/>
      <c r="X29" s="142"/>
      <c r="Y29" s="142"/>
      <c r="Z29" s="142"/>
      <c r="AA29" s="142"/>
      <c r="AB29" s="142"/>
      <c r="AC29" s="142"/>
      <c r="AD29" s="142"/>
      <c r="AE29" s="142"/>
      <c r="AF29" s="142"/>
      <c r="AG29" s="142"/>
      <c r="AH29" s="142"/>
      <c r="AI29" s="142"/>
      <c r="AJ29" s="142"/>
      <c r="AK29" s="142"/>
      <c r="AL29" s="142"/>
      <c r="AM29" s="142"/>
      <c r="AN29" s="142"/>
      <c r="AO29" s="142"/>
      <c r="AP29" s="142"/>
      <c r="AQ29" s="142"/>
      <c r="AR29" s="142"/>
      <c r="AS29" s="142"/>
      <c r="AT29" s="142"/>
      <c r="AU29" s="142"/>
    </row>
    <row r="30" spans="1:47" ht="27.75" customHeight="1">
      <c r="A30" s="126">
        <v>28</v>
      </c>
      <c r="B30" s="154" t="str">
        <f>IFERROR(INDEX('DAY 1 SCORES'!$B:$B, MATCH("RED" &amp; $A30, 'DAY 1 SCORES'!$J:$J, 0)), "")</f>
        <v/>
      </c>
      <c r="C30" s="155" t="str">
        <f>IFERROR(INDEX(DATA_IMPORT!$B:$B, MATCH(B30, DATA_IMPORT!$A:$A, 0)), "")</f>
        <v/>
      </c>
      <c r="D30" s="155" t="str">
        <f>IFERROR(VLOOKUP($B30, 'DAY 1 SCORES'!$B:$K, 10, FALSE), "")</f>
        <v>///</v>
      </c>
      <c r="E30" s="156" t="str">
        <f>IF(B30="", "", IFERROR(INDEX('DAY 1 SCORES'!$H:$H, MATCH(B30, 'DAY 1 SCORES'!$B:$B, 0)), ""))</f>
        <v/>
      </c>
      <c r="F30" s="157">
        <v>28</v>
      </c>
      <c r="G30" s="158" t="str">
        <f>IFERROR(INDEX('DAY 1 SCORES'!$B:$B, MATCH("YELLOW" &amp; $A30, 'DAY 1 SCORES'!$J:$J, 0)), "")</f>
        <v/>
      </c>
      <c r="H30" s="159" t="str">
        <f>IFERROR(INDEX(DATA_IMPORT!$B:$B, MATCH(G30, DATA_IMPORT!$A:$A, 0)), "")</f>
        <v/>
      </c>
      <c r="I30" s="159" t="str">
        <f>IFERROR(VLOOKUP($G30, 'DAY 1 SCORES'!$B:$K, 10, FALSE), "")</f>
        <v>///</v>
      </c>
      <c r="J30" s="159" t="str">
        <f>IF(G30="", "", IFERROR(INDEX('DAY 1 SCORES'!$H:$H, MATCH(G30, 'DAY 1 SCORES'!$B:$B, 0)), ""))</f>
        <v/>
      </c>
      <c r="K30" s="160">
        <v>28</v>
      </c>
      <c r="L30" s="201" t="str">
        <f>IFERROR(INDEX('DAY 1 SCORES'!$B:$B, MATCH("GREEN" &amp; $A30, 'DAY 1 SCORES'!$J:$J, 0)), "")</f>
        <v/>
      </c>
      <c r="M30" s="202" t="str">
        <f>IFERROR(INDEX(DATA_IMPORT!$B:$B, MATCH(L30, DATA_IMPORT!$A:$A, 0)), "")</f>
        <v/>
      </c>
      <c r="N30" s="202" t="str">
        <f>IFERROR(VLOOKUP($L30, 'DAY 1 SCORES'!$B:$K, 10, FALSE), "")</f>
        <v>///</v>
      </c>
      <c r="O30" s="203" t="str">
        <f>IF(L30="", "", IFERROR(INDEX('DAY 1 SCORES'!$H:$H, MATCH(L30, 'DAY 1 SCORES'!$B:$B, 0)), ""))</f>
        <v/>
      </c>
      <c r="P30" s="161">
        <v>28</v>
      </c>
      <c r="Q30" s="296" t="str">
        <f>IFERROR(INDEX('DAY 1 SCORES'!$B:$B, MATCH("BLUE" &amp; $A30, 'DAY 1 SCORES'!$J:$J, 0)), "")</f>
        <v/>
      </c>
      <c r="R30" s="162" t="str">
        <f>IFERROR(INDEX(DATA_IMPORT!$B:$B, MATCH(Q30, DATA_IMPORT!$A:$A, 0)), "")</f>
        <v/>
      </c>
      <c r="S30" s="162" t="str">
        <f>IFERROR(VLOOKUP($Q30, 'DAY 1 SCORES'!$B:$K, 10, FALSE), "")</f>
        <v>///</v>
      </c>
      <c r="T30" s="162" t="str">
        <f>IF(Q30="", "", IFERROR(INDEX('DAY 1 SCORES'!$H:$H, MATCH(Q30, 'DAY 1 SCORES'!$B:$B, 0)), ""))</f>
        <v/>
      </c>
      <c r="U30" s="142"/>
      <c r="V30" s="142"/>
      <c r="W30" s="142"/>
      <c r="X30" s="142"/>
      <c r="Y30" s="142"/>
      <c r="Z30" s="142"/>
      <c r="AA30" s="142"/>
      <c r="AB30" s="142"/>
      <c r="AC30" s="142"/>
      <c r="AD30" s="142"/>
      <c r="AE30" s="142"/>
      <c r="AF30" s="142"/>
      <c r="AG30" s="142"/>
      <c r="AH30" s="142"/>
      <c r="AI30" s="142"/>
      <c r="AJ30" s="142"/>
      <c r="AK30" s="142"/>
      <c r="AL30" s="142"/>
      <c r="AM30" s="142"/>
      <c r="AN30" s="142"/>
      <c r="AO30" s="142"/>
      <c r="AP30" s="142"/>
      <c r="AQ30" s="142"/>
      <c r="AR30" s="142"/>
      <c r="AS30" s="142"/>
      <c r="AT30" s="142"/>
      <c r="AU30" s="142"/>
    </row>
    <row r="31" spans="1:47" ht="27.75" customHeight="1">
      <c r="A31" s="126">
        <v>29</v>
      </c>
      <c r="B31" s="154" t="str">
        <f>IFERROR(INDEX('DAY 1 SCORES'!$B:$B, MATCH("RED" &amp; $A31, 'DAY 1 SCORES'!$J:$J, 0)), "")</f>
        <v/>
      </c>
      <c r="C31" s="155" t="str">
        <f>IFERROR(INDEX(DATA_IMPORT!$B:$B, MATCH(B31, DATA_IMPORT!$A:$A, 0)), "")</f>
        <v/>
      </c>
      <c r="D31" s="155" t="str">
        <f>IFERROR(VLOOKUP($B31, 'DAY 1 SCORES'!$B:$K, 10, FALSE), "")</f>
        <v>///</v>
      </c>
      <c r="E31" s="156" t="str">
        <f>IF(B31="", "", IFERROR(INDEX('DAY 1 SCORES'!$H:$H, MATCH(B31, 'DAY 1 SCORES'!$B:$B, 0)), ""))</f>
        <v/>
      </c>
      <c r="F31" s="157">
        <v>29</v>
      </c>
      <c r="G31" s="158" t="str">
        <f>IFERROR(INDEX('DAY 1 SCORES'!$B:$B, MATCH("YELLOW" &amp; $A31, 'DAY 1 SCORES'!$J:$J, 0)), "")</f>
        <v/>
      </c>
      <c r="H31" s="159" t="str">
        <f>IFERROR(INDEX(DATA_IMPORT!$B:$B, MATCH(G31, DATA_IMPORT!$A:$A, 0)), "")</f>
        <v/>
      </c>
      <c r="I31" s="159" t="str">
        <f>IFERROR(VLOOKUP($G31, 'DAY 1 SCORES'!$B:$K, 10, FALSE), "")</f>
        <v>///</v>
      </c>
      <c r="J31" s="159" t="str">
        <f>IF(G31="", "", IFERROR(INDEX('DAY 1 SCORES'!$H:$H, MATCH(G31, 'DAY 1 SCORES'!$B:$B, 0)), ""))</f>
        <v/>
      </c>
      <c r="K31" s="160">
        <v>29</v>
      </c>
      <c r="L31" s="201" t="str">
        <f>IFERROR(INDEX('DAY 1 SCORES'!$B:$B, MATCH("GREEN" &amp; $A31, 'DAY 1 SCORES'!$J:$J, 0)), "")</f>
        <v/>
      </c>
      <c r="M31" s="202" t="str">
        <f>IFERROR(INDEX(DATA_IMPORT!$B:$B, MATCH(L31, DATA_IMPORT!$A:$A, 0)), "")</f>
        <v/>
      </c>
      <c r="N31" s="202" t="str">
        <f>IFERROR(VLOOKUP($L31, 'DAY 1 SCORES'!$B:$K, 10, FALSE), "")</f>
        <v>///</v>
      </c>
      <c r="O31" s="203" t="str">
        <f>IF(L31="", "", IFERROR(INDEX('DAY 1 SCORES'!$H:$H, MATCH(L31, 'DAY 1 SCORES'!$B:$B, 0)), ""))</f>
        <v/>
      </c>
      <c r="P31" s="161">
        <v>29</v>
      </c>
      <c r="Q31" s="296" t="str">
        <f>IFERROR(INDEX('DAY 1 SCORES'!$B:$B, MATCH("BLUE" &amp; $A31, 'DAY 1 SCORES'!$J:$J, 0)), "")</f>
        <v/>
      </c>
      <c r="R31" s="162" t="str">
        <f>IFERROR(INDEX(DATA_IMPORT!$B:$B, MATCH(Q31, DATA_IMPORT!$A:$A, 0)), "")</f>
        <v/>
      </c>
      <c r="S31" s="162" t="str">
        <f>IFERROR(VLOOKUP($Q31, 'DAY 1 SCORES'!$B:$K, 10, FALSE), "")</f>
        <v>///</v>
      </c>
      <c r="T31" s="162" t="str">
        <f>IF(Q31="", "", IFERROR(INDEX('DAY 1 SCORES'!$H:$H, MATCH(Q31, 'DAY 1 SCORES'!$B:$B, 0)), ""))</f>
        <v/>
      </c>
      <c r="U31" s="142"/>
      <c r="V31" s="142"/>
      <c r="W31" s="142"/>
      <c r="X31" s="142"/>
      <c r="Y31" s="142"/>
      <c r="Z31" s="142"/>
      <c r="AA31" s="142"/>
      <c r="AB31" s="142"/>
      <c r="AC31" s="142"/>
      <c r="AD31" s="142"/>
      <c r="AE31" s="142"/>
      <c r="AF31" s="142"/>
      <c r="AG31" s="142"/>
      <c r="AH31" s="142"/>
      <c r="AI31" s="142"/>
      <c r="AJ31" s="142"/>
      <c r="AK31" s="142"/>
      <c r="AL31" s="142"/>
      <c r="AM31" s="142"/>
      <c r="AN31" s="142"/>
      <c r="AO31" s="142"/>
      <c r="AP31" s="142"/>
      <c r="AQ31" s="142"/>
      <c r="AR31" s="142"/>
      <c r="AS31" s="142"/>
      <c r="AT31" s="142"/>
      <c r="AU31" s="142"/>
    </row>
    <row r="32" spans="1:47" ht="27.75" hidden="1" customHeight="1">
      <c r="B32" s="154" t="str">
        <f>IFERROR(INDEX('DAY 1 SCORES'!$B:$B, MATCH("RED" &amp; $A32, 'DAY 1 SCORES'!$J:$J, 0)), "")</f>
        <v/>
      </c>
      <c r="C32" s="155" t="str">
        <f>IFERROR(INDEX(DATA_IMPORT!$B:$B, MATCH(B32, DATA_IMPORT!$A:$A, 0)), "")</f>
        <v/>
      </c>
      <c r="D32" s="155" t="str">
        <f>IFERROR(VLOOKUP($B32, 'DAY 1 SCORES'!$B:$K, 10, FALSE), "")</f>
        <v>///</v>
      </c>
      <c r="E32" s="156" t="str">
        <f>IF(B32="", "", IFERROR(INDEX('DAY 1 SCORES'!$H:$H, MATCH(B32, 'DAY 1 SCORES'!$B:$B, 0)), ""))</f>
        <v/>
      </c>
      <c r="F32" s="157">
        <v>30</v>
      </c>
      <c r="G32" s="158" t="str">
        <f>IFERROR(INDEX('DAY 1 SCORES'!$B:$B, MATCH("YELLOW" &amp; $A32, 'DAY 1 SCORES'!$J:$J, 0)), "")</f>
        <v/>
      </c>
      <c r="H32" s="159" t="str">
        <f>IFERROR(INDEX(DATA_IMPORT!$B:$B, MATCH(G32, DATA_IMPORT!$A:$A, 0)), "")</f>
        <v/>
      </c>
      <c r="I32" s="159" t="str">
        <f>IFERROR(VLOOKUP($G32, 'DAY 1 SCORES'!$B:$K, 10, FALSE), "")</f>
        <v>///</v>
      </c>
      <c r="J32" s="159" t="str">
        <f>IF(G32="", "", IFERROR(INDEX('DAY 1 SCORES'!$H:$H, MATCH(G32, 'DAY 1 SCORES'!$B:$B, 0)), ""))</f>
        <v/>
      </c>
      <c r="K32" s="160">
        <v>30</v>
      </c>
      <c r="L32" s="201" t="str">
        <f>IFERROR(INDEX('DAY 1 SCORES'!$B:$B, MATCH("GREEN" &amp; $A32, 'DAY 1 SCORES'!$J:$J, 0)), "")</f>
        <v/>
      </c>
      <c r="M32" s="202" t="str">
        <f>IFERROR(INDEX(DATA_IMPORT!$B:$B, MATCH(L32, DATA_IMPORT!$A:$A, 0)), "")</f>
        <v/>
      </c>
      <c r="N32" s="202" t="str">
        <f>IFERROR(VLOOKUP($L32, 'DAY 1 SCORES'!$B:$K, 10, FALSE), "")</f>
        <v>///</v>
      </c>
      <c r="O32" s="203" t="str">
        <f>IF(L32="", "", IFERROR(INDEX('DAY 1 SCORES'!$H:$H, MATCH(L32, 'DAY 1 SCORES'!$B:$B, 0)), ""))</f>
        <v/>
      </c>
      <c r="P32" s="161">
        <v>30</v>
      </c>
      <c r="Q32" s="296" t="str">
        <f>IFERROR(INDEX('DAY 1 SCORES'!$B:$B, MATCH("BLUE" &amp; $A32, 'DAY 1 SCORES'!$J:$J, 0)), "")</f>
        <v/>
      </c>
      <c r="R32" s="162" t="str">
        <f>IFERROR(INDEX(DATA_IMPORT!$B:$B, MATCH(Q32, DATA_IMPORT!$A:$A, 0)), "")</f>
        <v/>
      </c>
      <c r="S32" s="162" t="str">
        <f>IFERROR(VLOOKUP($Q32, 'DAY 1 SCORES'!$B:$K, 10, FALSE), "")</f>
        <v>///</v>
      </c>
      <c r="T32" s="162" t="str">
        <f>IF(Q32="", "", IFERROR(INDEX('DAY 1 SCORES'!$H:$H, MATCH(Q32, 'DAY 1 SCORES'!$B:$B, 0)), ""))</f>
        <v/>
      </c>
    </row>
    <row r="33" spans="2:20" ht="27.75" hidden="1" customHeight="1">
      <c r="B33" s="154" t="str">
        <f>IFERROR(INDEX('DAY 1 SCORES'!$B:$B, MATCH("RED" &amp; $A33, 'DAY 1 SCORES'!$J:$J, 0)), "")</f>
        <v/>
      </c>
      <c r="C33" s="155" t="str">
        <f>IFERROR(INDEX(DATA_IMPORT!$B:$B, MATCH(B33, DATA_IMPORT!$A:$A, 0)), "")</f>
        <v/>
      </c>
      <c r="D33" s="155" t="str">
        <f>IFERROR(VLOOKUP($B33, 'DAY 1 SCORES'!$B:$K, 10, FALSE), "")</f>
        <v>///</v>
      </c>
      <c r="E33" s="156" t="str">
        <f>IF(B33="", "", IFERROR(INDEX('DAY 1 SCORES'!$H:$H, MATCH(B33, 'DAY 1 SCORES'!$B:$B, 0)), ""))</f>
        <v/>
      </c>
      <c r="F33" s="157">
        <v>31</v>
      </c>
      <c r="G33" s="158" t="str">
        <f>IFERROR(INDEX('DAY 1 SCORES'!$B:$B, MATCH("YELLOW" &amp; $A33, 'DAY 1 SCORES'!$J:$J, 0)), "")</f>
        <v/>
      </c>
      <c r="H33" s="159" t="str">
        <f>IFERROR(INDEX(DATA_IMPORT!$B:$B, MATCH(G33, DATA_IMPORT!$A:$A, 0)), "")</f>
        <v/>
      </c>
      <c r="I33" s="159" t="str">
        <f>IFERROR(VLOOKUP($G33, 'DAY 1 SCORES'!$B:$K, 10, FALSE), "")</f>
        <v>///</v>
      </c>
      <c r="J33" s="159" t="str">
        <f>IF(G33="", "", IFERROR(INDEX('DAY 1 SCORES'!$H:$H, MATCH(G33, 'DAY 1 SCORES'!$B:$B, 0)), ""))</f>
        <v/>
      </c>
      <c r="K33" s="160">
        <v>31</v>
      </c>
      <c r="L33" s="201" t="str">
        <f>IFERROR(INDEX('DAY 1 SCORES'!$B:$B, MATCH("GREEN" &amp; $A33, 'DAY 1 SCORES'!$J:$J, 0)), "")</f>
        <v/>
      </c>
      <c r="M33" s="202" t="str">
        <f>IFERROR(INDEX(DATA_IMPORT!$B:$B, MATCH(L33, DATA_IMPORT!$A:$A, 0)), "")</f>
        <v/>
      </c>
      <c r="N33" s="202" t="str">
        <f>IFERROR(VLOOKUP($L33, 'DAY 1 SCORES'!$B:$K, 10, FALSE), "")</f>
        <v>///</v>
      </c>
      <c r="O33" s="203" t="str">
        <f>IF(L33="", "", IFERROR(INDEX('DAY 1 SCORES'!$H:$H, MATCH(L33, 'DAY 1 SCORES'!$B:$B, 0)), ""))</f>
        <v/>
      </c>
      <c r="P33" s="161">
        <v>31</v>
      </c>
      <c r="Q33" s="296" t="str">
        <f>IFERROR(INDEX('DAY 1 SCORES'!$B:$B, MATCH("BLUE" &amp; $A33, 'DAY 1 SCORES'!$J:$J, 0)), "")</f>
        <v/>
      </c>
      <c r="R33" s="162" t="str">
        <f>IFERROR(INDEX(DATA_IMPORT!$B:$B, MATCH(Q33, DATA_IMPORT!$A:$A, 0)), "")</f>
        <v/>
      </c>
      <c r="S33" s="162" t="str">
        <f>IFERROR(VLOOKUP($Q33, 'DAY 1 SCORES'!$B:$K, 10, FALSE), "")</f>
        <v>///</v>
      </c>
      <c r="T33" s="162" t="str">
        <f>IF(Q33="", "", IFERROR(INDEX('DAY 1 SCORES'!$H:$H, MATCH(Q33, 'DAY 1 SCORES'!$B:$B, 0)), ""))</f>
        <v/>
      </c>
    </row>
    <row r="34" spans="2:20" ht="27.75" hidden="1" customHeight="1">
      <c r="B34" s="154" t="str">
        <f>IFERROR(INDEX('DAY 1 SCORES'!$B:$B, MATCH("RED" &amp; $A34, 'DAY 1 SCORES'!$J:$J, 0)), "")</f>
        <v/>
      </c>
      <c r="C34" s="155" t="str">
        <f>IFERROR(INDEX(DATA_IMPORT!$B:$B, MATCH(B34, DATA_IMPORT!$A:$A, 0)), "")</f>
        <v/>
      </c>
      <c r="D34" s="155" t="str">
        <f>IFERROR(VLOOKUP($B34, 'DAY 1 SCORES'!$B:$K, 10, FALSE), "")</f>
        <v>///</v>
      </c>
      <c r="E34" s="156" t="str">
        <f>IF(B34="", "", IFERROR(INDEX('DAY 1 SCORES'!$H:$H, MATCH(B34, 'DAY 1 SCORES'!$B:$B, 0)), ""))</f>
        <v/>
      </c>
      <c r="F34" s="157">
        <v>32</v>
      </c>
      <c r="G34" s="158" t="str">
        <f>IFERROR(INDEX('DAY 1 SCORES'!$B:$B, MATCH("YELLOW" &amp; $A34, 'DAY 1 SCORES'!$J:$J, 0)), "")</f>
        <v/>
      </c>
      <c r="H34" s="159" t="str">
        <f>IFERROR(INDEX(DATA_IMPORT!$B:$B, MATCH(G34, DATA_IMPORT!$A:$A, 0)), "")</f>
        <v/>
      </c>
      <c r="I34" s="159" t="str">
        <f>IFERROR(VLOOKUP($G34, 'DAY 1 SCORES'!$B:$K, 10, FALSE), "")</f>
        <v>///</v>
      </c>
      <c r="J34" s="159" t="str">
        <f>IF(G34="", "", IFERROR(INDEX('DAY 1 SCORES'!$H:$H, MATCH(G34, 'DAY 1 SCORES'!$B:$B, 0)), ""))</f>
        <v/>
      </c>
      <c r="K34" s="160">
        <v>32</v>
      </c>
      <c r="L34" s="201" t="str">
        <f>IFERROR(INDEX('DAY 1 SCORES'!$B:$B, MATCH("GREEN" &amp; $A34, 'DAY 1 SCORES'!$J:$J, 0)), "")</f>
        <v/>
      </c>
      <c r="M34" s="202" t="str">
        <f>IFERROR(INDEX(DATA_IMPORT!$B:$B, MATCH(L34, DATA_IMPORT!$A:$A, 0)), "")</f>
        <v/>
      </c>
      <c r="N34" s="202" t="str">
        <f>IFERROR(VLOOKUP($L34, 'DAY 1 SCORES'!$B:$K, 10, FALSE), "")</f>
        <v>///</v>
      </c>
      <c r="O34" s="203" t="str">
        <f>IF(L34="", "", IFERROR(INDEX('DAY 1 SCORES'!$H:$H, MATCH(L34, 'DAY 1 SCORES'!$B:$B, 0)), ""))</f>
        <v/>
      </c>
      <c r="P34" s="161">
        <v>32</v>
      </c>
      <c r="Q34" s="296" t="str">
        <f>IFERROR(INDEX('DAY 1 SCORES'!$B:$B, MATCH("BLUE" &amp; $A34, 'DAY 1 SCORES'!$J:$J, 0)), "")</f>
        <v/>
      </c>
      <c r="R34" s="162" t="str">
        <f>IFERROR(INDEX(DATA_IMPORT!$B:$B, MATCH(Q34, DATA_IMPORT!$A:$A, 0)), "")</f>
        <v/>
      </c>
      <c r="S34" s="162" t="str">
        <f>IFERROR(VLOOKUP($Q34, 'DAY 1 SCORES'!$B:$K, 10, FALSE), "")</f>
        <v>///</v>
      </c>
      <c r="T34" s="162" t="str">
        <f>IF(Q34="", "", IFERROR(INDEX('DAY 1 SCORES'!$H:$H, MATCH(Q34, 'DAY 1 SCORES'!$B:$B, 0)), ""))</f>
        <v/>
      </c>
    </row>
    <row r="35" spans="2:20" ht="27.75" hidden="1" customHeight="1">
      <c r="B35" s="154" t="str">
        <f>IFERROR(INDEX('DAY 1 SCORES'!$B:$B, MATCH("RED" &amp; $A35, 'DAY 1 SCORES'!$J:$J, 0)), "")</f>
        <v/>
      </c>
      <c r="C35" s="155" t="str">
        <f>IFERROR(INDEX(DATA_IMPORT!$B:$B, MATCH(B35, DATA_IMPORT!$A:$A, 0)), "")</f>
        <v/>
      </c>
      <c r="D35" s="155" t="str">
        <f>IFERROR(VLOOKUP($B35, 'DAY 1 SCORES'!$B:$K, 10, FALSE), "")</f>
        <v>///</v>
      </c>
      <c r="E35" s="156" t="str">
        <f>IF(B35="", "", IFERROR(INDEX('DAY 1 SCORES'!$H:$H, MATCH(B35, 'DAY 1 SCORES'!$B:$B, 0)), ""))</f>
        <v/>
      </c>
      <c r="F35" s="157">
        <v>33</v>
      </c>
      <c r="G35" s="158" t="str">
        <f>IFERROR(INDEX('DAY 1 SCORES'!$B:$B, MATCH("YELLOW" &amp; $A35, 'DAY 1 SCORES'!$J:$J, 0)), "")</f>
        <v/>
      </c>
      <c r="H35" s="159" t="str">
        <f>IFERROR(INDEX(DATA_IMPORT!$B:$B, MATCH(G35, DATA_IMPORT!$A:$A, 0)), "")</f>
        <v/>
      </c>
      <c r="I35" s="159" t="str">
        <f>IFERROR(VLOOKUP($G35, 'DAY 1 SCORES'!$B:$K, 10, FALSE), "")</f>
        <v>///</v>
      </c>
      <c r="J35" s="159" t="str">
        <f>IF(G35="", "", IFERROR(INDEX('DAY 1 SCORES'!$H:$H, MATCH(G35, 'DAY 1 SCORES'!$B:$B, 0)), ""))</f>
        <v/>
      </c>
      <c r="K35" s="160">
        <v>33</v>
      </c>
      <c r="L35" s="201" t="str">
        <f>IFERROR(INDEX('DAY 1 SCORES'!$B:$B, MATCH("GREEN" &amp; $A35, 'DAY 1 SCORES'!$J:$J, 0)), "")</f>
        <v/>
      </c>
      <c r="M35" s="202" t="str">
        <f>IFERROR(INDEX(DATA_IMPORT!$B:$B, MATCH(L35, DATA_IMPORT!$A:$A, 0)), "")</f>
        <v/>
      </c>
      <c r="N35" s="202" t="str">
        <f>IFERROR(VLOOKUP($L35, 'DAY 1 SCORES'!$B:$K, 10, FALSE), "")</f>
        <v>///</v>
      </c>
      <c r="O35" s="203" t="str">
        <f>IF(L35="", "", IFERROR(INDEX('DAY 1 SCORES'!$H:$H, MATCH(L35, 'DAY 1 SCORES'!$B:$B, 0)), ""))</f>
        <v/>
      </c>
      <c r="P35" s="161">
        <v>33</v>
      </c>
      <c r="Q35" s="296" t="str">
        <f>IFERROR(INDEX('DAY 1 SCORES'!$B:$B, MATCH("BLUE" &amp; $A35, 'DAY 1 SCORES'!$J:$J, 0)), "")</f>
        <v/>
      </c>
      <c r="R35" s="162" t="str">
        <f>IFERROR(INDEX(DATA_IMPORT!$B:$B, MATCH(Q35, DATA_IMPORT!$A:$A, 0)), "")</f>
        <v/>
      </c>
      <c r="S35" s="162" t="str">
        <f>IFERROR(VLOOKUP($Q35, 'DAY 1 SCORES'!$B:$K, 10, FALSE), "")</f>
        <v>///</v>
      </c>
      <c r="T35" s="162" t="str">
        <f>IF(Q35="", "", IFERROR(INDEX('DAY 1 SCORES'!$H:$H, MATCH(Q35, 'DAY 1 SCORES'!$B:$B, 0)), ""))</f>
        <v/>
      </c>
    </row>
    <row r="36" spans="2:20" ht="27.75" hidden="1" customHeight="1">
      <c r="B36" s="154" t="str">
        <f>IFERROR(INDEX('DAY 1 SCORES'!$B:$B, MATCH("RED" &amp; $A36, 'DAY 1 SCORES'!$J:$J, 0)), "")</f>
        <v/>
      </c>
      <c r="C36" s="155" t="str">
        <f>IFERROR(INDEX(DATA_IMPORT!$B:$B, MATCH(B36, DATA_IMPORT!$A:$A, 0)), "")</f>
        <v/>
      </c>
      <c r="D36" s="155" t="str">
        <f>IFERROR(VLOOKUP($B36, 'DAY 1 SCORES'!$B:$K, 10, FALSE), "")</f>
        <v>///</v>
      </c>
      <c r="E36" s="156" t="str">
        <f>IF(B36="", "", IFERROR(INDEX('DAY 1 SCORES'!$H:$H, MATCH(B36, 'DAY 1 SCORES'!$B:$B, 0)), ""))</f>
        <v/>
      </c>
      <c r="F36" s="157">
        <v>34</v>
      </c>
      <c r="G36" s="158" t="str">
        <f>IFERROR(INDEX('DAY 1 SCORES'!$B:$B, MATCH("YELLOW" &amp; $A36, 'DAY 1 SCORES'!$J:$J, 0)), "")</f>
        <v/>
      </c>
      <c r="H36" s="159" t="str">
        <f>IFERROR(INDEX(DATA_IMPORT!$B:$B, MATCH(G36, DATA_IMPORT!$A:$A, 0)), "")</f>
        <v/>
      </c>
      <c r="I36" s="159" t="str">
        <f>IFERROR(VLOOKUP($G36, 'DAY 1 SCORES'!$B:$K, 10, FALSE), "")</f>
        <v>///</v>
      </c>
      <c r="J36" s="159" t="str">
        <f>IF(G36="", "", IFERROR(INDEX('DAY 1 SCORES'!$H:$H, MATCH(G36, 'DAY 1 SCORES'!$B:$B, 0)), ""))</f>
        <v/>
      </c>
      <c r="K36" s="160">
        <v>34</v>
      </c>
      <c r="L36" s="201" t="str">
        <f>IFERROR(INDEX('DAY 1 SCORES'!$B:$B, MATCH("GREEN" &amp; $A36, 'DAY 1 SCORES'!$J:$J, 0)), "")</f>
        <v/>
      </c>
      <c r="M36" s="202" t="str">
        <f>IFERROR(INDEX(DATA_IMPORT!$B:$B, MATCH(L36, DATA_IMPORT!$A:$A, 0)), "")</f>
        <v/>
      </c>
      <c r="N36" s="202" t="str">
        <f>IFERROR(VLOOKUP($L36, 'DAY 1 SCORES'!$B:$K, 10, FALSE), "")</f>
        <v>///</v>
      </c>
      <c r="O36" s="203" t="str">
        <f>IF(L36="", "", IFERROR(INDEX('DAY 1 SCORES'!$H:$H, MATCH(L36, 'DAY 1 SCORES'!$B:$B, 0)), ""))</f>
        <v/>
      </c>
      <c r="P36" s="161">
        <v>34</v>
      </c>
      <c r="Q36" s="296" t="str">
        <f>IFERROR(INDEX('DAY 1 SCORES'!$B:$B, MATCH("BLUE" &amp; $A36, 'DAY 1 SCORES'!$J:$J, 0)), "")</f>
        <v/>
      </c>
      <c r="R36" s="162" t="str">
        <f>IFERROR(INDEX(DATA_IMPORT!$B:$B, MATCH(Q36, DATA_IMPORT!$A:$A, 0)), "")</f>
        <v/>
      </c>
      <c r="S36" s="162" t="str">
        <f>IFERROR(VLOOKUP($Q36, 'DAY 1 SCORES'!$B:$K, 10, FALSE), "")</f>
        <v>///</v>
      </c>
      <c r="T36" s="162" t="str">
        <f>IF(Q36="", "", IFERROR(INDEX('DAY 1 SCORES'!$H:$H, MATCH(Q36, 'DAY 1 SCORES'!$B:$B, 0)), ""))</f>
        <v/>
      </c>
    </row>
    <row r="37" spans="2:20" ht="27.75" hidden="1" customHeight="1">
      <c r="B37" s="154" t="str">
        <f>IFERROR(INDEX('DAY 1 SCORES'!$B:$B, MATCH("RED" &amp; $A37, 'DAY 1 SCORES'!$J:$J, 0)), "")</f>
        <v/>
      </c>
      <c r="C37" s="155" t="str">
        <f>IFERROR(INDEX(DATA_IMPORT!$B:$B, MATCH(B37, DATA_IMPORT!$A:$A, 0)), "")</f>
        <v/>
      </c>
      <c r="D37" s="155" t="str">
        <f>IFERROR(VLOOKUP($B37, 'DAY 1 SCORES'!$B:$K, 10, FALSE), "")</f>
        <v>///</v>
      </c>
      <c r="E37" s="156" t="str">
        <f>IF(B37="", "", IFERROR(INDEX('DAY 1 SCORES'!$H:$H, MATCH(B37, 'DAY 1 SCORES'!$B:$B, 0)), ""))</f>
        <v/>
      </c>
      <c r="F37" s="157">
        <v>35</v>
      </c>
      <c r="G37" s="158" t="str">
        <f>IFERROR(INDEX('DAY 1 SCORES'!$B:$B, MATCH("YELLOW" &amp; $A37, 'DAY 1 SCORES'!$J:$J, 0)), "")</f>
        <v/>
      </c>
      <c r="H37" s="159" t="str">
        <f>IFERROR(INDEX(DATA_IMPORT!$B:$B, MATCH(G37, DATA_IMPORT!$A:$A, 0)), "")</f>
        <v/>
      </c>
      <c r="I37" s="159" t="str">
        <f>IFERROR(VLOOKUP($G37, 'DAY 1 SCORES'!$B:$K, 10, FALSE), "")</f>
        <v>///</v>
      </c>
      <c r="J37" s="159" t="str">
        <f>IF(G37="", "", IFERROR(INDEX('DAY 1 SCORES'!$H:$H, MATCH(G37, 'DAY 1 SCORES'!$B:$B, 0)), ""))</f>
        <v/>
      </c>
      <c r="K37" s="160">
        <v>35</v>
      </c>
      <c r="L37" s="201" t="str">
        <f>IFERROR(INDEX('DAY 1 SCORES'!$B:$B, MATCH("GREEN" &amp; $A37, 'DAY 1 SCORES'!$J:$J, 0)), "")</f>
        <v/>
      </c>
      <c r="M37" s="202" t="str">
        <f>IFERROR(INDEX(DATA_IMPORT!$B:$B, MATCH(L37, DATA_IMPORT!$A:$A, 0)), "")</f>
        <v/>
      </c>
      <c r="N37" s="202" t="str">
        <f>IFERROR(VLOOKUP($L37, 'DAY 1 SCORES'!$B:$K, 10, FALSE), "")</f>
        <v>///</v>
      </c>
      <c r="O37" s="203" t="str">
        <f>IF(L37="", "", IFERROR(INDEX('DAY 1 SCORES'!$H:$H, MATCH(L37, 'DAY 1 SCORES'!$B:$B, 0)), ""))</f>
        <v/>
      </c>
      <c r="P37" s="161">
        <v>35</v>
      </c>
      <c r="Q37" s="296" t="str">
        <f>IFERROR(INDEX('DAY 1 SCORES'!$B:$B, MATCH("BLUE" &amp; $A37, 'DAY 1 SCORES'!$J:$J, 0)), "")</f>
        <v/>
      </c>
      <c r="R37" s="162" t="str">
        <f>IFERROR(INDEX(DATA_IMPORT!$B:$B, MATCH(Q37, DATA_IMPORT!$A:$A, 0)), "")</f>
        <v/>
      </c>
      <c r="S37" s="162" t="str">
        <f>IFERROR(VLOOKUP($Q37, 'DAY 1 SCORES'!$B:$K, 10, FALSE), "")</f>
        <v>///</v>
      </c>
      <c r="T37" s="162" t="str">
        <f>IF(Q37="", "", IFERROR(INDEX('DAY 1 SCORES'!$H:$H, MATCH(Q37, 'DAY 1 SCORES'!$B:$B, 0)), ""))</f>
        <v/>
      </c>
    </row>
    <row r="38" spans="2:20" ht="27.75" hidden="1" customHeight="1">
      <c r="B38" s="154" t="str">
        <f>IFERROR(INDEX('DAY 1 SCORES'!$B:$B, MATCH("RED" &amp; $A38, 'DAY 1 SCORES'!$J:$J, 0)), "")</f>
        <v/>
      </c>
      <c r="C38" s="155" t="str">
        <f>IFERROR(INDEX(DATA_IMPORT!$B:$B, MATCH(B38, DATA_IMPORT!$A:$A, 0)), "")</f>
        <v/>
      </c>
      <c r="D38" s="155" t="str">
        <f>IFERROR(VLOOKUP($B38, 'DAY 1 SCORES'!$B:$K, 10, FALSE), "")</f>
        <v>///</v>
      </c>
      <c r="E38" s="156" t="str">
        <f>IF(B38="", "", IFERROR(INDEX('DAY 1 SCORES'!$H:$H, MATCH(B38, 'DAY 1 SCORES'!$B:$B, 0)), ""))</f>
        <v/>
      </c>
      <c r="F38" s="157">
        <v>36</v>
      </c>
      <c r="G38" s="158" t="str">
        <f>IFERROR(INDEX('DAY 1 SCORES'!$B:$B, MATCH("YELLOW" &amp; $A38, 'DAY 1 SCORES'!$J:$J, 0)), "")</f>
        <v/>
      </c>
      <c r="H38" s="159" t="str">
        <f>IFERROR(INDEX(DATA_IMPORT!$B:$B, MATCH(G38, DATA_IMPORT!$A:$A, 0)), "")</f>
        <v/>
      </c>
      <c r="I38" s="159" t="str">
        <f>IFERROR(VLOOKUP($G38, 'DAY 1 SCORES'!$B:$K, 10, FALSE), "")</f>
        <v>///</v>
      </c>
      <c r="J38" s="159" t="str">
        <f>IF(G38="", "", IFERROR(INDEX('DAY 1 SCORES'!$H:$H, MATCH(G38, 'DAY 1 SCORES'!$B:$B, 0)), ""))</f>
        <v/>
      </c>
      <c r="K38" s="160">
        <v>36</v>
      </c>
      <c r="L38" s="201" t="str">
        <f>IFERROR(INDEX('DAY 1 SCORES'!$B:$B, MATCH("GREEN" &amp; $A38, 'DAY 1 SCORES'!$J:$J, 0)), "")</f>
        <v/>
      </c>
      <c r="M38" s="202" t="str">
        <f>IFERROR(INDEX(DATA_IMPORT!$B:$B, MATCH(L38, DATA_IMPORT!$A:$A, 0)), "")</f>
        <v/>
      </c>
      <c r="N38" s="202" t="str">
        <f>IFERROR(VLOOKUP($L38, 'DAY 1 SCORES'!$B:$K, 10, FALSE), "")</f>
        <v>///</v>
      </c>
      <c r="O38" s="203" t="str">
        <f>IF(L38="", "", IFERROR(INDEX('DAY 1 SCORES'!$H:$H, MATCH(L38, 'DAY 1 SCORES'!$B:$B, 0)), ""))</f>
        <v/>
      </c>
      <c r="P38" s="161">
        <v>36</v>
      </c>
      <c r="Q38" s="296" t="str">
        <f>IFERROR(INDEX('DAY 1 SCORES'!$B:$B, MATCH("BLUE" &amp; $A38, 'DAY 1 SCORES'!$J:$J, 0)), "")</f>
        <v/>
      </c>
      <c r="R38" s="162" t="str">
        <f>IFERROR(INDEX(DATA_IMPORT!$B:$B, MATCH(Q38, DATA_IMPORT!$A:$A, 0)), "")</f>
        <v/>
      </c>
      <c r="S38" s="162" t="str">
        <f>IFERROR(VLOOKUP($Q38, 'DAY 1 SCORES'!$B:$K, 10, FALSE), "")</f>
        <v>///</v>
      </c>
      <c r="T38" s="162" t="str">
        <f>IF(Q38="", "", IFERROR(INDEX('DAY 1 SCORES'!$H:$H, MATCH(Q38, 'DAY 1 SCORES'!$B:$B, 0)), ""))</f>
        <v/>
      </c>
    </row>
    <row r="39" spans="2:20" ht="27.75" hidden="1" customHeight="1">
      <c r="B39" s="154" t="str">
        <f>IFERROR(INDEX('DAY 1 SCORES'!$B:$B, MATCH("RED" &amp; $A39, 'DAY 1 SCORES'!$J:$J, 0)), "")</f>
        <v/>
      </c>
      <c r="C39" s="155" t="str">
        <f>IFERROR(INDEX(DATA_IMPORT!$B:$B, MATCH(B39, DATA_IMPORT!$A:$A, 0)), "")</f>
        <v/>
      </c>
      <c r="D39" s="155" t="str">
        <f>IFERROR(VLOOKUP($B39, 'DAY 1 SCORES'!$B:$K, 10, FALSE), "")</f>
        <v>///</v>
      </c>
      <c r="E39" s="156" t="str">
        <f>IF(B39="", "", IFERROR(INDEX('DAY 1 SCORES'!$H:$H, MATCH(B39, 'DAY 1 SCORES'!$B:$B, 0)), ""))</f>
        <v/>
      </c>
      <c r="F39" s="157">
        <v>37</v>
      </c>
      <c r="G39" s="158" t="str">
        <f>IFERROR(INDEX('DAY 1 SCORES'!$B:$B, MATCH("YELLOW" &amp; $A39, 'DAY 1 SCORES'!$J:$J, 0)), "")</f>
        <v/>
      </c>
      <c r="H39" s="159" t="str">
        <f>IFERROR(INDEX(DATA_IMPORT!$B:$B, MATCH(G39, DATA_IMPORT!$A:$A, 0)), "")</f>
        <v/>
      </c>
      <c r="I39" s="159" t="str">
        <f>IFERROR(VLOOKUP($G39, 'DAY 1 SCORES'!$B:$K, 10, FALSE), "")</f>
        <v>///</v>
      </c>
      <c r="J39" s="159" t="str">
        <f>IF(G39="", "", IFERROR(INDEX('DAY 1 SCORES'!$H:$H, MATCH(G39, 'DAY 1 SCORES'!$B:$B, 0)), ""))</f>
        <v/>
      </c>
      <c r="K39" s="160">
        <v>37</v>
      </c>
      <c r="L39" s="201" t="str">
        <f>IFERROR(INDEX('DAY 1 SCORES'!$B:$B, MATCH("GREEN" &amp; $A39, 'DAY 1 SCORES'!$J:$J, 0)), "")</f>
        <v/>
      </c>
      <c r="M39" s="202" t="str">
        <f>IFERROR(INDEX(DATA_IMPORT!$B:$B, MATCH(L39, DATA_IMPORT!$A:$A, 0)), "")</f>
        <v/>
      </c>
      <c r="N39" s="202" t="str">
        <f>IFERROR(VLOOKUP($L39, 'DAY 1 SCORES'!$B:$K, 10, FALSE), "")</f>
        <v>///</v>
      </c>
      <c r="O39" s="203" t="str">
        <f>IF(L39="", "", IFERROR(INDEX('DAY 1 SCORES'!$H:$H, MATCH(L39, 'DAY 1 SCORES'!$B:$B, 0)), ""))</f>
        <v/>
      </c>
      <c r="P39" s="161">
        <v>37</v>
      </c>
      <c r="Q39" s="296" t="str">
        <f>IFERROR(INDEX('DAY 1 SCORES'!$B:$B, MATCH("BLUE" &amp; $A39, 'DAY 1 SCORES'!$J:$J, 0)), "")</f>
        <v/>
      </c>
      <c r="R39" s="162" t="str">
        <f>IFERROR(INDEX(DATA_IMPORT!$B:$B, MATCH(Q39, DATA_IMPORT!$A:$A, 0)), "")</f>
        <v/>
      </c>
      <c r="S39" s="162" t="str">
        <f>IFERROR(VLOOKUP($Q39, 'DAY 1 SCORES'!$B:$K, 10, FALSE), "")</f>
        <v>///</v>
      </c>
      <c r="T39" s="162" t="str">
        <f>IF(Q39="", "", IFERROR(INDEX('DAY 1 SCORES'!$H:$H, MATCH(Q39, 'DAY 1 SCORES'!$B:$B, 0)), ""))</f>
        <v/>
      </c>
    </row>
    <row r="40" spans="2:20" ht="27.75" hidden="1" customHeight="1">
      <c r="B40" s="154" t="str">
        <f>IFERROR(INDEX('DAY 1 SCORES'!$B:$B, MATCH("RED" &amp; $A40, 'DAY 1 SCORES'!$J:$J, 0)), "")</f>
        <v/>
      </c>
      <c r="C40" s="155" t="str">
        <f>IFERROR(INDEX(DATA_IMPORT!$B:$B, MATCH(B40, DATA_IMPORT!$A:$A, 0)), "")</f>
        <v/>
      </c>
      <c r="D40" s="155" t="str">
        <f>IFERROR(VLOOKUP($B40, 'DAY 1 SCORES'!$B:$K, 10, FALSE), "")</f>
        <v>///</v>
      </c>
      <c r="E40" s="156" t="str">
        <f>IF(B40="", "", IFERROR(INDEX('DAY 1 SCORES'!$H:$H, MATCH(B40, 'DAY 1 SCORES'!$B:$B, 0)), ""))</f>
        <v/>
      </c>
      <c r="F40" s="157">
        <v>38</v>
      </c>
      <c r="G40" s="158" t="str">
        <f>IFERROR(INDEX('DAY 1 SCORES'!$B:$B, MATCH("YELLOW" &amp; $A40, 'DAY 1 SCORES'!$J:$J, 0)), "")</f>
        <v/>
      </c>
      <c r="H40" s="159" t="str">
        <f>IFERROR(INDEX(DATA_IMPORT!$B:$B, MATCH(G40, DATA_IMPORT!$A:$A, 0)), "")</f>
        <v/>
      </c>
      <c r="I40" s="159" t="str">
        <f>IFERROR(VLOOKUP($G40, 'DAY 1 SCORES'!$B:$K, 10, FALSE), "")</f>
        <v>///</v>
      </c>
      <c r="J40" s="159" t="str">
        <f>IF(G40="", "", IFERROR(INDEX('DAY 1 SCORES'!$H:$H, MATCH(G40, 'DAY 1 SCORES'!$B:$B, 0)), ""))</f>
        <v/>
      </c>
      <c r="K40" s="160">
        <v>38</v>
      </c>
      <c r="L40" s="201" t="str">
        <f>IFERROR(INDEX('DAY 1 SCORES'!$B:$B, MATCH("GREEN" &amp; $A40, 'DAY 1 SCORES'!$J:$J, 0)), "")</f>
        <v/>
      </c>
      <c r="M40" s="202" t="str">
        <f>IFERROR(INDEX(DATA_IMPORT!$B:$B, MATCH(L40, DATA_IMPORT!$A:$A, 0)), "")</f>
        <v/>
      </c>
      <c r="N40" s="202" t="str">
        <f>IFERROR(VLOOKUP($L40, 'DAY 1 SCORES'!$B:$K, 10, FALSE), "")</f>
        <v>///</v>
      </c>
      <c r="O40" s="203" t="str">
        <f>IF(L40="", "", IFERROR(INDEX('DAY 1 SCORES'!$H:$H, MATCH(L40, 'DAY 1 SCORES'!$B:$B, 0)), ""))</f>
        <v/>
      </c>
      <c r="P40" s="161">
        <v>38</v>
      </c>
      <c r="Q40" s="296" t="str">
        <f>IFERROR(INDEX('DAY 1 SCORES'!$B:$B, MATCH("BLUE" &amp; $A40, 'DAY 1 SCORES'!$J:$J, 0)), "")</f>
        <v/>
      </c>
      <c r="R40" s="162" t="str">
        <f>IFERROR(INDEX(DATA_IMPORT!$B:$B, MATCH(Q40, DATA_IMPORT!$A:$A, 0)), "")</f>
        <v/>
      </c>
      <c r="S40" s="162" t="str">
        <f>IFERROR(VLOOKUP($Q40, 'DAY 1 SCORES'!$B:$K, 10, FALSE), "")</f>
        <v>///</v>
      </c>
      <c r="T40" s="162" t="str">
        <f>IF(Q40="", "", IFERROR(INDEX('DAY 1 SCORES'!$H:$H, MATCH(Q40, 'DAY 1 SCORES'!$B:$B, 0)), ""))</f>
        <v/>
      </c>
    </row>
    <row r="41" spans="2:20" ht="27.75" hidden="1" customHeight="1">
      <c r="B41" s="154" t="str">
        <f>IFERROR(INDEX('DAY 1 SCORES'!$B:$B, MATCH("RED" &amp; $A41, 'DAY 1 SCORES'!$J:$J, 0)), "")</f>
        <v/>
      </c>
      <c r="C41" s="155" t="str">
        <f>IFERROR(INDEX(DATA_IMPORT!$B:$B, MATCH(B41, DATA_IMPORT!$A:$A, 0)), "")</f>
        <v/>
      </c>
      <c r="D41" s="155" t="str">
        <f>IFERROR(VLOOKUP($B41, 'DAY 1 SCORES'!$B:$K, 10, FALSE), "")</f>
        <v>///</v>
      </c>
      <c r="E41" s="156" t="str">
        <f>IF(B41="", "", IFERROR(INDEX('DAY 1 SCORES'!$H:$H, MATCH(B41, 'DAY 1 SCORES'!$B:$B, 0)), ""))</f>
        <v/>
      </c>
      <c r="F41" s="157">
        <v>39</v>
      </c>
      <c r="G41" s="158" t="str">
        <f>IFERROR(INDEX('DAY 1 SCORES'!$B:$B, MATCH("YELLOW" &amp; $A41, 'DAY 1 SCORES'!$J:$J, 0)), "")</f>
        <v/>
      </c>
      <c r="H41" s="159" t="str">
        <f>IFERROR(INDEX(DATA_IMPORT!$B:$B, MATCH(G41, DATA_IMPORT!$A:$A, 0)), "")</f>
        <v/>
      </c>
      <c r="I41" s="159" t="str">
        <f>IFERROR(VLOOKUP($G41, 'DAY 1 SCORES'!$B:$K, 10, FALSE), "")</f>
        <v>///</v>
      </c>
      <c r="J41" s="159" t="str">
        <f>IF(G41="", "", IFERROR(INDEX('DAY 1 SCORES'!$H:$H, MATCH(G41, 'DAY 1 SCORES'!$B:$B, 0)), ""))</f>
        <v/>
      </c>
      <c r="K41" s="160">
        <v>39</v>
      </c>
      <c r="L41" s="201" t="str">
        <f>IFERROR(INDEX('DAY 1 SCORES'!$B:$B, MATCH("GREEN" &amp; $A41, 'DAY 1 SCORES'!$J:$J, 0)), "")</f>
        <v/>
      </c>
      <c r="M41" s="202" t="str">
        <f>IFERROR(INDEX(DATA_IMPORT!$B:$B, MATCH(L41, DATA_IMPORT!$A:$A, 0)), "")</f>
        <v/>
      </c>
      <c r="N41" s="202" t="str">
        <f>IFERROR(VLOOKUP($L41, 'DAY 1 SCORES'!$B:$K, 10, FALSE), "")</f>
        <v>///</v>
      </c>
      <c r="O41" s="203" t="str">
        <f>IF(L41="", "", IFERROR(INDEX('DAY 1 SCORES'!$H:$H, MATCH(L41, 'DAY 1 SCORES'!$B:$B, 0)), ""))</f>
        <v/>
      </c>
      <c r="P41" s="161">
        <v>39</v>
      </c>
      <c r="Q41" s="296" t="str">
        <f>IFERROR(INDEX('DAY 1 SCORES'!$B:$B, MATCH("BLUE" &amp; $A41, 'DAY 1 SCORES'!$J:$J, 0)), "")</f>
        <v/>
      </c>
      <c r="R41" s="162" t="str">
        <f>IFERROR(INDEX(DATA_IMPORT!$B:$B, MATCH(Q41, DATA_IMPORT!$A:$A, 0)), "")</f>
        <v/>
      </c>
      <c r="S41" s="162" t="str">
        <f>IFERROR(VLOOKUP($Q41, 'DAY 1 SCORES'!$B:$K, 10, FALSE), "")</f>
        <v>///</v>
      </c>
      <c r="T41" s="162" t="str">
        <f>IF(Q41="", "", IFERROR(INDEX('DAY 1 SCORES'!$H:$H, MATCH(Q41, 'DAY 1 SCORES'!$B:$B, 0)), ""))</f>
        <v/>
      </c>
    </row>
    <row r="42" spans="2:20" ht="27.75" hidden="1" customHeight="1">
      <c r="B42" s="154" t="str">
        <f>IFERROR(INDEX('DAY 1 SCORES'!$B:$B, MATCH("RED" &amp; $A42, 'DAY 1 SCORES'!$J:$J, 0)), "")</f>
        <v/>
      </c>
      <c r="C42" s="155" t="str">
        <f>IFERROR(INDEX(DATA_IMPORT!$B:$B, MATCH(B42, DATA_IMPORT!$A:$A, 0)), "")</f>
        <v/>
      </c>
      <c r="D42" s="155" t="str">
        <f>IFERROR(VLOOKUP($B42, 'DAY 1 SCORES'!$B:$K, 10, FALSE), "")</f>
        <v>///</v>
      </c>
      <c r="E42" s="156" t="str">
        <f>IF(B42="", "", IFERROR(INDEX('DAY 1 SCORES'!$H:$H, MATCH(B42, 'DAY 1 SCORES'!$B:$B, 0)), ""))</f>
        <v/>
      </c>
      <c r="F42" s="157">
        <v>40</v>
      </c>
      <c r="G42" s="158" t="str">
        <f>IFERROR(INDEX('DAY 1 SCORES'!$B:$B, MATCH("YELLOW" &amp; $A42, 'DAY 1 SCORES'!$J:$J, 0)), "")</f>
        <v/>
      </c>
      <c r="H42" s="159" t="str">
        <f>IFERROR(INDEX(DATA_IMPORT!$B:$B, MATCH(G42, DATA_IMPORT!$A:$A, 0)), "")</f>
        <v/>
      </c>
      <c r="I42" s="159" t="str">
        <f>IFERROR(VLOOKUP($G42, 'DAY 1 SCORES'!$B:$K, 10, FALSE), "")</f>
        <v>///</v>
      </c>
      <c r="J42" s="159" t="str">
        <f>IF(G42="", "", IFERROR(INDEX('DAY 1 SCORES'!$H:$H, MATCH(G42, 'DAY 1 SCORES'!$B:$B, 0)), ""))</f>
        <v/>
      </c>
      <c r="K42" s="160">
        <v>40</v>
      </c>
      <c r="L42" s="201" t="str">
        <f>IFERROR(INDEX('DAY 1 SCORES'!$B:$B, MATCH("GREEN" &amp; $A42, 'DAY 1 SCORES'!$J:$J, 0)), "")</f>
        <v/>
      </c>
      <c r="M42" s="202" t="str">
        <f>IFERROR(INDEX(DATA_IMPORT!$B:$B, MATCH(L42, DATA_IMPORT!$A:$A, 0)), "")</f>
        <v/>
      </c>
      <c r="N42" s="202" t="str">
        <f>IFERROR(VLOOKUP($L42, 'DAY 1 SCORES'!$B:$K, 10, FALSE), "")</f>
        <v>///</v>
      </c>
      <c r="O42" s="203" t="str">
        <f>IF(L42="", "", IFERROR(INDEX('DAY 1 SCORES'!$H:$H, MATCH(L42, 'DAY 1 SCORES'!$B:$B, 0)), ""))</f>
        <v/>
      </c>
      <c r="P42" s="161">
        <v>40</v>
      </c>
      <c r="Q42" s="296" t="str">
        <f>IFERROR(INDEX('DAY 1 SCORES'!$B:$B, MATCH("BLUE" &amp; $A42, 'DAY 1 SCORES'!$J:$J, 0)), "")</f>
        <v/>
      </c>
      <c r="R42" s="162" t="str">
        <f>IFERROR(INDEX(DATA_IMPORT!$B:$B, MATCH(Q42, DATA_IMPORT!$A:$A, 0)), "")</f>
        <v/>
      </c>
      <c r="S42" s="162" t="str">
        <f>IFERROR(VLOOKUP($Q42, 'DAY 1 SCORES'!$B:$K, 10, FALSE), "")</f>
        <v>///</v>
      </c>
      <c r="T42" s="162" t="str">
        <f>IF(Q42="", "", IFERROR(INDEX('DAY 1 SCORES'!$H:$H, MATCH(Q42, 'DAY 1 SCORES'!$B:$B, 0)), ""))</f>
        <v/>
      </c>
    </row>
    <row r="43" spans="2:20" ht="27.75" hidden="1" customHeight="1">
      <c r="B43" s="154" t="str">
        <f>IFERROR(INDEX('DAY 1 SCORES'!$B:$B, MATCH("RED" &amp; $A43, 'DAY 1 SCORES'!$J:$J, 0)), "")</f>
        <v/>
      </c>
      <c r="C43" s="155" t="str">
        <f>IFERROR(INDEX(DATA_IMPORT!$B:$B, MATCH(B43, DATA_IMPORT!$A:$A, 0)), "")</f>
        <v/>
      </c>
      <c r="D43" s="155" t="str">
        <f>IFERROR(VLOOKUP($B43, 'DAY 1 SCORES'!$B:$K, 10, FALSE), "")</f>
        <v>///</v>
      </c>
      <c r="E43" s="156" t="str">
        <f>IF(B43="", "", IFERROR(INDEX('DAY 1 SCORES'!$H:$H, MATCH(B43, 'DAY 1 SCORES'!$B:$B, 0)), ""))</f>
        <v/>
      </c>
      <c r="F43" s="157">
        <v>41</v>
      </c>
      <c r="G43" s="158" t="str">
        <f>IFERROR(INDEX('DAY 1 SCORES'!$B:$B, MATCH("YELLOW" &amp; $A43, 'DAY 1 SCORES'!$J:$J, 0)), "")</f>
        <v/>
      </c>
      <c r="H43" s="159" t="str">
        <f>IFERROR(INDEX(DATA_IMPORT!$B:$B, MATCH(G43, DATA_IMPORT!$A:$A, 0)), "")</f>
        <v/>
      </c>
      <c r="I43" s="159" t="str">
        <f>IFERROR(VLOOKUP($G43, 'DAY 1 SCORES'!$B:$K, 10, FALSE), "")</f>
        <v>///</v>
      </c>
      <c r="J43" s="159" t="str">
        <f>IF(G43="", "", IFERROR(INDEX('DAY 1 SCORES'!$H:$H, MATCH(G43, 'DAY 1 SCORES'!$B:$B, 0)), ""))</f>
        <v/>
      </c>
      <c r="K43" s="160">
        <v>41</v>
      </c>
      <c r="L43" s="201" t="str">
        <f>IFERROR(INDEX('DAY 1 SCORES'!$B:$B, MATCH("GREEN" &amp; $A43, 'DAY 1 SCORES'!$J:$J, 0)), "")</f>
        <v/>
      </c>
      <c r="M43" s="202" t="str">
        <f>IFERROR(INDEX(DATA_IMPORT!$B:$B, MATCH(L43, DATA_IMPORT!$A:$A, 0)), "")</f>
        <v/>
      </c>
      <c r="N43" s="202" t="str">
        <f>IFERROR(VLOOKUP($L43, 'DAY 1 SCORES'!$B:$K, 10, FALSE), "")</f>
        <v>///</v>
      </c>
      <c r="O43" s="203" t="str">
        <f>IF(L43="", "", IFERROR(INDEX('DAY 1 SCORES'!$H:$H, MATCH(L43, 'DAY 1 SCORES'!$B:$B, 0)), ""))</f>
        <v/>
      </c>
      <c r="P43" s="161">
        <v>41</v>
      </c>
      <c r="Q43" s="296" t="str">
        <f>IFERROR(INDEX('DAY 1 SCORES'!$B:$B, MATCH("BLUE" &amp; $A43, 'DAY 1 SCORES'!$J:$J, 0)), "")</f>
        <v/>
      </c>
      <c r="R43" s="162" t="str">
        <f>IFERROR(INDEX(DATA_IMPORT!$B:$B, MATCH(Q43, DATA_IMPORT!$A:$A, 0)), "")</f>
        <v/>
      </c>
      <c r="S43" s="162" t="str">
        <f>IFERROR(VLOOKUP($Q43, 'DAY 1 SCORES'!$B:$K, 10, FALSE), "")</f>
        <v>///</v>
      </c>
      <c r="T43" s="162" t="str">
        <f>IF(Q43="", "", IFERROR(INDEX('DAY 1 SCORES'!$H:$H, MATCH(Q43, 'DAY 1 SCORES'!$B:$B, 0)), ""))</f>
        <v/>
      </c>
    </row>
    <row r="44" spans="2:20" ht="27.75" hidden="1" customHeight="1">
      <c r="B44" s="154" t="str">
        <f>IFERROR(INDEX('DAY 1 SCORES'!$B:$B, MATCH("RED" &amp; $A44, 'DAY 1 SCORES'!$J:$J, 0)), "")</f>
        <v/>
      </c>
      <c r="C44" s="155" t="str">
        <f>IFERROR(INDEX(DATA_IMPORT!$B:$B, MATCH(B44, DATA_IMPORT!$A:$A, 0)), "")</f>
        <v/>
      </c>
      <c r="D44" s="155" t="str">
        <f>IFERROR(VLOOKUP($B44, 'DAY 1 SCORES'!$B:$K, 10, FALSE), "")</f>
        <v>///</v>
      </c>
      <c r="E44" s="156" t="str">
        <f>IF(B44="", "", IFERROR(INDEX('DAY 1 SCORES'!$H:$H, MATCH(B44, 'DAY 1 SCORES'!$B:$B, 0)), ""))</f>
        <v/>
      </c>
      <c r="F44" s="157">
        <v>42</v>
      </c>
      <c r="G44" s="158" t="str">
        <f>IFERROR(INDEX('DAY 1 SCORES'!$B:$B, MATCH("YELLOW" &amp; $A44, 'DAY 1 SCORES'!$J:$J, 0)), "")</f>
        <v/>
      </c>
      <c r="H44" s="159" t="str">
        <f>IFERROR(INDEX(DATA_IMPORT!$B:$B, MATCH(G44, DATA_IMPORT!$A:$A, 0)), "")</f>
        <v/>
      </c>
      <c r="I44" s="159" t="str">
        <f>IFERROR(VLOOKUP($G44, 'DAY 1 SCORES'!$B:$K, 10, FALSE), "")</f>
        <v>///</v>
      </c>
      <c r="J44" s="159" t="str">
        <f>IF(G44="", "", IFERROR(INDEX('DAY 1 SCORES'!$H:$H, MATCH(G44, 'DAY 1 SCORES'!$B:$B, 0)), ""))</f>
        <v/>
      </c>
      <c r="K44" s="160">
        <v>42</v>
      </c>
      <c r="L44" s="201" t="str">
        <f>IFERROR(INDEX('DAY 1 SCORES'!$B:$B, MATCH("GREEN" &amp; $A44, 'DAY 1 SCORES'!$J:$J, 0)), "")</f>
        <v/>
      </c>
      <c r="M44" s="202" t="str">
        <f>IFERROR(INDEX(DATA_IMPORT!$B:$B, MATCH(L44, DATA_IMPORT!$A:$A, 0)), "")</f>
        <v/>
      </c>
      <c r="N44" s="202" t="str">
        <f>IFERROR(VLOOKUP($L44, 'DAY 1 SCORES'!$B:$K, 10, FALSE), "")</f>
        <v>///</v>
      </c>
      <c r="O44" s="203" t="str">
        <f>IF(L44="", "", IFERROR(INDEX('DAY 1 SCORES'!$H:$H, MATCH(L44, 'DAY 1 SCORES'!$B:$B, 0)), ""))</f>
        <v/>
      </c>
      <c r="P44" s="161">
        <v>42</v>
      </c>
      <c r="Q44" s="296" t="str">
        <f>IFERROR(INDEX('DAY 1 SCORES'!$B:$B, MATCH("BLUE" &amp; $A44, 'DAY 1 SCORES'!$J:$J, 0)), "")</f>
        <v/>
      </c>
      <c r="R44" s="162" t="str">
        <f>IFERROR(INDEX(DATA_IMPORT!$B:$B, MATCH(Q44, DATA_IMPORT!$A:$A, 0)), "")</f>
        <v/>
      </c>
      <c r="S44" s="162" t="str">
        <f>IFERROR(VLOOKUP($Q44, 'DAY 1 SCORES'!$B:$K, 10, FALSE), "")</f>
        <v>///</v>
      </c>
      <c r="T44" s="162" t="str">
        <f>IF(Q44="", "", IFERROR(INDEX('DAY 1 SCORES'!$H:$H, MATCH(Q44, 'DAY 1 SCORES'!$B:$B, 0)), ""))</f>
        <v/>
      </c>
    </row>
    <row r="45" spans="2:20" ht="27.75" hidden="1" customHeight="1">
      <c r="B45" s="154" t="str">
        <f>IFERROR(INDEX('DAY 1 SCORES'!$B:$B, MATCH("RED" &amp; $A45, 'DAY 1 SCORES'!$J:$J, 0)), "")</f>
        <v/>
      </c>
      <c r="C45" s="155" t="str">
        <f>IFERROR(INDEX(DATA_IMPORT!$B:$B, MATCH(B45, DATA_IMPORT!$A:$A, 0)), "")</f>
        <v/>
      </c>
      <c r="D45" s="155" t="str">
        <f>IFERROR(VLOOKUP($B45, 'DAY 1 SCORES'!$B:$K, 10, FALSE), "")</f>
        <v>///</v>
      </c>
      <c r="E45" s="156" t="str">
        <f>IF(B45="", "", IFERROR(INDEX('DAY 1 SCORES'!$H:$H, MATCH(B45, 'DAY 1 SCORES'!$B:$B, 0)), ""))</f>
        <v/>
      </c>
      <c r="F45" s="157">
        <v>43</v>
      </c>
      <c r="G45" s="158" t="str">
        <f>IFERROR(INDEX('DAY 1 SCORES'!$B:$B, MATCH("YELLOW" &amp; $A45, 'DAY 1 SCORES'!$J:$J, 0)), "")</f>
        <v/>
      </c>
      <c r="H45" s="159" t="str">
        <f>IFERROR(INDEX(DATA_IMPORT!$B:$B, MATCH(G45, DATA_IMPORT!$A:$A, 0)), "")</f>
        <v/>
      </c>
      <c r="I45" s="159" t="str">
        <f>IFERROR(VLOOKUP($G45, 'DAY 1 SCORES'!$B:$K, 10, FALSE), "")</f>
        <v>///</v>
      </c>
      <c r="J45" s="159" t="str">
        <f>IF(G45="", "", IFERROR(INDEX('DAY 1 SCORES'!$H:$H, MATCH(G45, 'DAY 1 SCORES'!$B:$B, 0)), ""))</f>
        <v/>
      </c>
      <c r="K45" s="160">
        <v>43</v>
      </c>
      <c r="L45" s="201" t="str">
        <f>IFERROR(INDEX('DAY 1 SCORES'!$B:$B, MATCH("GREEN" &amp; $A45, 'DAY 1 SCORES'!$J:$J, 0)), "")</f>
        <v/>
      </c>
      <c r="M45" s="202" t="str">
        <f>IFERROR(INDEX(DATA_IMPORT!$B:$B, MATCH(L45, DATA_IMPORT!$A:$A, 0)), "")</f>
        <v/>
      </c>
      <c r="N45" s="202" t="str">
        <f>IFERROR(VLOOKUP($L45, 'DAY 1 SCORES'!$B:$K, 10, FALSE), "")</f>
        <v>///</v>
      </c>
      <c r="O45" s="203" t="str">
        <f>IF(L45="", "", IFERROR(INDEX('DAY 1 SCORES'!$H:$H, MATCH(L45, 'DAY 1 SCORES'!$B:$B, 0)), ""))</f>
        <v/>
      </c>
      <c r="P45" s="161">
        <v>43</v>
      </c>
      <c r="Q45" s="296" t="str">
        <f>IFERROR(INDEX('DAY 1 SCORES'!$B:$B, MATCH("BLUE" &amp; $A45, 'DAY 1 SCORES'!$J:$J, 0)), "")</f>
        <v/>
      </c>
      <c r="R45" s="162" t="str">
        <f>IFERROR(INDEX(DATA_IMPORT!$B:$B, MATCH(Q45, DATA_IMPORT!$A:$A, 0)), "")</f>
        <v/>
      </c>
      <c r="S45" s="162" t="str">
        <f>IFERROR(VLOOKUP($Q45, 'DAY 1 SCORES'!$B:$K, 10, FALSE), "")</f>
        <v>///</v>
      </c>
      <c r="T45" s="162" t="str">
        <f>IF(Q45="", "", IFERROR(INDEX('DAY 1 SCORES'!$H:$H, MATCH(Q45, 'DAY 1 SCORES'!$B:$B, 0)), ""))</f>
        <v/>
      </c>
    </row>
    <row r="46" spans="2:20" ht="27.75" hidden="1" customHeight="1">
      <c r="B46" s="154" t="str">
        <f>IFERROR(INDEX('DAY 1 SCORES'!$B:$B, MATCH("RED" &amp; $A46, 'DAY 1 SCORES'!$J:$J, 0)), "")</f>
        <v/>
      </c>
      <c r="C46" s="155" t="str">
        <f>IFERROR(INDEX(DATA_IMPORT!$B:$B, MATCH(B46, DATA_IMPORT!$A:$A, 0)), "")</f>
        <v/>
      </c>
      <c r="D46" s="155" t="str">
        <f>IFERROR(VLOOKUP($B46, 'DAY 1 SCORES'!$B:$K, 10, FALSE), "")</f>
        <v>///</v>
      </c>
      <c r="E46" s="156" t="str">
        <f>IF(B46="", "", IFERROR(INDEX('DAY 1 SCORES'!$H:$H, MATCH(B46, 'DAY 1 SCORES'!$B:$B, 0)), ""))</f>
        <v/>
      </c>
      <c r="F46" s="157">
        <v>44</v>
      </c>
      <c r="G46" s="158" t="str">
        <f>IFERROR(INDEX('DAY 1 SCORES'!$B:$B, MATCH("YELLOW" &amp; $A46, 'DAY 1 SCORES'!$J:$J, 0)), "")</f>
        <v/>
      </c>
      <c r="H46" s="159" t="str">
        <f>IFERROR(INDEX(DATA_IMPORT!$B:$B, MATCH(G46, DATA_IMPORT!$A:$A, 0)), "")</f>
        <v/>
      </c>
      <c r="I46" s="159" t="str">
        <f>IFERROR(VLOOKUP($G46, 'DAY 1 SCORES'!$B:$K, 10, FALSE), "")</f>
        <v>///</v>
      </c>
      <c r="J46" s="159" t="str">
        <f>IF(G46="", "", IFERROR(INDEX('DAY 1 SCORES'!$H:$H, MATCH(G46, 'DAY 1 SCORES'!$B:$B, 0)), ""))</f>
        <v/>
      </c>
      <c r="K46" s="160">
        <v>44</v>
      </c>
      <c r="L46" s="201" t="str">
        <f>IFERROR(INDEX('DAY 1 SCORES'!$B:$B, MATCH("GREEN" &amp; $A46, 'DAY 1 SCORES'!$J:$J, 0)), "")</f>
        <v/>
      </c>
      <c r="M46" s="202" t="str">
        <f>IFERROR(INDEX(DATA_IMPORT!$B:$B, MATCH(L46, DATA_IMPORT!$A:$A, 0)), "")</f>
        <v/>
      </c>
      <c r="N46" s="202" t="str">
        <f>IFERROR(VLOOKUP($L46, 'DAY 1 SCORES'!$B:$K, 10, FALSE), "")</f>
        <v>///</v>
      </c>
      <c r="O46" s="203" t="str">
        <f>IF(L46="", "", IFERROR(INDEX('DAY 1 SCORES'!$H:$H, MATCH(L46, 'DAY 1 SCORES'!$B:$B, 0)), ""))</f>
        <v/>
      </c>
      <c r="P46" s="161">
        <v>44</v>
      </c>
      <c r="Q46" s="296" t="str">
        <f>IFERROR(INDEX('DAY 1 SCORES'!$B:$B, MATCH("BLUE" &amp; $A46, 'DAY 1 SCORES'!$J:$J, 0)), "")</f>
        <v/>
      </c>
      <c r="R46" s="162" t="str">
        <f>IFERROR(INDEX(DATA_IMPORT!$B:$B, MATCH(Q46, DATA_IMPORT!$A:$A, 0)), "")</f>
        <v/>
      </c>
      <c r="S46" s="162" t="str">
        <f>IFERROR(VLOOKUP($Q46, 'DAY 1 SCORES'!$B:$K, 10, FALSE), "")</f>
        <v>///</v>
      </c>
      <c r="T46" s="162" t="str">
        <f>IF(Q46="", "", IFERROR(INDEX('DAY 1 SCORES'!$H:$H, MATCH(Q46, 'DAY 1 SCORES'!$B:$B, 0)), ""))</f>
        <v/>
      </c>
    </row>
    <row r="47" spans="2:20" ht="27.75" hidden="1" customHeight="1">
      <c r="B47" s="154" t="str">
        <f>IFERROR(INDEX('DAY 1 SCORES'!$B:$B, MATCH("RED" &amp; $A47, 'DAY 1 SCORES'!$J:$J, 0)), "")</f>
        <v/>
      </c>
      <c r="C47" s="155" t="str">
        <f>IFERROR(INDEX(DATA_IMPORT!$B:$B, MATCH(B47, DATA_IMPORT!$A:$A, 0)), "")</f>
        <v/>
      </c>
      <c r="D47" s="155" t="str">
        <f>IFERROR(VLOOKUP($B47, 'DAY 1 SCORES'!$B:$K, 10, FALSE), "")</f>
        <v>///</v>
      </c>
      <c r="E47" s="156" t="str">
        <f>IF(B47="", "", IFERROR(INDEX('DAY 1 SCORES'!$H:$H, MATCH(B47, 'DAY 1 SCORES'!$B:$B, 0)), ""))</f>
        <v/>
      </c>
      <c r="F47" s="157">
        <v>45</v>
      </c>
      <c r="G47" s="158" t="str">
        <f>IFERROR(INDEX('DAY 1 SCORES'!$B:$B, MATCH("YELLOW" &amp; $A47, 'DAY 1 SCORES'!$J:$J, 0)), "")</f>
        <v/>
      </c>
      <c r="H47" s="159" t="str">
        <f>IFERROR(INDEX(DATA_IMPORT!$B:$B, MATCH(G47, DATA_IMPORT!$A:$A, 0)), "")</f>
        <v/>
      </c>
      <c r="I47" s="159" t="str">
        <f>IFERROR(VLOOKUP($G47, 'DAY 1 SCORES'!$B:$K, 10, FALSE), "")</f>
        <v>///</v>
      </c>
      <c r="J47" s="159" t="str">
        <f>IF(G47="", "", IFERROR(INDEX('DAY 1 SCORES'!$H:$H, MATCH(G47, 'DAY 1 SCORES'!$B:$B, 0)), ""))</f>
        <v/>
      </c>
      <c r="K47" s="160">
        <v>45</v>
      </c>
      <c r="L47" s="201" t="str">
        <f>IFERROR(INDEX('DAY 1 SCORES'!$B:$B, MATCH("GREEN" &amp; $A47, 'DAY 1 SCORES'!$J:$J, 0)), "")</f>
        <v/>
      </c>
      <c r="M47" s="202" t="str">
        <f>IFERROR(INDEX(DATA_IMPORT!$B:$B, MATCH(L47, DATA_IMPORT!$A:$A, 0)), "")</f>
        <v/>
      </c>
      <c r="N47" s="202" t="str">
        <f>IFERROR(VLOOKUP($L47, 'DAY 1 SCORES'!$B:$K, 10, FALSE), "")</f>
        <v>///</v>
      </c>
      <c r="O47" s="203" t="str">
        <f>IF(L47="", "", IFERROR(INDEX('DAY 1 SCORES'!$H:$H, MATCH(L47, 'DAY 1 SCORES'!$B:$B, 0)), ""))</f>
        <v/>
      </c>
      <c r="P47" s="161">
        <v>45</v>
      </c>
      <c r="Q47" s="296" t="str">
        <f>IFERROR(INDEX('DAY 1 SCORES'!$B:$B, MATCH("BLUE" &amp; $A47, 'DAY 1 SCORES'!$J:$J, 0)), "")</f>
        <v/>
      </c>
      <c r="R47" s="162" t="str">
        <f>IFERROR(INDEX(DATA_IMPORT!$B:$B, MATCH(Q47, DATA_IMPORT!$A:$A, 0)), "")</f>
        <v/>
      </c>
      <c r="S47" s="162" t="str">
        <f>IFERROR(VLOOKUP($Q47, 'DAY 1 SCORES'!$B:$K, 10, FALSE), "")</f>
        <v>///</v>
      </c>
      <c r="T47" s="162" t="str">
        <f>IF(Q47="", "", IFERROR(INDEX('DAY 1 SCORES'!$H:$H, MATCH(Q47, 'DAY 1 SCORES'!$B:$B, 0)), ""))</f>
        <v/>
      </c>
    </row>
    <row r="48" spans="2:20" ht="27.75" hidden="1" customHeight="1">
      <c r="B48" s="154" t="str">
        <f>IFERROR(INDEX('DAY 1 SCORES'!$B:$B, MATCH("RED" &amp; $A48, 'DAY 1 SCORES'!$J:$J, 0)), "")</f>
        <v/>
      </c>
      <c r="C48" s="155" t="str">
        <f>IFERROR(INDEX(DATA_IMPORT!$B:$B, MATCH(B48, DATA_IMPORT!$A:$A, 0)), "")</f>
        <v/>
      </c>
      <c r="D48" s="155" t="str">
        <f>IFERROR(VLOOKUP($B48, 'DAY 1 SCORES'!$B:$K, 10, FALSE), "")</f>
        <v>///</v>
      </c>
      <c r="E48" s="156" t="str">
        <f>IF(B48="", "", IFERROR(INDEX('DAY 1 SCORES'!$H:$H, MATCH(B48, 'DAY 1 SCORES'!$B:$B, 0)), ""))</f>
        <v/>
      </c>
      <c r="F48" s="157">
        <v>46</v>
      </c>
      <c r="G48" s="158" t="str">
        <f>IFERROR(INDEX('DAY 1 SCORES'!$B:$B, MATCH("YELLOW" &amp; $A48, 'DAY 1 SCORES'!$J:$J, 0)), "")</f>
        <v/>
      </c>
      <c r="H48" s="159" t="str">
        <f>IFERROR(INDEX(DATA_IMPORT!$B:$B, MATCH(G48, DATA_IMPORT!$A:$A, 0)), "")</f>
        <v/>
      </c>
      <c r="I48" s="159" t="str">
        <f>IFERROR(VLOOKUP($G48, 'DAY 1 SCORES'!$B:$K, 10, FALSE), "")</f>
        <v>///</v>
      </c>
      <c r="J48" s="159" t="str">
        <f>IF(G48="", "", IFERROR(INDEX('DAY 1 SCORES'!$H:$H, MATCH(G48, 'DAY 1 SCORES'!$B:$B, 0)), ""))</f>
        <v/>
      </c>
      <c r="K48" s="160">
        <v>46</v>
      </c>
      <c r="L48" s="201" t="str">
        <f>IFERROR(INDEX('DAY 1 SCORES'!$B:$B, MATCH("GREEN" &amp; $A48, 'DAY 1 SCORES'!$J:$J, 0)), "")</f>
        <v/>
      </c>
      <c r="M48" s="202" t="str">
        <f>IFERROR(INDEX(DATA_IMPORT!$B:$B, MATCH(L48, DATA_IMPORT!$A:$A, 0)), "")</f>
        <v/>
      </c>
      <c r="N48" s="202" t="str">
        <f>IFERROR(VLOOKUP($L48, 'DAY 1 SCORES'!$B:$K, 10, FALSE), "")</f>
        <v>///</v>
      </c>
      <c r="O48" s="203" t="str">
        <f>IF(L48="", "", IFERROR(INDEX('DAY 1 SCORES'!$H:$H, MATCH(L48, 'DAY 1 SCORES'!$B:$B, 0)), ""))</f>
        <v/>
      </c>
      <c r="P48" s="161">
        <v>46</v>
      </c>
      <c r="Q48" s="296" t="str">
        <f>IFERROR(INDEX('DAY 1 SCORES'!$B:$B, MATCH("BLUE" &amp; $A48, 'DAY 1 SCORES'!$J:$J, 0)), "")</f>
        <v/>
      </c>
      <c r="R48" s="162" t="str">
        <f>IFERROR(INDEX(DATA_IMPORT!$B:$B, MATCH(Q48, DATA_IMPORT!$A:$A, 0)), "")</f>
        <v/>
      </c>
      <c r="S48" s="162" t="str">
        <f>IFERROR(VLOOKUP($Q48, 'DAY 1 SCORES'!$B:$K, 10, FALSE), "")</f>
        <v>///</v>
      </c>
      <c r="T48" s="162" t="str">
        <f>IF(Q48="", "", IFERROR(INDEX('DAY 1 SCORES'!$H:$H, MATCH(Q48, 'DAY 1 SCORES'!$B:$B, 0)), ""))</f>
        <v/>
      </c>
    </row>
    <row r="49" spans="2:20" ht="27.75" hidden="1" customHeight="1">
      <c r="B49" s="154" t="str">
        <f>IFERROR(INDEX('DAY 1 SCORES'!$B:$B, MATCH("RED" &amp; $A49, 'DAY 1 SCORES'!$J:$J, 0)), "")</f>
        <v/>
      </c>
      <c r="C49" s="155" t="str">
        <f>IFERROR(INDEX(DATA_IMPORT!$B:$B, MATCH(B49, DATA_IMPORT!$A:$A, 0)), "")</f>
        <v/>
      </c>
      <c r="D49" s="155" t="str">
        <f>IFERROR(VLOOKUP($B49, 'DAY 1 SCORES'!$B:$K, 10, FALSE), "")</f>
        <v>///</v>
      </c>
      <c r="E49" s="156" t="str">
        <f>IF(B49="", "", IFERROR(INDEX('DAY 1 SCORES'!$H:$H, MATCH(B49, 'DAY 1 SCORES'!$B:$B, 0)), ""))</f>
        <v/>
      </c>
      <c r="F49" s="157">
        <v>47</v>
      </c>
      <c r="G49" s="158" t="str">
        <f>IFERROR(INDEX('DAY 1 SCORES'!$B:$B, MATCH("YELLOW" &amp; $A49, 'DAY 1 SCORES'!$J:$J, 0)), "")</f>
        <v/>
      </c>
      <c r="H49" s="159" t="str">
        <f>IFERROR(INDEX(DATA_IMPORT!$B:$B, MATCH(G49, DATA_IMPORT!$A:$A, 0)), "")</f>
        <v/>
      </c>
      <c r="I49" s="159" t="str">
        <f>IFERROR(VLOOKUP($G49, 'DAY 1 SCORES'!$B:$K, 10, FALSE), "")</f>
        <v>///</v>
      </c>
      <c r="J49" s="159" t="str">
        <f>IF(G49="", "", IFERROR(INDEX('DAY 1 SCORES'!$H:$H, MATCH(G49, 'DAY 1 SCORES'!$B:$B, 0)), ""))</f>
        <v/>
      </c>
      <c r="K49" s="160">
        <v>47</v>
      </c>
      <c r="L49" s="201" t="str">
        <f>IFERROR(INDEX('DAY 1 SCORES'!$B:$B, MATCH("GREEN" &amp; $A49, 'DAY 1 SCORES'!$J:$J, 0)), "")</f>
        <v/>
      </c>
      <c r="M49" s="202" t="str">
        <f>IFERROR(INDEX(DATA_IMPORT!$B:$B, MATCH(L49, DATA_IMPORT!$A:$A, 0)), "")</f>
        <v/>
      </c>
      <c r="N49" s="202" t="str">
        <f>IFERROR(VLOOKUP($L49, 'DAY 1 SCORES'!$B:$K, 10, FALSE), "")</f>
        <v>///</v>
      </c>
      <c r="O49" s="203" t="str">
        <f>IF(L49="", "", IFERROR(INDEX('DAY 1 SCORES'!$H:$H, MATCH(L49, 'DAY 1 SCORES'!$B:$B, 0)), ""))</f>
        <v/>
      </c>
      <c r="P49" s="161">
        <v>47</v>
      </c>
      <c r="Q49" s="296" t="str">
        <f>IFERROR(INDEX('DAY 1 SCORES'!$B:$B, MATCH("BLUE" &amp; $A49, 'DAY 1 SCORES'!$J:$J, 0)), "")</f>
        <v/>
      </c>
      <c r="R49" s="162" t="str">
        <f>IFERROR(INDEX(DATA_IMPORT!$B:$B, MATCH(Q49, DATA_IMPORT!$A:$A, 0)), "")</f>
        <v/>
      </c>
      <c r="S49" s="162" t="str">
        <f>IFERROR(VLOOKUP($Q49, 'DAY 1 SCORES'!$B:$K, 10, FALSE), "")</f>
        <v>///</v>
      </c>
      <c r="T49" s="162" t="str">
        <f>IF(Q49="", "", IFERROR(INDEX('DAY 1 SCORES'!$H:$H, MATCH(Q49, 'DAY 1 SCORES'!$B:$B, 0)), ""))</f>
        <v/>
      </c>
    </row>
    <row r="50" spans="2:20" ht="27.75" hidden="1" customHeight="1">
      <c r="B50" s="154" t="str">
        <f>IFERROR(INDEX('DAY 1 SCORES'!$B:$B, MATCH("RED" &amp; $A50, 'DAY 1 SCORES'!$J:$J, 0)), "")</f>
        <v/>
      </c>
      <c r="C50" s="155" t="str">
        <f>IFERROR(INDEX(DATA_IMPORT!$B:$B, MATCH(B50, DATA_IMPORT!$A:$A, 0)), "")</f>
        <v/>
      </c>
      <c r="D50" s="155" t="str">
        <f>IFERROR(VLOOKUP($B50, 'DAY 1 SCORES'!$B:$K, 10, FALSE), "")</f>
        <v>///</v>
      </c>
      <c r="E50" s="156" t="str">
        <f>IF(B50="", "", IFERROR(INDEX('DAY 1 SCORES'!$H:$H, MATCH(B50, 'DAY 1 SCORES'!$B:$B, 0)), ""))</f>
        <v/>
      </c>
      <c r="F50" s="157">
        <v>48</v>
      </c>
      <c r="G50" s="158" t="str">
        <f>IFERROR(INDEX('DAY 1 SCORES'!$B:$B, MATCH("YELLOW" &amp; $A50, 'DAY 1 SCORES'!$J:$J, 0)), "")</f>
        <v/>
      </c>
      <c r="H50" s="159" t="str">
        <f>IFERROR(INDEX(DATA_IMPORT!$B:$B, MATCH(G50, DATA_IMPORT!$A:$A, 0)), "")</f>
        <v/>
      </c>
      <c r="I50" s="159" t="str">
        <f>IFERROR(VLOOKUP($G50, 'DAY 1 SCORES'!$B:$K, 10, FALSE), "")</f>
        <v>///</v>
      </c>
      <c r="J50" s="159" t="str">
        <f>IF(G50="", "", IFERROR(INDEX('DAY 1 SCORES'!$H:$H, MATCH(G50, 'DAY 1 SCORES'!$B:$B, 0)), ""))</f>
        <v/>
      </c>
      <c r="K50" s="160">
        <v>48</v>
      </c>
      <c r="L50" s="201" t="str">
        <f>IFERROR(INDEX('DAY 1 SCORES'!$B:$B, MATCH("GREEN" &amp; $A50, 'DAY 1 SCORES'!$J:$J, 0)), "")</f>
        <v/>
      </c>
      <c r="M50" s="202" t="str">
        <f>IFERROR(INDEX(DATA_IMPORT!$B:$B, MATCH(L50, DATA_IMPORT!$A:$A, 0)), "")</f>
        <v/>
      </c>
      <c r="N50" s="202" t="str">
        <f>IFERROR(VLOOKUP($L50, 'DAY 1 SCORES'!$B:$K, 10, FALSE), "")</f>
        <v>///</v>
      </c>
      <c r="O50" s="203" t="str">
        <f>IF(L50="", "", IFERROR(INDEX('DAY 1 SCORES'!$H:$H, MATCH(L50, 'DAY 1 SCORES'!$B:$B, 0)), ""))</f>
        <v/>
      </c>
      <c r="P50" s="161">
        <v>48</v>
      </c>
      <c r="Q50" s="296" t="str">
        <f>IFERROR(INDEX('DAY 1 SCORES'!$B:$B, MATCH("BLUE" &amp; $A50, 'DAY 1 SCORES'!$J:$J, 0)), "")</f>
        <v/>
      </c>
      <c r="R50" s="162" t="str">
        <f>IFERROR(INDEX(DATA_IMPORT!$B:$B, MATCH(Q50, DATA_IMPORT!$A:$A, 0)), "")</f>
        <v/>
      </c>
      <c r="S50" s="162" t="str">
        <f>IFERROR(VLOOKUP($Q50, 'DAY 1 SCORES'!$B:$K, 10, FALSE), "")</f>
        <v>///</v>
      </c>
      <c r="T50" s="162" t="str">
        <f>IF(Q50="", "", IFERROR(INDEX('DAY 1 SCORES'!$H:$H, MATCH(Q50, 'DAY 1 SCORES'!$B:$B, 0)), ""))</f>
        <v/>
      </c>
    </row>
    <row r="51" spans="2:20" ht="27.75" hidden="1" customHeight="1">
      <c r="B51" s="154" t="str">
        <f>IFERROR(INDEX('DAY 1 SCORES'!$B:$B, MATCH("RED" &amp; $A51, 'DAY 1 SCORES'!$J:$J, 0)), "")</f>
        <v/>
      </c>
      <c r="C51" s="155" t="str">
        <f>IFERROR(INDEX(DATA_IMPORT!$B:$B, MATCH(B51, DATA_IMPORT!$A:$A, 0)), "")</f>
        <v/>
      </c>
      <c r="D51" s="155" t="str">
        <f>IFERROR(VLOOKUP($B51, 'DAY 1 SCORES'!$B:$K, 10, FALSE), "")</f>
        <v>///</v>
      </c>
      <c r="E51" s="156" t="str">
        <f>IF(B51="", "", IFERROR(INDEX('DAY 1 SCORES'!$H:$H, MATCH(B51, 'DAY 1 SCORES'!$B:$B, 0)), ""))</f>
        <v/>
      </c>
      <c r="F51" s="157">
        <v>49</v>
      </c>
      <c r="G51" s="158" t="str">
        <f>IFERROR(INDEX('DAY 1 SCORES'!$B:$B, MATCH("YELLOW" &amp; $A51, 'DAY 1 SCORES'!$J:$J, 0)), "")</f>
        <v/>
      </c>
      <c r="H51" s="159" t="str">
        <f>IFERROR(INDEX(DATA_IMPORT!$B:$B, MATCH(G51, DATA_IMPORT!$A:$A, 0)), "")</f>
        <v/>
      </c>
      <c r="I51" s="159" t="str">
        <f>IFERROR(VLOOKUP($G51, 'DAY 1 SCORES'!$B:$K, 10, FALSE), "")</f>
        <v>///</v>
      </c>
      <c r="J51" s="159" t="str">
        <f>IF(G51="", "", IFERROR(INDEX('DAY 1 SCORES'!$H:$H, MATCH(G51, 'DAY 1 SCORES'!$B:$B, 0)), ""))</f>
        <v/>
      </c>
      <c r="K51" s="160">
        <v>49</v>
      </c>
      <c r="L51" s="201" t="str">
        <f>IFERROR(INDEX('DAY 1 SCORES'!$B:$B, MATCH("GREEN" &amp; $A51, 'DAY 1 SCORES'!$J:$J, 0)), "")</f>
        <v/>
      </c>
      <c r="M51" s="202" t="str">
        <f>IFERROR(INDEX(DATA_IMPORT!$B:$B, MATCH(L51, DATA_IMPORT!$A:$A, 0)), "")</f>
        <v/>
      </c>
      <c r="N51" s="202" t="str">
        <f>IFERROR(VLOOKUP($L51, 'DAY 1 SCORES'!$B:$K, 10, FALSE), "")</f>
        <v>///</v>
      </c>
      <c r="O51" s="203" t="str">
        <f>IF(L51="", "", IFERROR(INDEX('DAY 1 SCORES'!$H:$H, MATCH(L51, 'DAY 1 SCORES'!$B:$B, 0)), ""))</f>
        <v/>
      </c>
      <c r="P51" s="161">
        <v>49</v>
      </c>
      <c r="Q51" s="296" t="str">
        <f>IFERROR(INDEX('DAY 1 SCORES'!$B:$B, MATCH("BLUE" &amp; $A51, 'DAY 1 SCORES'!$J:$J, 0)), "")</f>
        <v/>
      </c>
      <c r="R51" s="162" t="str">
        <f>IFERROR(INDEX(DATA_IMPORT!$B:$B, MATCH(Q51, DATA_IMPORT!$A:$A, 0)), "")</f>
        <v/>
      </c>
      <c r="S51" s="162" t="str">
        <f>IFERROR(VLOOKUP($Q51, 'DAY 1 SCORES'!$B:$K, 10, FALSE), "")</f>
        <v>///</v>
      </c>
      <c r="T51" s="162" t="str">
        <f>IF(Q51="", "", IFERROR(INDEX('DAY 1 SCORES'!$H:$H, MATCH(Q51, 'DAY 1 SCORES'!$B:$B, 0)), ""))</f>
        <v/>
      </c>
    </row>
    <row r="52" spans="2:20" ht="27.75" hidden="1" customHeight="1">
      <c r="B52" s="154" t="str">
        <f>IFERROR(INDEX('DAY 1 SCORES'!$B:$B, MATCH("RED" &amp; $A52, 'DAY 1 SCORES'!$J:$J, 0)), "")</f>
        <v/>
      </c>
      <c r="C52" s="155" t="str">
        <f>IFERROR(INDEX(DATA_IMPORT!$B:$B, MATCH(B52, DATA_IMPORT!$A:$A, 0)), "")</f>
        <v/>
      </c>
      <c r="D52" s="155" t="str">
        <f>IFERROR(VLOOKUP($B52, 'DAY 1 SCORES'!$B:$K, 10, FALSE), "")</f>
        <v>///</v>
      </c>
      <c r="E52" s="156" t="str">
        <f>IF(B52="", "", IFERROR(INDEX('DAY 1 SCORES'!$H:$H, MATCH(B52, 'DAY 1 SCORES'!$B:$B, 0)), ""))</f>
        <v/>
      </c>
      <c r="F52" s="157">
        <v>50</v>
      </c>
      <c r="G52" s="158" t="str">
        <f>IFERROR(INDEX('DAY 1 SCORES'!$B:$B, MATCH("YELLOW" &amp; $A52, 'DAY 1 SCORES'!$J:$J, 0)), "")</f>
        <v/>
      </c>
      <c r="H52" s="159" t="str">
        <f>IFERROR(INDEX(DATA_IMPORT!$B:$B, MATCH(G52, DATA_IMPORT!$A:$A, 0)), "")</f>
        <v/>
      </c>
      <c r="I52" s="159" t="str">
        <f>IFERROR(VLOOKUP($G52, 'DAY 1 SCORES'!$B:$K, 10, FALSE), "")</f>
        <v>///</v>
      </c>
      <c r="J52" s="159" t="str">
        <f>IF(G52="", "", IFERROR(INDEX('DAY 1 SCORES'!$H:$H, MATCH(G52, 'DAY 1 SCORES'!$B:$B, 0)), ""))</f>
        <v/>
      </c>
      <c r="K52" s="160">
        <v>50</v>
      </c>
      <c r="L52" s="201" t="str">
        <f>IFERROR(INDEX('DAY 1 SCORES'!$B:$B, MATCH("GREEN" &amp; $A52, 'DAY 1 SCORES'!$J:$J, 0)), "")</f>
        <v/>
      </c>
      <c r="M52" s="202" t="str">
        <f>IFERROR(INDEX(DATA_IMPORT!$B:$B, MATCH(L52, DATA_IMPORT!$A:$A, 0)), "")</f>
        <v/>
      </c>
      <c r="N52" s="202" t="str">
        <f>IFERROR(VLOOKUP($L52, 'DAY 1 SCORES'!$B:$K, 10, FALSE), "")</f>
        <v>///</v>
      </c>
      <c r="O52" s="203" t="str">
        <f>IF(L52="", "", IFERROR(INDEX('DAY 1 SCORES'!$H:$H, MATCH(L52, 'DAY 1 SCORES'!$B:$B, 0)), ""))</f>
        <v/>
      </c>
      <c r="P52" s="161">
        <v>50</v>
      </c>
      <c r="Q52" s="296" t="str">
        <f>IFERROR(INDEX('DAY 1 SCORES'!$B:$B, MATCH("BLUE" &amp; $A52, 'DAY 1 SCORES'!$J:$J, 0)), "")</f>
        <v/>
      </c>
      <c r="R52" s="162" t="str">
        <f>IFERROR(INDEX(DATA_IMPORT!$B:$B, MATCH(Q52, DATA_IMPORT!$A:$A, 0)), "")</f>
        <v/>
      </c>
      <c r="S52" s="162" t="str">
        <f>IFERROR(VLOOKUP($Q52, 'DAY 1 SCORES'!$B:$K, 10, FALSE), "")</f>
        <v>///</v>
      </c>
      <c r="T52" s="162" t="str">
        <f>IF(Q52="", "", IFERROR(INDEX('DAY 1 SCORES'!$H:$H, MATCH(Q52, 'DAY 1 SCORES'!$B:$B, 0)), ""))</f>
        <v/>
      </c>
    </row>
    <row r="53" spans="2:20" ht="27.75" hidden="1" customHeight="1">
      <c r="B53" s="154" t="str">
        <f>IFERROR(INDEX('DAY 1 SCORES'!$B:$B, MATCH("RED" &amp; $A53, 'DAY 1 SCORES'!$J:$J, 0)), "")</f>
        <v/>
      </c>
      <c r="C53" s="155" t="str">
        <f>IFERROR(INDEX(DATA_IMPORT!$B:$B, MATCH(B53, DATA_IMPORT!$A:$A, 0)), "")</f>
        <v/>
      </c>
      <c r="D53" s="155" t="str">
        <f>IFERROR(VLOOKUP($B53, 'DAY 1 SCORES'!$B:$K, 10, FALSE), "")</f>
        <v>///</v>
      </c>
      <c r="E53" s="156" t="str">
        <f>IF(B53="", "", IFERROR(INDEX('DAY 1 SCORES'!$H:$H, MATCH(B53, 'DAY 1 SCORES'!$B:$B, 0)), ""))</f>
        <v/>
      </c>
      <c r="F53" s="157">
        <v>51</v>
      </c>
      <c r="G53" s="158" t="str">
        <f>IFERROR(INDEX('DAY 1 SCORES'!$B:$B, MATCH("YELLOW" &amp; $A53, 'DAY 1 SCORES'!$J:$J, 0)), "")</f>
        <v/>
      </c>
      <c r="H53" s="159" t="str">
        <f>IFERROR(INDEX(DATA_IMPORT!$B:$B, MATCH(G53, DATA_IMPORT!$A:$A, 0)), "")</f>
        <v/>
      </c>
      <c r="I53" s="159" t="str">
        <f>IFERROR(VLOOKUP($G53, 'DAY 1 SCORES'!$B:$K, 10, FALSE), "")</f>
        <v>///</v>
      </c>
      <c r="J53" s="159" t="str">
        <f>IF(G53="", "", IFERROR(INDEX('DAY 1 SCORES'!$H:$H, MATCH(G53, 'DAY 1 SCORES'!$B:$B, 0)), ""))</f>
        <v/>
      </c>
      <c r="K53" s="160">
        <v>51</v>
      </c>
      <c r="L53" s="201" t="str">
        <f>IFERROR(INDEX('DAY 1 SCORES'!$B:$B, MATCH("GREEN" &amp; $A53, 'DAY 1 SCORES'!$J:$J, 0)), "")</f>
        <v/>
      </c>
      <c r="M53" s="202" t="str">
        <f>IFERROR(INDEX(DATA_IMPORT!$B:$B, MATCH(L53, DATA_IMPORT!$A:$A, 0)), "")</f>
        <v/>
      </c>
      <c r="N53" s="202" t="str">
        <f>IFERROR(VLOOKUP($L53, 'DAY 1 SCORES'!$B:$K, 10, FALSE), "")</f>
        <v>///</v>
      </c>
      <c r="O53" s="203" t="str">
        <f>IF(L53="", "", IFERROR(INDEX('DAY 1 SCORES'!$H:$H, MATCH(L53, 'DAY 1 SCORES'!$B:$B, 0)), ""))</f>
        <v/>
      </c>
      <c r="P53" s="161">
        <v>51</v>
      </c>
      <c r="Q53" s="296" t="str">
        <f>IFERROR(INDEX('DAY 1 SCORES'!$B:$B, MATCH("BLUE" &amp; $A53, 'DAY 1 SCORES'!$J:$J, 0)), "")</f>
        <v/>
      </c>
      <c r="R53" s="162" t="str">
        <f>IFERROR(INDEX(DATA_IMPORT!$B:$B, MATCH(Q53, DATA_IMPORT!$A:$A, 0)), "")</f>
        <v/>
      </c>
      <c r="S53" s="162" t="str">
        <f>IFERROR(VLOOKUP($Q53, 'DAY 1 SCORES'!$B:$K, 10, FALSE), "")</f>
        <v>///</v>
      </c>
      <c r="T53" s="162" t="str">
        <f>IF(Q53="", "", IFERROR(INDEX('DAY 1 SCORES'!$H:$H, MATCH(Q53, 'DAY 1 SCORES'!$B:$B, 0)), ""))</f>
        <v/>
      </c>
    </row>
    <row r="54" spans="2:20" ht="27.75" hidden="1" customHeight="1">
      <c r="B54" s="154" t="str">
        <f>IFERROR(INDEX('DAY 1 SCORES'!$B:$B, MATCH("RED" &amp; $A54, 'DAY 1 SCORES'!$J:$J, 0)), "")</f>
        <v/>
      </c>
      <c r="C54" s="155" t="str">
        <f>IFERROR(INDEX(DATA_IMPORT!$B:$B, MATCH(B54, DATA_IMPORT!$A:$A, 0)), "")</f>
        <v/>
      </c>
      <c r="D54" s="155" t="str">
        <f>IFERROR(VLOOKUP($B54, 'DAY 1 SCORES'!$B:$K, 10, FALSE), "")</f>
        <v>///</v>
      </c>
      <c r="E54" s="156" t="str">
        <f>IF(B54="", "", IFERROR(INDEX('DAY 1 SCORES'!$H:$H, MATCH(B54, 'DAY 1 SCORES'!$B:$B, 0)), ""))</f>
        <v/>
      </c>
      <c r="F54" s="157">
        <v>52</v>
      </c>
      <c r="G54" s="158" t="str">
        <f>IFERROR(INDEX('DAY 1 SCORES'!$B:$B, MATCH("YELLOW" &amp; $A54, 'DAY 1 SCORES'!$J:$J, 0)), "")</f>
        <v/>
      </c>
      <c r="H54" s="159" t="str">
        <f>IFERROR(INDEX(DATA_IMPORT!$B:$B, MATCH(G54, DATA_IMPORT!$A:$A, 0)), "")</f>
        <v/>
      </c>
      <c r="I54" s="159" t="str">
        <f>IFERROR(VLOOKUP($G54, 'DAY 1 SCORES'!$B:$K, 10, FALSE), "")</f>
        <v>///</v>
      </c>
      <c r="J54" s="159" t="str">
        <f>IF(G54="", "", IFERROR(INDEX('DAY 1 SCORES'!$H:$H, MATCH(G54, 'DAY 1 SCORES'!$B:$B, 0)), ""))</f>
        <v/>
      </c>
      <c r="K54" s="160">
        <v>52</v>
      </c>
      <c r="L54" s="201" t="str">
        <f>IFERROR(INDEX('DAY 1 SCORES'!$B:$B, MATCH("GREEN" &amp; $A54, 'DAY 1 SCORES'!$J:$J, 0)), "")</f>
        <v/>
      </c>
      <c r="M54" s="202" t="str">
        <f>IFERROR(INDEX(DATA_IMPORT!$B:$B, MATCH(L54, DATA_IMPORT!$A:$A, 0)), "")</f>
        <v/>
      </c>
      <c r="N54" s="202" t="str">
        <f>IFERROR(VLOOKUP($L54, 'DAY 1 SCORES'!$B:$K, 10, FALSE), "")</f>
        <v>///</v>
      </c>
      <c r="O54" s="203" t="str">
        <f>IF(L54="", "", IFERROR(INDEX('DAY 1 SCORES'!$H:$H, MATCH(L54, 'DAY 1 SCORES'!$B:$B, 0)), ""))</f>
        <v/>
      </c>
      <c r="P54" s="161">
        <v>52</v>
      </c>
      <c r="Q54" s="296" t="str">
        <f>IFERROR(INDEX('DAY 1 SCORES'!$B:$B, MATCH("BLUE" &amp; $A54, 'DAY 1 SCORES'!$J:$J, 0)), "")</f>
        <v/>
      </c>
      <c r="R54" s="162" t="str">
        <f>IFERROR(INDEX(DATA_IMPORT!$B:$B, MATCH(Q54, DATA_IMPORT!$A:$A, 0)), "")</f>
        <v/>
      </c>
      <c r="S54" s="162" t="str">
        <f>IFERROR(VLOOKUP($Q54, 'DAY 1 SCORES'!$B:$K, 10, FALSE), "")</f>
        <v>///</v>
      </c>
      <c r="T54" s="162" t="str">
        <f>IF(Q54="", "", IFERROR(INDEX('DAY 1 SCORES'!$H:$H, MATCH(Q54, 'DAY 1 SCORES'!$B:$B, 0)), ""))</f>
        <v/>
      </c>
    </row>
    <row r="55" spans="2:20" ht="27.75" hidden="1" customHeight="1">
      <c r="B55" s="154" t="str">
        <f>IFERROR(INDEX('DAY 1 SCORES'!$B:$B, MATCH("RED" &amp; $A55, 'DAY 1 SCORES'!$J:$J, 0)), "")</f>
        <v/>
      </c>
      <c r="C55" s="155" t="str">
        <f>IFERROR(INDEX(DATA_IMPORT!$B:$B, MATCH(B55, DATA_IMPORT!$A:$A, 0)), "")</f>
        <v/>
      </c>
      <c r="D55" s="155" t="str">
        <f>IFERROR(VLOOKUP($B55, 'DAY 1 SCORES'!$B:$K, 10, FALSE), "")</f>
        <v>///</v>
      </c>
      <c r="E55" s="156" t="str">
        <f>IF(B55="", "", IFERROR(INDEX('DAY 1 SCORES'!$H:$H, MATCH(B55, 'DAY 1 SCORES'!$B:$B, 0)), ""))</f>
        <v/>
      </c>
      <c r="F55" s="157">
        <v>53</v>
      </c>
      <c r="G55" s="158" t="str">
        <f>IFERROR(INDEX('DAY 1 SCORES'!$B:$B, MATCH("YELLOW" &amp; $A55, 'DAY 1 SCORES'!$J:$J, 0)), "")</f>
        <v/>
      </c>
      <c r="H55" s="159" t="str">
        <f>IFERROR(INDEX(DATA_IMPORT!$B:$B, MATCH(G55, DATA_IMPORT!$A:$A, 0)), "")</f>
        <v/>
      </c>
      <c r="I55" s="159" t="str">
        <f>IFERROR(VLOOKUP($G55, 'DAY 1 SCORES'!$B:$K, 10, FALSE), "")</f>
        <v>///</v>
      </c>
      <c r="J55" s="159" t="str">
        <f>IF(G55="", "", IFERROR(INDEX('DAY 1 SCORES'!$H:$H, MATCH(G55, 'DAY 1 SCORES'!$B:$B, 0)), ""))</f>
        <v/>
      </c>
      <c r="K55" s="160">
        <v>53</v>
      </c>
      <c r="L55" s="201" t="str">
        <f>IFERROR(INDEX('DAY 1 SCORES'!$B:$B, MATCH("GREEN" &amp; $A55, 'DAY 1 SCORES'!$J:$J, 0)), "")</f>
        <v/>
      </c>
      <c r="M55" s="202" t="str">
        <f>IFERROR(INDEX(DATA_IMPORT!$B:$B, MATCH(L55, DATA_IMPORT!$A:$A, 0)), "")</f>
        <v/>
      </c>
      <c r="N55" s="202" t="str">
        <f>IFERROR(VLOOKUP($L55, 'DAY 1 SCORES'!$B:$K, 10, FALSE), "")</f>
        <v>///</v>
      </c>
      <c r="O55" s="203" t="str">
        <f>IF(L55="", "", IFERROR(INDEX('DAY 1 SCORES'!$H:$H, MATCH(L55, 'DAY 1 SCORES'!$B:$B, 0)), ""))</f>
        <v/>
      </c>
      <c r="P55" s="161">
        <v>53</v>
      </c>
      <c r="Q55" s="296" t="str">
        <f>IFERROR(INDEX('DAY 1 SCORES'!$B:$B, MATCH("BLUE" &amp; $A55, 'DAY 1 SCORES'!$J:$J, 0)), "")</f>
        <v/>
      </c>
      <c r="R55" s="162" t="str">
        <f>IFERROR(INDEX(DATA_IMPORT!$B:$B, MATCH(Q55, DATA_IMPORT!$A:$A, 0)), "")</f>
        <v/>
      </c>
      <c r="S55" s="162" t="str">
        <f>IFERROR(VLOOKUP($Q55, 'DAY 1 SCORES'!$B:$K, 10, FALSE), "")</f>
        <v>///</v>
      </c>
      <c r="T55" s="162" t="str">
        <f>IF(Q55="", "", IFERROR(INDEX('DAY 1 SCORES'!$H:$H, MATCH(Q55, 'DAY 1 SCORES'!$B:$B, 0)), ""))</f>
        <v/>
      </c>
    </row>
    <row r="56" spans="2:20" ht="27.75" hidden="1" customHeight="1">
      <c r="B56" s="154" t="str">
        <f>IFERROR(INDEX('DAY 1 SCORES'!$B:$B, MATCH("RED" &amp; $A56, 'DAY 1 SCORES'!$J:$J, 0)), "")</f>
        <v/>
      </c>
      <c r="C56" s="155" t="str">
        <f>IFERROR(INDEX(DATA_IMPORT!$B:$B, MATCH(B56, DATA_IMPORT!$A:$A, 0)), "")</f>
        <v/>
      </c>
      <c r="D56" s="155" t="str">
        <f>IFERROR(VLOOKUP($B56, 'DAY 1 SCORES'!$B:$K, 10, FALSE), "")</f>
        <v>///</v>
      </c>
      <c r="E56" s="156" t="str">
        <f>IF(B56="", "", IFERROR(INDEX('DAY 1 SCORES'!$H:$H, MATCH(B56, 'DAY 1 SCORES'!$B:$B, 0)), ""))</f>
        <v/>
      </c>
      <c r="F56" s="157">
        <v>54</v>
      </c>
      <c r="G56" s="158" t="str">
        <f>IFERROR(INDEX('DAY 1 SCORES'!$B:$B, MATCH("YELLOW" &amp; $A56, 'DAY 1 SCORES'!$J:$J, 0)), "")</f>
        <v/>
      </c>
      <c r="H56" s="159" t="str">
        <f>IFERROR(INDEX(DATA_IMPORT!$B:$B, MATCH(G56, DATA_IMPORT!$A:$A, 0)), "")</f>
        <v/>
      </c>
      <c r="I56" s="159" t="str">
        <f>IFERROR(VLOOKUP($G56, 'DAY 1 SCORES'!$B:$K, 10, FALSE), "")</f>
        <v>///</v>
      </c>
      <c r="J56" s="159" t="str">
        <f>IF(G56="", "", IFERROR(INDEX('DAY 1 SCORES'!$H:$H, MATCH(G56, 'DAY 1 SCORES'!$B:$B, 0)), ""))</f>
        <v/>
      </c>
      <c r="K56" s="160">
        <v>54</v>
      </c>
      <c r="L56" s="201" t="str">
        <f>IFERROR(INDEX('DAY 1 SCORES'!$B:$B, MATCH("GREEN" &amp; $A56, 'DAY 1 SCORES'!$J:$J, 0)), "")</f>
        <v/>
      </c>
      <c r="M56" s="202" t="str">
        <f>IFERROR(INDEX(DATA_IMPORT!$B:$B, MATCH(L56, DATA_IMPORT!$A:$A, 0)), "")</f>
        <v/>
      </c>
      <c r="N56" s="202" t="str">
        <f>IFERROR(VLOOKUP($L56, 'DAY 1 SCORES'!$B:$K, 10, FALSE), "")</f>
        <v>///</v>
      </c>
      <c r="O56" s="203" t="str">
        <f>IF(L56="", "", IFERROR(INDEX('DAY 1 SCORES'!$H:$H, MATCH(L56, 'DAY 1 SCORES'!$B:$B, 0)), ""))</f>
        <v/>
      </c>
      <c r="P56" s="161">
        <v>54</v>
      </c>
      <c r="Q56" s="296" t="str">
        <f>IFERROR(INDEX('DAY 1 SCORES'!$B:$B, MATCH("BLUE" &amp; $A56, 'DAY 1 SCORES'!$J:$J, 0)), "")</f>
        <v/>
      </c>
      <c r="R56" s="162" t="str">
        <f>IFERROR(INDEX(DATA_IMPORT!$B:$B, MATCH(Q56, DATA_IMPORT!$A:$A, 0)), "")</f>
        <v/>
      </c>
      <c r="S56" s="162" t="str">
        <f>IFERROR(VLOOKUP($Q56, 'DAY 1 SCORES'!$B:$K, 10, FALSE), "")</f>
        <v>///</v>
      </c>
      <c r="T56" s="162" t="str">
        <f>IF(Q56="", "", IFERROR(INDEX('DAY 1 SCORES'!$H:$H, MATCH(Q56, 'DAY 1 SCORES'!$B:$B, 0)), ""))</f>
        <v/>
      </c>
    </row>
    <row r="57" spans="2:20" ht="27.75" hidden="1" customHeight="1">
      <c r="B57" s="154" t="str">
        <f>IFERROR(INDEX('DAY 1 SCORES'!$B:$B, MATCH("RED" &amp; $A57, 'DAY 1 SCORES'!$J:$J, 0)), "")</f>
        <v/>
      </c>
      <c r="C57" s="155" t="str">
        <f>IFERROR(INDEX(DATA_IMPORT!$B:$B, MATCH(B57, DATA_IMPORT!$A:$A, 0)), "")</f>
        <v/>
      </c>
      <c r="D57" s="155" t="str">
        <f>IFERROR(VLOOKUP($B57, 'DAY 1 SCORES'!$B:$K, 10, FALSE), "")</f>
        <v>///</v>
      </c>
      <c r="E57" s="156" t="str">
        <f>IF(B57="", "", IFERROR(INDEX('DAY 1 SCORES'!$H:$H, MATCH(B57, 'DAY 1 SCORES'!$B:$B, 0)), ""))</f>
        <v/>
      </c>
      <c r="F57" s="157">
        <v>55</v>
      </c>
      <c r="G57" s="158" t="str">
        <f>IFERROR(INDEX('DAY 1 SCORES'!$B:$B, MATCH("YELLOW" &amp; $A57, 'DAY 1 SCORES'!$J:$J, 0)), "")</f>
        <v/>
      </c>
      <c r="H57" s="159" t="str">
        <f>IFERROR(INDEX(DATA_IMPORT!$B:$B, MATCH(G57, DATA_IMPORT!$A:$A, 0)), "")</f>
        <v/>
      </c>
      <c r="I57" s="159" t="str">
        <f>IFERROR(VLOOKUP($G57, 'DAY 1 SCORES'!$B:$K, 10, FALSE), "")</f>
        <v>///</v>
      </c>
      <c r="J57" s="159" t="str">
        <f>IF(G57="", "", IFERROR(INDEX('DAY 1 SCORES'!$H:$H, MATCH(G57, 'DAY 1 SCORES'!$B:$B, 0)), ""))</f>
        <v/>
      </c>
      <c r="K57" s="160">
        <v>55</v>
      </c>
      <c r="L57" s="201" t="str">
        <f>IFERROR(INDEX('DAY 1 SCORES'!$B:$B, MATCH("GREEN" &amp; $A57, 'DAY 1 SCORES'!$J:$J, 0)), "")</f>
        <v/>
      </c>
      <c r="M57" s="202" t="str">
        <f>IFERROR(INDEX(DATA_IMPORT!$B:$B, MATCH(L57, DATA_IMPORT!$A:$A, 0)), "")</f>
        <v/>
      </c>
      <c r="N57" s="202" t="str">
        <f>IFERROR(VLOOKUP($L57, 'DAY 1 SCORES'!$B:$K, 10, FALSE), "")</f>
        <v>///</v>
      </c>
      <c r="O57" s="203" t="str">
        <f>IF(L57="", "", IFERROR(INDEX('DAY 1 SCORES'!$H:$H, MATCH(L57, 'DAY 1 SCORES'!$B:$B, 0)), ""))</f>
        <v/>
      </c>
      <c r="P57" s="161">
        <v>55</v>
      </c>
      <c r="Q57" s="296" t="str">
        <f>IFERROR(INDEX('DAY 1 SCORES'!$B:$B, MATCH("BLUE" &amp; $A57, 'DAY 1 SCORES'!$J:$J, 0)), "")</f>
        <v/>
      </c>
      <c r="R57" s="162" t="str">
        <f>IFERROR(INDEX(DATA_IMPORT!$B:$B, MATCH(Q57, DATA_IMPORT!$A:$A, 0)), "")</f>
        <v/>
      </c>
      <c r="S57" s="162" t="str">
        <f>IFERROR(VLOOKUP($Q57, 'DAY 1 SCORES'!$B:$K, 10, FALSE), "")</f>
        <v>///</v>
      </c>
      <c r="T57" s="162" t="str">
        <f>IF(Q57="", "", IFERROR(INDEX('DAY 1 SCORES'!$H:$H, MATCH(Q57, 'DAY 1 SCORES'!$B:$B, 0)), ""))</f>
        <v/>
      </c>
    </row>
    <row r="58" spans="2:20" ht="27.75" hidden="1" customHeight="1">
      <c r="B58" s="154" t="str">
        <f>IFERROR(INDEX('DAY 1 SCORES'!$B:$B, MATCH("RED" &amp; $A58, 'DAY 1 SCORES'!$J:$J, 0)), "")</f>
        <v/>
      </c>
      <c r="C58" s="155" t="str">
        <f>IFERROR(INDEX(DATA_IMPORT!$B:$B, MATCH(B58, DATA_IMPORT!$A:$A, 0)), "")</f>
        <v/>
      </c>
      <c r="D58" s="155" t="str">
        <f>IFERROR(VLOOKUP($B58, 'DAY 1 SCORES'!$B:$K, 10, FALSE), "")</f>
        <v>///</v>
      </c>
      <c r="E58" s="156" t="str">
        <f>IF(B58="", "", IFERROR(INDEX('DAY 1 SCORES'!$H:$H, MATCH(B58, 'DAY 1 SCORES'!$B:$B, 0)), ""))</f>
        <v/>
      </c>
      <c r="F58" s="157">
        <v>56</v>
      </c>
      <c r="G58" s="158" t="str">
        <f>IFERROR(INDEX('DAY 1 SCORES'!$B:$B, MATCH("YELLOW" &amp; $A58, 'DAY 1 SCORES'!$J:$J, 0)), "")</f>
        <v/>
      </c>
      <c r="H58" s="159" t="str">
        <f>IFERROR(INDEX(DATA_IMPORT!$B:$B, MATCH(G58, DATA_IMPORT!$A:$A, 0)), "")</f>
        <v/>
      </c>
      <c r="I58" s="159" t="str">
        <f>IFERROR(VLOOKUP($G58, 'DAY 1 SCORES'!$B:$K, 10, FALSE), "")</f>
        <v>///</v>
      </c>
      <c r="J58" s="159" t="str">
        <f>IF(G58="", "", IFERROR(INDEX('DAY 1 SCORES'!$H:$H, MATCH(G58, 'DAY 1 SCORES'!$B:$B, 0)), ""))</f>
        <v/>
      </c>
      <c r="K58" s="160">
        <v>56</v>
      </c>
      <c r="L58" s="201" t="str">
        <f>IFERROR(INDEX('DAY 1 SCORES'!$B:$B, MATCH("GREEN" &amp; $A58, 'DAY 1 SCORES'!$J:$J, 0)), "")</f>
        <v/>
      </c>
      <c r="M58" s="202" t="str">
        <f>IFERROR(INDEX(DATA_IMPORT!$B:$B, MATCH(L58, DATA_IMPORT!$A:$A, 0)), "")</f>
        <v/>
      </c>
      <c r="N58" s="202" t="str">
        <f>IFERROR(VLOOKUP($L58, 'DAY 1 SCORES'!$B:$K, 10, FALSE), "")</f>
        <v>///</v>
      </c>
      <c r="O58" s="203" t="str">
        <f>IF(L58="", "", IFERROR(INDEX('DAY 1 SCORES'!$H:$H, MATCH(L58, 'DAY 1 SCORES'!$B:$B, 0)), ""))</f>
        <v/>
      </c>
      <c r="P58" s="161">
        <v>56</v>
      </c>
      <c r="Q58" s="296" t="str">
        <f>IFERROR(INDEX('DAY 1 SCORES'!$B:$B, MATCH("BLUE" &amp; $A58, 'DAY 1 SCORES'!$J:$J, 0)), "")</f>
        <v/>
      </c>
      <c r="R58" s="162" t="str">
        <f>IFERROR(INDEX(DATA_IMPORT!$B:$B, MATCH(Q58, DATA_IMPORT!$A:$A, 0)), "")</f>
        <v/>
      </c>
      <c r="S58" s="162" t="str">
        <f>IFERROR(VLOOKUP($Q58, 'DAY 1 SCORES'!$B:$K, 10, FALSE), "")</f>
        <v>///</v>
      </c>
      <c r="T58" s="162" t="str">
        <f>IF(Q58="", "", IFERROR(INDEX('DAY 1 SCORES'!$H:$H, MATCH(Q58, 'DAY 1 SCORES'!$B:$B, 0)), ""))</f>
        <v/>
      </c>
    </row>
    <row r="59" spans="2:20" ht="27.75" hidden="1" customHeight="1">
      <c r="B59" s="154" t="str">
        <f>IFERROR(INDEX('DAY 1 SCORES'!$B:$B, MATCH("RED" &amp; $A59, 'DAY 1 SCORES'!$J:$J, 0)), "")</f>
        <v/>
      </c>
      <c r="C59" s="155" t="str">
        <f>IFERROR(INDEX(DATA_IMPORT!$B:$B, MATCH(B59, DATA_IMPORT!$A:$A, 0)), "")</f>
        <v/>
      </c>
      <c r="D59" s="155" t="str">
        <f>IFERROR(VLOOKUP($B59, 'DAY 1 SCORES'!$B:$K, 10, FALSE), "")</f>
        <v>///</v>
      </c>
      <c r="E59" s="156" t="str">
        <f>IF(B59="", "", IFERROR(INDEX('DAY 1 SCORES'!$H:$H, MATCH(B59, 'DAY 1 SCORES'!$B:$B, 0)), ""))</f>
        <v/>
      </c>
      <c r="F59" s="157">
        <v>57</v>
      </c>
      <c r="G59" s="158" t="str">
        <f>IFERROR(INDEX('DAY 1 SCORES'!$B:$B, MATCH("YELLOW" &amp; $A59, 'DAY 1 SCORES'!$J:$J, 0)), "")</f>
        <v/>
      </c>
      <c r="H59" s="159" t="str">
        <f>IFERROR(INDEX(DATA_IMPORT!$B:$B, MATCH(G59, DATA_IMPORT!$A:$A, 0)), "")</f>
        <v/>
      </c>
      <c r="I59" s="159" t="str">
        <f>IFERROR(VLOOKUP($G59, 'DAY 1 SCORES'!$B:$K, 10, FALSE), "")</f>
        <v>///</v>
      </c>
      <c r="J59" s="159" t="str">
        <f>IF(G59="", "", IFERROR(INDEX('DAY 1 SCORES'!$H:$H, MATCH(G59, 'DAY 1 SCORES'!$B:$B, 0)), ""))</f>
        <v/>
      </c>
      <c r="K59" s="160">
        <v>57</v>
      </c>
      <c r="L59" s="201" t="str">
        <f>IFERROR(INDEX('DAY 1 SCORES'!$B:$B, MATCH("GREEN" &amp; $A59, 'DAY 1 SCORES'!$J:$J, 0)), "")</f>
        <v/>
      </c>
      <c r="M59" s="202" t="str">
        <f>IFERROR(INDEX(DATA_IMPORT!$B:$B, MATCH(L59, DATA_IMPORT!$A:$A, 0)), "")</f>
        <v/>
      </c>
      <c r="N59" s="202" t="str">
        <f>IFERROR(VLOOKUP($L59, 'DAY 1 SCORES'!$B:$K, 10, FALSE), "")</f>
        <v>///</v>
      </c>
      <c r="O59" s="203" t="str">
        <f>IF(L59="", "", IFERROR(INDEX('DAY 1 SCORES'!$H:$H, MATCH(L59, 'DAY 1 SCORES'!$B:$B, 0)), ""))</f>
        <v/>
      </c>
      <c r="P59" s="161">
        <v>57</v>
      </c>
      <c r="Q59" s="296" t="str">
        <f>IFERROR(INDEX('DAY 1 SCORES'!$B:$B, MATCH("BLUE" &amp; $A59, 'DAY 1 SCORES'!$J:$J, 0)), "")</f>
        <v/>
      </c>
      <c r="R59" s="162" t="str">
        <f>IFERROR(INDEX(DATA_IMPORT!$B:$B, MATCH(Q59, DATA_IMPORT!$A:$A, 0)), "")</f>
        <v/>
      </c>
      <c r="S59" s="162" t="str">
        <f>IFERROR(VLOOKUP($Q59, 'DAY 1 SCORES'!$B:$K, 10, FALSE), "")</f>
        <v>///</v>
      </c>
      <c r="T59" s="162" t="str">
        <f>IF(Q59="", "", IFERROR(INDEX('DAY 1 SCORES'!$H:$H, MATCH(Q59, 'DAY 1 SCORES'!$B:$B, 0)), ""))</f>
        <v/>
      </c>
    </row>
    <row r="60" spans="2:20" ht="27.75" hidden="1" customHeight="1">
      <c r="B60" s="154" t="str">
        <f>IFERROR(INDEX('DAY 1 SCORES'!$B:$B, MATCH("RED" &amp; $A60, 'DAY 1 SCORES'!$J:$J, 0)), "")</f>
        <v/>
      </c>
      <c r="C60" s="155" t="str">
        <f>IFERROR(INDEX(DATA_IMPORT!$B:$B, MATCH(B60, DATA_IMPORT!$A:$A, 0)), "")</f>
        <v/>
      </c>
      <c r="D60" s="155" t="str">
        <f>IFERROR(VLOOKUP($B60, 'DAY 1 SCORES'!$B:$K, 10, FALSE), "")</f>
        <v>///</v>
      </c>
      <c r="E60" s="156" t="str">
        <f>IF(B60="", "", IFERROR(INDEX('DAY 1 SCORES'!$H:$H, MATCH(B60, 'DAY 1 SCORES'!$B:$B, 0)), ""))</f>
        <v/>
      </c>
      <c r="F60" s="157">
        <v>58</v>
      </c>
      <c r="G60" s="158" t="str">
        <f>IFERROR(INDEX('DAY 1 SCORES'!$B:$B, MATCH("YELLOW" &amp; $A60, 'DAY 1 SCORES'!$J:$J, 0)), "")</f>
        <v/>
      </c>
      <c r="H60" s="159" t="str">
        <f>IFERROR(INDEX(DATA_IMPORT!$B:$B, MATCH(G60, DATA_IMPORT!$A:$A, 0)), "")</f>
        <v/>
      </c>
      <c r="I60" s="159" t="str">
        <f>IFERROR(VLOOKUP($G60, 'DAY 1 SCORES'!$B:$K, 10, FALSE), "")</f>
        <v>///</v>
      </c>
      <c r="J60" s="159" t="str">
        <f>IF(G60="", "", IFERROR(INDEX('DAY 1 SCORES'!$H:$H, MATCH(G60, 'DAY 1 SCORES'!$B:$B, 0)), ""))</f>
        <v/>
      </c>
      <c r="K60" s="160">
        <v>58</v>
      </c>
      <c r="L60" s="201" t="str">
        <f>IFERROR(INDEX('DAY 1 SCORES'!$B:$B, MATCH("GREEN" &amp; $A60, 'DAY 1 SCORES'!$J:$J, 0)), "")</f>
        <v/>
      </c>
      <c r="M60" s="202" t="str">
        <f>IFERROR(INDEX(DATA_IMPORT!$B:$B, MATCH(L60, DATA_IMPORT!$A:$A, 0)), "")</f>
        <v/>
      </c>
      <c r="N60" s="202" t="str">
        <f>IFERROR(VLOOKUP($L60, 'DAY 1 SCORES'!$B:$K, 10, FALSE), "")</f>
        <v>///</v>
      </c>
      <c r="O60" s="203" t="str">
        <f>IF(L60="", "", IFERROR(INDEX('DAY 1 SCORES'!$H:$H, MATCH(L60, 'DAY 1 SCORES'!$B:$B, 0)), ""))</f>
        <v/>
      </c>
      <c r="P60" s="161">
        <v>58</v>
      </c>
      <c r="Q60" s="296" t="str">
        <f>IFERROR(INDEX('DAY 1 SCORES'!$B:$B, MATCH("BLUE" &amp; $A60, 'DAY 1 SCORES'!$J:$J, 0)), "")</f>
        <v/>
      </c>
      <c r="R60" s="162" t="str">
        <f>IFERROR(INDEX(DATA_IMPORT!$B:$B, MATCH(Q60, DATA_IMPORT!$A:$A, 0)), "")</f>
        <v/>
      </c>
      <c r="S60" s="162" t="str">
        <f>IFERROR(VLOOKUP($Q60, 'DAY 1 SCORES'!$B:$K, 10, FALSE), "")</f>
        <v>///</v>
      </c>
      <c r="T60" s="162" t="str">
        <f>IF(Q60="", "", IFERROR(INDEX('DAY 1 SCORES'!$H:$H, MATCH(Q60, 'DAY 1 SCORES'!$B:$B, 0)), ""))</f>
        <v/>
      </c>
    </row>
    <row r="61" spans="2:20" ht="27.75" hidden="1" customHeight="1">
      <c r="B61" s="154" t="str">
        <f>IFERROR(INDEX('DAY 1 SCORES'!$B:$B, MATCH("RED" &amp; $A61, 'DAY 1 SCORES'!$J:$J, 0)), "")</f>
        <v/>
      </c>
      <c r="C61" s="155" t="str">
        <f>IFERROR(INDEX(DATA_IMPORT!$B:$B, MATCH(B61, DATA_IMPORT!$A:$A, 0)), "")</f>
        <v/>
      </c>
      <c r="D61" s="155" t="str">
        <f>IFERROR(VLOOKUP($B61, 'DAY 1 SCORES'!$B:$K, 10, FALSE), "")</f>
        <v>///</v>
      </c>
      <c r="E61" s="156" t="str">
        <f>IF(B61="", "", IFERROR(INDEX('DAY 1 SCORES'!$H:$H, MATCH(B61, 'DAY 1 SCORES'!$B:$B, 0)), ""))</f>
        <v/>
      </c>
      <c r="F61" s="157">
        <v>59</v>
      </c>
      <c r="G61" s="158" t="str">
        <f>IFERROR(INDEX('DAY 1 SCORES'!$B:$B, MATCH("YELLOW" &amp; $A61, 'DAY 1 SCORES'!$J:$J, 0)), "")</f>
        <v/>
      </c>
      <c r="H61" s="159" t="str">
        <f>IFERROR(INDEX(DATA_IMPORT!$B:$B, MATCH(G61, DATA_IMPORT!$A:$A, 0)), "")</f>
        <v/>
      </c>
      <c r="I61" s="159" t="str">
        <f>IFERROR(VLOOKUP($G61, 'DAY 1 SCORES'!$B:$K, 10, FALSE), "")</f>
        <v>///</v>
      </c>
      <c r="J61" s="159" t="str">
        <f>IF(G61="", "", IFERROR(INDEX('DAY 1 SCORES'!$H:$H, MATCH(G61, 'DAY 1 SCORES'!$B:$B, 0)), ""))</f>
        <v/>
      </c>
      <c r="K61" s="160">
        <v>59</v>
      </c>
      <c r="L61" s="201" t="str">
        <f>IFERROR(INDEX('DAY 1 SCORES'!$B:$B, MATCH("GREEN" &amp; $A61, 'DAY 1 SCORES'!$J:$J, 0)), "")</f>
        <v/>
      </c>
      <c r="M61" s="202" t="str">
        <f>IFERROR(INDEX(DATA_IMPORT!$B:$B, MATCH(L61, DATA_IMPORT!$A:$A, 0)), "")</f>
        <v/>
      </c>
      <c r="N61" s="202" t="str">
        <f>IFERROR(VLOOKUP($L61, 'DAY 1 SCORES'!$B:$K, 10, FALSE), "")</f>
        <v>///</v>
      </c>
      <c r="O61" s="203" t="str">
        <f>IF(L61="", "", IFERROR(INDEX('DAY 1 SCORES'!$H:$H, MATCH(L61, 'DAY 1 SCORES'!$B:$B, 0)), ""))</f>
        <v/>
      </c>
      <c r="P61" s="161">
        <v>59</v>
      </c>
      <c r="Q61" s="296" t="str">
        <f>IFERROR(INDEX('DAY 1 SCORES'!$B:$B, MATCH("BLUE" &amp; $A61, 'DAY 1 SCORES'!$J:$J, 0)), "")</f>
        <v/>
      </c>
      <c r="R61" s="162" t="str">
        <f>IFERROR(INDEX(DATA_IMPORT!$B:$B, MATCH(Q61, DATA_IMPORT!$A:$A, 0)), "")</f>
        <v/>
      </c>
      <c r="S61" s="162" t="str">
        <f>IFERROR(VLOOKUP($Q61, 'DAY 1 SCORES'!$B:$K, 10, FALSE), "")</f>
        <v>///</v>
      </c>
      <c r="T61" s="162" t="str">
        <f>IF(Q61="", "", IFERROR(INDEX('DAY 1 SCORES'!$H:$H, MATCH(Q61, 'DAY 1 SCORES'!$B:$B, 0)), ""))</f>
        <v/>
      </c>
    </row>
    <row r="62" spans="2:20" ht="27.75" hidden="1" customHeight="1">
      <c r="B62" s="154" t="str">
        <f>IFERROR(INDEX('DAY 1 SCORES'!$B:$B, MATCH("RED" &amp; $A62, 'DAY 1 SCORES'!$J:$J, 0)), "")</f>
        <v/>
      </c>
      <c r="C62" s="155" t="str">
        <f>IFERROR(INDEX(DATA_IMPORT!$B:$B, MATCH(B62, DATA_IMPORT!$A:$A, 0)), "")</f>
        <v/>
      </c>
      <c r="D62" s="155" t="str">
        <f>IFERROR(VLOOKUP($B62, 'DAY 1 SCORES'!$B:$K, 10, FALSE), "")</f>
        <v>///</v>
      </c>
      <c r="E62" s="156" t="str">
        <f>IF(B62="", "", IFERROR(INDEX('DAY 1 SCORES'!$H:$H, MATCH(B62, 'DAY 1 SCORES'!$B:$B, 0)), ""))</f>
        <v/>
      </c>
      <c r="F62" s="157">
        <v>60</v>
      </c>
      <c r="G62" s="158" t="str">
        <f>IFERROR(INDEX('DAY 1 SCORES'!$B:$B, MATCH("YELLOW" &amp; $A62, 'DAY 1 SCORES'!$J:$J, 0)), "")</f>
        <v/>
      </c>
      <c r="H62" s="159" t="str">
        <f>IFERROR(INDEX(DATA_IMPORT!$B:$B, MATCH(G62, DATA_IMPORT!$A:$A, 0)), "")</f>
        <v/>
      </c>
      <c r="I62" s="159" t="str">
        <f>IFERROR(VLOOKUP($G62, 'DAY 1 SCORES'!$B:$K, 10, FALSE), "")</f>
        <v>///</v>
      </c>
      <c r="J62" s="159" t="str">
        <f>IF(G62="", "", IFERROR(INDEX('DAY 1 SCORES'!$H:$H, MATCH(G62, 'DAY 1 SCORES'!$B:$B, 0)), ""))</f>
        <v/>
      </c>
      <c r="K62" s="160">
        <v>60</v>
      </c>
      <c r="L62" s="201" t="str">
        <f>IFERROR(INDEX('DAY 1 SCORES'!$B:$B, MATCH("GREEN" &amp; $A62, 'DAY 1 SCORES'!$J:$J, 0)), "")</f>
        <v/>
      </c>
      <c r="M62" s="202" t="str">
        <f>IFERROR(INDEX(DATA_IMPORT!$B:$B, MATCH(L62, DATA_IMPORT!$A:$A, 0)), "")</f>
        <v/>
      </c>
      <c r="N62" s="202" t="str">
        <f>IFERROR(VLOOKUP($L62, 'DAY 1 SCORES'!$B:$K, 10, FALSE), "")</f>
        <v>///</v>
      </c>
      <c r="O62" s="203" t="str">
        <f>IF(L62="", "", IFERROR(INDEX('DAY 1 SCORES'!$H:$H, MATCH(L62, 'DAY 1 SCORES'!$B:$B, 0)), ""))</f>
        <v/>
      </c>
      <c r="P62" s="161">
        <v>60</v>
      </c>
      <c r="Q62" s="296" t="str">
        <f>IFERROR(INDEX('DAY 1 SCORES'!$B:$B, MATCH("BLUE" &amp; $A62, 'DAY 1 SCORES'!$J:$J, 0)), "")</f>
        <v/>
      </c>
      <c r="R62" s="162" t="str">
        <f>IFERROR(INDEX(DATA_IMPORT!$B:$B, MATCH(Q62, DATA_IMPORT!$A:$A, 0)), "")</f>
        <v/>
      </c>
      <c r="S62" s="162" t="str">
        <f>IFERROR(VLOOKUP($Q62, 'DAY 1 SCORES'!$B:$K, 10, FALSE), "")</f>
        <v>///</v>
      </c>
      <c r="T62" s="162" t="str">
        <f>IF(Q62="", "", IFERROR(INDEX('DAY 1 SCORES'!$H:$H, MATCH(Q62, 'DAY 1 SCORES'!$B:$B, 0)), ""))</f>
        <v/>
      </c>
    </row>
    <row r="63" spans="2:20" ht="27.75" hidden="1" customHeight="1">
      <c r="B63" s="154" t="str">
        <f>IFERROR(INDEX('DAY 1 SCORES'!$B:$B, MATCH("RED" &amp; $A63, 'DAY 1 SCORES'!$J:$J, 0)), "")</f>
        <v/>
      </c>
      <c r="C63" s="155" t="str">
        <f>IFERROR(INDEX(DATA_IMPORT!$B:$B, MATCH(B63, DATA_IMPORT!$A:$A, 0)), "")</f>
        <v/>
      </c>
      <c r="D63" s="155" t="str">
        <f>IFERROR(VLOOKUP($B63, 'DAY 1 SCORES'!$B:$K, 10, FALSE), "")</f>
        <v>///</v>
      </c>
      <c r="E63" s="156" t="str">
        <f>IF(B63="", "", IFERROR(INDEX('DAY 1 SCORES'!$H:$H, MATCH(B63, 'DAY 1 SCORES'!$B:$B, 0)), ""))</f>
        <v/>
      </c>
      <c r="F63" s="157">
        <v>61</v>
      </c>
      <c r="G63" s="158" t="str">
        <f>IFERROR(INDEX('DAY 1 SCORES'!$B:$B, MATCH("YELLOW" &amp; $A63, 'DAY 1 SCORES'!$J:$J, 0)), "")</f>
        <v/>
      </c>
      <c r="H63" s="159" t="str">
        <f>IFERROR(INDEX(DATA_IMPORT!$B:$B, MATCH(G63, DATA_IMPORT!$A:$A, 0)), "")</f>
        <v/>
      </c>
      <c r="I63" s="159" t="str">
        <f>IFERROR(VLOOKUP($G63, 'DAY 1 SCORES'!$B:$K, 10, FALSE), "")</f>
        <v>///</v>
      </c>
      <c r="J63" s="159" t="str">
        <f>IF(G63="", "", IFERROR(INDEX('DAY 1 SCORES'!$H:$H, MATCH(G63, 'DAY 1 SCORES'!$B:$B, 0)), ""))</f>
        <v/>
      </c>
      <c r="K63" s="160">
        <v>61</v>
      </c>
      <c r="L63" s="201" t="str">
        <f>IFERROR(INDEX('DAY 1 SCORES'!$B:$B, MATCH("GREEN" &amp; $A63, 'DAY 1 SCORES'!$J:$J, 0)), "")</f>
        <v/>
      </c>
      <c r="M63" s="202" t="str">
        <f>IFERROR(INDEX(DATA_IMPORT!$B:$B, MATCH(L63, DATA_IMPORT!$A:$A, 0)), "")</f>
        <v/>
      </c>
      <c r="N63" s="202" t="str">
        <f>IFERROR(VLOOKUP($L63, 'DAY 1 SCORES'!$B:$K, 10, FALSE), "")</f>
        <v>///</v>
      </c>
      <c r="O63" s="203" t="str">
        <f>IF(L63="", "", IFERROR(INDEX('DAY 1 SCORES'!$H:$H, MATCH(L63, 'DAY 1 SCORES'!$B:$B, 0)), ""))</f>
        <v/>
      </c>
      <c r="P63" s="161">
        <v>61</v>
      </c>
      <c r="Q63" s="296" t="str">
        <f>IFERROR(INDEX('DAY 1 SCORES'!$B:$B, MATCH("BLUE" &amp; $A63, 'DAY 1 SCORES'!$J:$J, 0)), "")</f>
        <v/>
      </c>
      <c r="R63" s="162" t="str">
        <f>IFERROR(INDEX(DATA_IMPORT!$B:$B, MATCH(Q63, DATA_IMPORT!$A:$A, 0)), "")</f>
        <v/>
      </c>
      <c r="S63" s="162" t="str">
        <f>IFERROR(VLOOKUP($Q63, 'DAY 1 SCORES'!$B:$K, 10, FALSE), "")</f>
        <v>///</v>
      </c>
      <c r="T63" s="162" t="str">
        <f>IF(Q63="", "", IFERROR(INDEX('DAY 1 SCORES'!$H:$H, MATCH(Q63, 'DAY 1 SCORES'!$B:$B, 0)), ""))</f>
        <v/>
      </c>
    </row>
    <row r="64" spans="2:20" ht="27.75" hidden="1" customHeight="1">
      <c r="B64" s="154" t="str">
        <f>IFERROR(INDEX('DAY 1 SCORES'!$B:$B, MATCH("RED" &amp; $A64, 'DAY 1 SCORES'!$J:$J, 0)), "")</f>
        <v/>
      </c>
      <c r="C64" s="155" t="str">
        <f>IFERROR(INDEX(DATA_IMPORT!$B:$B, MATCH(B64, DATA_IMPORT!$A:$A, 0)), "")</f>
        <v/>
      </c>
      <c r="D64" s="155" t="str">
        <f>IFERROR(VLOOKUP($B64, 'DAY 1 SCORES'!$B:$K, 10, FALSE), "")</f>
        <v>///</v>
      </c>
      <c r="E64" s="156" t="str">
        <f>IF(B64="", "", IFERROR(INDEX('DAY 1 SCORES'!$H:$H, MATCH(B64, 'DAY 1 SCORES'!$B:$B, 0)), ""))</f>
        <v/>
      </c>
      <c r="F64" s="157">
        <v>62</v>
      </c>
      <c r="G64" s="158" t="str">
        <f>IFERROR(INDEX('DAY 1 SCORES'!$B:$B, MATCH("YELLOW" &amp; $A64, 'DAY 1 SCORES'!$J:$J, 0)), "")</f>
        <v/>
      </c>
      <c r="H64" s="159" t="str">
        <f>IFERROR(INDEX(DATA_IMPORT!$B:$B, MATCH(G64, DATA_IMPORT!$A:$A, 0)), "")</f>
        <v/>
      </c>
      <c r="I64" s="159" t="str">
        <f>IFERROR(VLOOKUP($G64, 'DAY 1 SCORES'!$B:$K, 10, FALSE), "")</f>
        <v>///</v>
      </c>
      <c r="J64" s="159" t="str">
        <f>IF(G64="", "", IFERROR(INDEX('DAY 1 SCORES'!$H:$H, MATCH(G64, 'DAY 1 SCORES'!$B:$B, 0)), ""))</f>
        <v/>
      </c>
      <c r="K64" s="160">
        <v>62</v>
      </c>
      <c r="L64" s="201" t="str">
        <f>IFERROR(INDEX('DAY 1 SCORES'!$B:$B, MATCH("GREEN" &amp; $A64, 'DAY 1 SCORES'!$J:$J, 0)), "")</f>
        <v/>
      </c>
      <c r="M64" s="202" t="str">
        <f>IFERROR(INDEX(DATA_IMPORT!$B:$B, MATCH(L64, DATA_IMPORT!$A:$A, 0)), "")</f>
        <v/>
      </c>
      <c r="N64" s="202" t="str">
        <f>IFERROR(VLOOKUP($L64, 'DAY 1 SCORES'!$B:$K, 10, FALSE), "")</f>
        <v>///</v>
      </c>
      <c r="O64" s="203" t="str">
        <f>IF(L64="", "", IFERROR(INDEX('DAY 1 SCORES'!$H:$H, MATCH(L64, 'DAY 1 SCORES'!$B:$B, 0)), ""))</f>
        <v/>
      </c>
      <c r="P64" s="161">
        <v>62</v>
      </c>
      <c r="Q64" s="296" t="str">
        <f>IFERROR(INDEX('DAY 1 SCORES'!$B:$B, MATCH("BLUE" &amp; $A64, 'DAY 1 SCORES'!$J:$J, 0)), "")</f>
        <v/>
      </c>
      <c r="R64" s="162" t="str">
        <f>IFERROR(INDEX(DATA_IMPORT!$B:$B, MATCH(Q64, DATA_IMPORT!$A:$A, 0)), "")</f>
        <v/>
      </c>
      <c r="S64" s="162" t="str">
        <f>IFERROR(VLOOKUP($Q64, 'DAY 1 SCORES'!$B:$K, 10, FALSE), "")</f>
        <v>///</v>
      </c>
      <c r="T64" s="162" t="str">
        <f>IF(Q64="", "", IFERROR(INDEX('DAY 1 SCORES'!$H:$H, MATCH(Q64, 'DAY 1 SCORES'!$B:$B, 0)), ""))</f>
        <v/>
      </c>
    </row>
    <row r="65" spans="2:20" ht="27.75" hidden="1" customHeight="1">
      <c r="B65" s="154" t="str">
        <f>IFERROR(INDEX('DAY 1 SCORES'!$B:$B, MATCH("RED" &amp; $A65, 'DAY 1 SCORES'!$J:$J, 0)), "")</f>
        <v/>
      </c>
      <c r="C65" s="155" t="str">
        <f>IFERROR(INDEX(DATA_IMPORT!$B:$B, MATCH(B65, DATA_IMPORT!$A:$A, 0)), "")</f>
        <v/>
      </c>
      <c r="D65" s="155" t="str">
        <f>IFERROR(VLOOKUP($B65, 'DAY 1 SCORES'!$B:$K, 10, FALSE), "")</f>
        <v>///</v>
      </c>
      <c r="E65" s="156" t="str">
        <f>IF(B65="", "", IFERROR(INDEX('DAY 1 SCORES'!$H:$H, MATCH(B65, 'DAY 1 SCORES'!$B:$B, 0)), ""))</f>
        <v/>
      </c>
      <c r="F65" s="157">
        <v>63</v>
      </c>
      <c r="G65" s="158" t="str">
        <f>IFERROR(INDEX('DAY 1 SCORES'!$B:$B, MATCH("YELLOW" &amp; $A65, 'DAY 1 SCORES'!$J:$J, 0)), "")</f>
        <v/>
      </c>
      <c r="H65" s="159" t="str">
        <f>IFERROR(INDEX(DATA_IMPORT!$B:$B, MATCH(G65, DATA_IMPORT!$A:$A, 0)), "")</f>
        <v/>
      </c>
      <c r="I65" s="159" t="str">
        <f>IFERROR(VLOOKUP($G65, 'DAY 1 SCORES'!$B:$K, 10, FALSE), "")</f>
        <v>///</v>
      </c>
      <c r="J65" s="159" t="str">
        <f>IF(G65="", "", IFERROR(INDEX('DAY 1 SCORES'!$H:$H, MATCH(G65, 'DAY 1 SCORES'!$B:$B, 0)), ""))</f>
        <v/>
      </c>
      <c r="K65" s="160">
        <v>63</v>
      </c>
      <c r="L65" s="201" t="str">
        <f>IFERROR(INDEX('DAY 1 SCORES'!$B:$B, MATCH("GREEN" &amp; $A65, 'DAY 1 SCORES'!$J:$J, 0)), "")</f>
        <v/>
      </c>
      <c r="M65" s="202" t="str">
        <f>IFERROR(INDEX(DATA_IMPORT!$B:$B, MATCH(L65, DATA_IMPORT!$A:$A, 0)), "")</f>
        <v/>
      </c>
      <c r="N65" s="202" t="str">
        <f>IFERROR(VLOOKUP($L65, 'DAY 1 SCORES'!$B:$K, 10, FALSE), "")</f>
        <v>///</v>
      </c>
      <c r="O65" s="203" t="str">
        <f>IF(L65="", "", IFERROR(INDEX('DAY 1 SCORES'!$H:$H, MATCH(L65, 'DAY 1 SCORES'!$B:$B, 0)), ""))</f>
        <v/>
      </c>
      <c r="P65" s="161">
        <v>63</v>
      </c>
      <c r="Q65" s="296" t="str">
        <f>IFERROR(INDEX('DAY 1 SCORES'!$B:$B, MATCH("BLUE" &amp; $A65, 'DAY 1 SCORES'!$J:$J, 0)), "")</f>
        <v/>
      </c>
      <c r="R65" s="162" t="str">
        <f>IFERROR(INDEX(DATA_IMPORT!$B:$B, MATCH(Q65, DATA_IMPORT!$A:$A, 0)), "")</f>
        <v/>
      </c>
      <c r="S65" s="162" t="str">
        <f>IFERROR(VLOOKUP($Q65, 'DAY 1 SCORES'!$B:$K, 10, FALSE), "")</f>
        <v>///</v>
      </c>
      <c r="T65" s="162" t="str">
        <f>IF(Q65="", "", IFERROR(INDEX('DAY 1 SCORES'!$H:$H, MATCH(Q65, 'DAY 1 SCORES'!$B:$B, 0)), ""))</f>
        <v/>
      </c>
    </row>
    <row r="66" spans="2:20" ht="27.75" hidden="1" customHeight="1">
      <c r="B66" s="154" t="str">
        <f>IFERROR(INDEX('DAY 1 SCORES'!$B:$B, MATCH("RED" &amp; $A66, 'DAY 1 SCORES'!$J:$J, 0)), "")</f>
        <v/>
      </c>
      <c r="C66" s="155" t="str">
        <f>IFERROR(INDEX(DATA_IMPORT!$B:$B, MATCH(B66, DATA_IMPORT!$A:$A, 0)), "")</f>
        <v/>
      </c>
      <c r="D66" s="155" t="str">
        <f>IFERROR(VLOOKUP($B66, 'DAY 1 SCORES'!$B:$K, 10, FALSE), "")</f>
        <v>///</v>
      </c>
      <c r="E66" s="156" t="str">
        <f>IF(B66="", "", IFERROR(INDEX('DAY 1 SCORES'!$H:$H, MATCH(B66, 'DAY 1 SCORES'!$B:$B, 0)), ""))</f>
        <v/>
      </c>
      <c r="F66" s="157">
        <v>64</v>
      </c>
      <c r="G66" s="158" t="str">
        <f>IFERROR(INDEX('DAY 1 SCORES'!$B:$B, MATCH("YELLOW" &amp; $A66, 'DAY 1 SCORES'!$J:$J, 0)), "")</f>
        <v/>
      </c>
      <c r="H66" s="159" t="str">
        <f>IFERROR(INDEX(DATA_IMPORT!$B:$B, MATCH(G66, DATA_IMPORT!$A:$A, 0)), "")</f>
        <v/>
      </c>
      <c r="I66" s="159" t="str">
        <f>IFERROR(VLOOKUP($G66, 'DAY 1 SCORES'!$B:$K, 10, FALSE), "")</f>
        <v>///</v>
      </c>
      <c r="J66" s="159" t="str">
        <f>IF(G66="", "", IFERROR(INDEX('DAY 1 SCORES'!$H:$H, MATCH(G66, 'DAY 1 SCORES'!$B:$B, 0)), ""))</f>
        <v/>
      </c>
      <c r="K66" s="160">
        <v>64</v>
      </c>
      <c r="L66" s="201" t="str">
        <f>IFERROR(INDEX('DAY 1 SCORES'!$B:$B, MATCH("GREEN" &amp; $A66, 'DAY 1 SCORES'!$J:$J, 0)), "")</f>
        <v/>
      </c>
      <c r="M66" s="202" t="str">
        <f>IFERROR(INDEX(DATA_IMPORT!$B:$B, MATCH(L66, DATA_IMPORT!$A:$A, 0)), "")</f>
        <v/>
      </c>
      <c r="N66" s="202" t="str">
        <f>IFERROR(VLOOKUP($L66, 'DAY 1 SCORES'!$B:$K, 10, FALSE), "")</f>
        <v>///</v>
      </c>
      <c r="O66" s="203" t="str">
        <f t="shared" ref="O4:O67" si="0">IF(L66="","",K66)</f>
        <v/>
      </c>
      <c r="P66" s="161">
        <v>64</v>
      </c>
      <c r="Q66" s="296" t="str">
        <f>IFERROR(INDEX('DAY 1 SCORES'!$B:$B, MATCH("BLUE" &amp; $A66, 'DAY 1 SCORES'!$J:$J, 0)), "")</f>
        <v/>
      </c>
      <c r="R66" s="162" t="str">
        <f>IFERROR(INDEX(DATA_IMPORT!$B:$B, MATCH(Q66, DATA_IMPORT!$A:$A, 0)), "")</f>
        <v/>
      </c>
      <c r="S66" s="162" t="str">
        <f>IFERROR(VLOOKUP($Q66, 'DAY 1 SCORES'!$B:$K, 10, FALSE), "")</f>
        <v>///</v>
      </c>
      <c r="T66" s="162" t="str">
        <f>IF(Q66="", "", IFERROR(INDEX('DAY 1 SCORES'!$H:$H, MATCH(Q66, 'DAY 1 SCORES'!$B:$B, 0)), ""))</f>
        <v/>
      </c>
    </row>
    <row r="67" spans="2:20" ht="27.75" hidden="1" customHeight="1">
      <c r="B67" s="154" t="str">
        <f>IFERROR(INDEX('DAY 1 SCORES'!$B:$B, MATCH("RED" &amp; $A67, 'DAY 1 SCORES'!$J:$J, 0)), "")</f>
        <v/>
      </c>
      <c r="C67" s="155" t="str">
        <f>IFERROR(INDEX(DATA_IMPORT!$B:$B, MATCH(B67, DATA_IMPORT!$A:$A, 0)), "")</f>
        <v/>
      </c>
      <c r="D67" s="155" t="str">
        <f>IFERROR(VLOOKUP($B67, 'DAY 1 SCORES'!$B:$K, 10, FALSE), "")</f>
        <v>///</v>
      </c>
      <c r="E67" s="156" t="str">
        <f>IF(B67="", "", IFERROR(INDEX('DAY 1 SCORES'!$H:$H, MATCH(B67, 'DAY 1 SCORES'!$B:$B, 0)), ""))</f>
        <v/>
      </c>
      <c r="F67" s="157">
        <v>65</v>
      </c>
      <c r="G67" s="158" t="str">
        <f>IFERROR(INDEX('DAY 1 SCORES'!$B:$B, MATCH("YELLOW" &amp; $A67, 'DAY 1 SCORES'!$J:$J, 0)), "")</f>
        <v/>
      </c>
      <c r="H67" s="159" t="str">
        <f>IFERROR(INDEX(DATA_IMPORT!$B:$B, MATCH(G67, DATA_IMPORT!$A:$A, 0)), "")</f>
        <v/>
      </c>
      <c r="I67" s="159" t="str">
        <f>IFERROR(VLOOKUP($G67, 'DAY 1 SCORES'!$B:$K, 10, FALSE), "")</f>
        <v>///</v>
      </c>
      <c r="J67" s="159" t="str">
        <f>IF(G67="", "", IFERROR(INDEX('DAY 1 SCORES'!$H:$H, MATCH(G67, 'DAY 1 SCORES'!$B:$B, 0)), ""))</f>
        <v/>
      </c>
      <c r="K67" s="160">
        <v>65</v>
      </c>
      <c r="L67" s="201" t="str">
        <f>IFERROR(INDEX('DAY 1 SCORES'!$B:$B, MATCH("GREEN" &amp; $A67, 'DAY 1 SCORES'!$J:$J, 0)), "")</f>
        <v/>
      </c>
      <c r="M67" s="202" t="str">
        <f>IFERROR(INDEX(DATA_IMPORT!$B:$B, MATCH(L67, DATA_IMPORT!$A:$A, 0)), "")</f>
        <v/>
      </c>
      <c r="N67" s="202" t="str">
        <f>IFERROR(VLOOKUP($L67, 'DAY 1 SCORES'!$B:$K, 10, FALSE), "")</f>
        <v>///</v>
      </c>
      <c r="O67" s="203" t="str">
        <f t="shared" si="0"/>
        <v/>
      </c>
      <c r="P67" s="161">
        <v>65</v>
      </c>
      <c r="Q67" s="296" t="str">
        <f>IFERROR(INDEX('DAY 1 SCORES'!$B:$B, MATCH("BLUE" &amp; $A67, 'DAY 1 SCORES'!$J:$J, 0)), "")</f>
        <v/>
      </c>
      <c r="R67" s="162" t="str">
        <f>IFERROR(INDEX(DATA_IMPORT!$B:$B, MATCH(Q67, DATA_IMPORT!$A:$A, 0)), "")</f>
        <v/>
      </c>
      <c r="S67" s="162" t="str">
        <f>IFERROR(VLOOKUP($Q67, 'DAY 1 SCORES'!$B:$K, 10, FALSE), "")</f>
        <v>///</v>
      </c>
      <c r="T67" s="162" t="str">
        <f>IF(Q67="", "", IFERROR(INDEX('DAY 1 SCORES'!$H:$H, MATCH(Q67, 'DAY 1 SCORES'!$B:$B, 0)), ""))</f>
        <v/>
      </c>
    </row>
    <row r="68" spans="2:20" ht="27.75" hidden="1" customHeight="1">
      <c r="B68" s="154" t="str">
        <f>IFERROR(INDEX('DAY 1 SCORES'!$B:$B, MATCH("RED" &amp; $A68, 'DAY 1 SCORES'!$J:$J, 0)), "")</f>
        <v/>
      </c>
      <c r="C68" s="155" t="str">
        <f>IFERROR(INDEX(DATA_IMPORT!$B:$B, MATCH(B68, DATA_IMPORT!$A:$A, 0)), "")</f>
        <v/>
      </c>
      <c r="D68" s="155" t="str">
        <f>IFERROR(VLOOKUP($B68, 'DAY 1 SCORES'!$B:$K, 10, FALSE), "")</f>
        <v>///</v>
      </c>
      <c r="E68" s="156" t="str">
        <f>IF(B68="", "", IFERROR(INDEX('DAY 1 SCORES'!$H:$H, MATCH(B68, 'DAY 1 SCORES'!$B:$B, 0)), ""))</f>
        <v/>
      </c>
      <c r="F68" s="157">
        <v>66</v>
      </c>
      <c r="G68" s="158" t="str">
        <f>IFERROR(INDEX('DAY 1 SCORES'!$B:$B, MATCH("YELLOW" &amp; $A68, 'DAY 1 SCORES'!$J:$J, 0)), "")</f>
        <v/>
      </c>
      <c r="H68" s="159" t="str">
        <f>IFERROR(INDEX(DATA_IMPORT!$B:$B, MATCH(G68, DATA_IMPORT!$A:$A, 0)), "")</f>
        <v/>
      </c>
      <c r="I68" s="159" t="str">
        <f>IFERROR(VLOOKUP($G68, 'DAY 1 SCORES'!$B:$K, 10, FALSE), "")</f>
        <v>///</v>
      </c>
      <c r="J68" s="159" t="str">
        <f>IF(G68="", "", IFERROR(INDEX('DAY 1 SCORES'!$H:$H, MATCH(G68, 'DAY 1 SCORES'!$B:$B, 0)), ""))</f>
        <v/>
      </c>
      <c r="K68" s="160">
        <v>66</v>
      </c>
      <c r="L68" s="201" t="str">
        <f>IFERROR(INDEX('DAY 1 SCORES'!$B:$B, MATCH("GREEN" &amp; $A68, 'DAY 1 SCORES'!$J:$J, 0)), "")</f>
        <v/>
      </c>
      <c r="M68" s="202" t="str">
        <f>IFERROR(INDEX(DATA_IMPORT!$B:$B, MATCH(L68, DATA_IMPORT!$A:$A, 0)), "")</f>
        <v/>
      </c>
      <c r="N68" s="202" t="str">
        <f>IFERROR(VLOOKUP($L68, 'DAY 1 SCORES'!$B:$K, 10, FALSE), "")</f>
        <v>///</v>
      </c>
      <c r="O68" s="203" t="str">
        <f t="shared" ref="O68:O72" si="1">IF(L68="","",K68)</f>
        <v/>
      </c>
      <c r="P68" s="161">
        <v>66</v>
      </c>
      <c r="Q68" s="296" t="str">
        <f>IFERROR(INDEX('DAY 1 SCORES'!$B:$B, MATCH("BLUE" &amp; $A68, 'DAY 1 SCORES'!$J:$J, 0)), "")</f>
        <v/>
      </c>
      <c r="R68" s="162" t="str">
        <f>IFERROR(INDEX(DATA_IMPORT!$B:$B, MATCH(Q68, DATA_IMPORT!$A:$A, 0)), "")</f>
        <v/>
      </c>
      <c r="S68" s="162" t="str">
        <f>IFERROR(VLOOKUP($Q68, 'DAY 1 SCORES'!$B:$K, 10, FALSE), "")</f>
        <v>///</v>
      </c>
      <c r="T68" s="162" t="str">
        <f>IF(Q68="", "", IFERROR(INDEX('DAY 1 SCORES'!$H:$H, MATCH(Q68, 'DAY 1 SCORES'!$B:$B, 0)), ""))</f>
        <v/>
      </c>
    </row>
    <row r="69" spans="2:20" ht="27.75" hidden="1" customHeight="1">
      <c r="B69" s="154" t="str">
        <f>IFERROR(INDEX('DAY 1 SCORES'!$B:$B, MATCH("RED" &amp; $A69, 'DAY 1 SCORES'!$J:$J, 0)), "")</f>
        <v/>
      </c>
      <c r="C69" s="155" t="str">
        <f>IFERROR(INDEX(DATA_IMPORT!$B:$B, MATCH(B69, DATA_IMPORT!$A:$A, 0)), "")</f>
        <v/>
      </c>
      <c r="D69" s="155" t="str">
        <f>IFERROR(VLOOKUP($B69, 'DAY 1 SCORES'!$B:$K, 10, FALSE), "")</f>
        <v>///</v>
      </c>
      <c r="E69" s="156" t="str">
        <f>IF(B69="", "", IFERROR(INDEX('DAY 1 SCORES'!$H:$H, MATCH(B69, 'DAY 1 SCORES'!$B:$B, 0)), ""))</f>
        <v/>
      </c>
      <c r="F69" s="157">
        <v>67</v>
      </c>
      <c r="G69" s="158" t="str">
        <f>IFERROR(INDEX('DAY 1 SCORES'!$B:$B, MATCH("YELLOW" &amp; $A69, 'DAY 1 SCORES'!$J:$J, 0)), "")</f>
        <v/>
      </c>
      <c r="H69" s="159" t="str">
        <f>IFERROR(INDEX(DATA_IMPORT!$B:$B, MATCH(G69, DATA_IMPORT!$A:$A, 0)), "")</f>
        <v/>
      </c>
      <c r="I69" s="159" t="str">
        <f>IFERROR(VLOOKUP($G69, 'DAY 1 SCORES'!$B:$K, 10, FALSE), "")</f>
        <v>///</v>
      </c>
      <c r="J69" s="159" t="str">
        <f>IF(G69="", "", IFERROR(INDEX('DAY 1 SCORES'!$H:$H, MATCH(G69, 'DAY 1 SCORES'!$B:$B, 0)), ""))</f>
        <v/>
      </c>
      <c r="K69" s="160">
        <v>67</v>
      </c>
      <c r="L69" s="201" t="str">
        <f>IFERROR(INDEX('DAY 1 SCORES'!$B:$B, MATCH("GREEN" &amp; $A69, 'DAY 1 SCORES'!$J:$J, 0)), "")</f>
        <v/>
      </c>
      <c r="M69" s="202" t="str">
        <f>IFERROR(INDEX(DATA_IMPORT!$B:$B, MATCH(L69, DATA_IMPORT!$A:$A, 0)), "")</f>
        <v/>
      </c>
      <c r="N69" s="202" t="str">
        <f>IFERROR(VLOOKUP($L69, 'DAY 1 SCORES'!$B:$K, 10, FALSE), "")</f>
        <v>///</v>
      </c>
      <c r="O69" s="203" t="str">
        <f t="shared" si="1"/>
        <v/>
      </c>
      <c r="P69" s="161">
        <v>67</v>
      </c>
      <c r="Q69" s="296" t="str">
        <f>IFERROR(INDEX('DAY 1 SCORES'!$B:$B, MATCH("BLUE" &amp; $A69, 'DAY 1 SCORES'!$J:$J, 0)), "")</f>
        <v/>
      </c>
      <c r="R69" s="162" t="str">
        <f>IFERROR(INDEX(DATA_IMPORT!$B:$B, MATCH(Q69, DATA_IMPORT!$A:$A, 0)), "")</f>
        <v/>
      </c>
      <c r="S69" s="162" t="str">
        <f>IFERROR(VLOOKUP($Q69, 'DAY 1 SCORES'!$B:$K, 10, FALSE), "")</f>
        <v>///</v>
      </c>
      <c r="T69" s="162" t="str">
        <f>IF(Q69="", "", IFERROR(INDEX('DAY 1 SCORES'!$H:$H, MATCH(Q69, 'DAY 1 SCORES'!$B:$B, 0)), ""))</f>
        <v/>
      </c>
    </row>
    <row r="70" spans="2:20" ht="27.75" hidden="1" customHeight="1">
      <c r="B70" s="154" t="str">
        <f>IFERROR(INDEX('DAY 1 SCORES'!$B:$B, MATCH("RED" &amp; $A70, 'DAY 1 SCORES'!$J:$J, 0)), "")</f>
        <v/>
      </c>
      <c r="C70" s="155" t="str">
        <f>IFERROR(INDEX(DATA_IMPORT!$B:$B, MATCH(B70, DATA_IMPORT!$A:$A, 0)), "")</f>
        <v/>
      </c>
      <c r="D70" s="155" t="str">
        <f>IFERROR(VLOOKUP($B70, 'DAY 1 SCORES'!$B:$K, 10, FALSE), "")</f>
        <v>///</v>
      </c>
      <c r="E70" s="156" t="str">
        <f>IF(B70="", "", IFERROR(INDEX('DAY 1 SCORES'!$H:$H, MATCH(B70, 'DAY 1 SCORES'!$B:$B, 0)), ""))</f>
        <v/>
      </c>
      <c r="F70" s="157">
        <v>68</v>
      </c>
      <c r="G70" s="158" t="str">
        <f>IFERROR(INDEX('DAY 1 SCORES'!$B:$B, MATCH("YELLOW" &amp; $A70, 'DAY 1 SCORES'!$J:$J, 0)), "")</f>
        <v/>
      </c>
      <c r="H70" s="159" t="str">
        <f>IFERROR(INDEX(DATA_IMPORT!$B:$B, MATCH(G70, DATA_IMPORT!$A:$A, 0)), "")</f>
        <v/>
      </c>
      <c r="I70" s="159" t="str">
        <f>IFERROR(VLOOKUP($G70, 'DAY 1 SCORES'!$B:$K, 10, FALSE), "")</f>
        <v>///</v>
      </c>
      <c r="J70" s="159" t="str">
        <f>IF(G70="", "", IFERROR(INDEX('DAY 1 SCORES'!$H:$H, MATCH(G70, 'DAY 1 SCORES'!$B:$B, 0)), ""))</f>
        <v/>
      </c>
      <c r="K70" s="160">
        <v>68</v>
      </c>
      <c r="L70" s="201" t="str">
        <f>IFERROR(INDEX('DAY 1 SCORES'!$B:$B, MATCH("GREEN" &amp; $A70, 'DAY 1 SCORES'!$J:$J, 0)), "")</f>
        <v/>
      </c>
      <c r="M70" s="202" t="str">
        <f>IFERROR(INDEX(DATA_IMPORT!$B:$B, MATCH(L70, DATA_IMPORT!$A:$A, 0)), "")</f>
        <v/>
      </c>
      <c r="N70" s="202" t="str">
        <f>IFERROR(VLOOKUP($L70, 'DAY 1 SCORES'!$B:$K, 10, FALSE), "")</f>
        <v>///</v>
      </c>
      <c r="O70" s="203" t="str">
        <f t="shared" si="1"/>
        <v/>
      </c>
      <c r="P70" s="161">
        <v>68</v>
      </c>
      <c r="Q70" s="296" t="str">
        <f>IFERROR(INDEX('DAY 1 SCORES'!$B:$B, MATCH("BLUE" &amp; $A70, 'DAY 1 SCORES'!$J:$J, 0)), "")</f>
        <v/>
      </c>
      <c r="R70" s="162" t="str">
        <f>IFERROR(INDEX(DATA_IMPORT!$B:$B, MATCH(Q70, DATA_IMPORT!$A:$A, 0)), "")</f>
        <v/>
      </c>
      <c r="S70" s="162" t="str">
        <f>IFERROR(VLOOKUP($Q70, 'DAY 1 SCORES'!$B:$K, 10, FALSE), "")</f>
        <v>///</v>
      </c>
      <c r="T70" s="162" t="str">
        <f>IF(Q70="", "", IFERROR(INDEX('DAY 1 SCORES'!$H:$H, MATCH(Q70, 'DAY 1 SCORES'!$B:$B, 0)), ""))</f>
        <v/>
      </c>
    </row>
    <row r="71" spans="2:20" ht="27.75" hidden="1" customHeight="1">
      <c r="B71" s="154" t="str">
        <f>IFERROR(INDEX('DAY 1 SCORES'!$B:$B, MATCH("RED" &amp; $A71, 'DAY 1 SCORES'!$J:$J, 0)), "")</f>
        <v/>
      </c>
      <c r="C71" s="155" t="str">
        <f>IFERROR(INDEX(DATA_IMPORT!$B:$B, MATCH(B71, DATA_IMPORT!$A:$A, 0)), "")</f>
        <v/>
      </c>
      <c r="D71" s="155" t="str">
        <f>IFERROR(VLOOKUP($B71, 'DAY 1 SCORES'!$B:$K, 10, FALSE), "")</f>
        <v>///</v>
      </c>
      <c r="E71" s="156" t="str">
        <f>IF(B71="", "", IFERROR(INDEX('DAY 1 SCORES'!$H:$H, MATCH(B71, 'DAY 1 SCORES'!$B:$B, 0)), ""))</f>
        <v/>
      </c>
      <c r="F71" s="157">
        <v>69</v>
      </c>
      <c r="G71" s="158" t="str">
        <f>IFERROR(INDEX('DAY 1 SCORES'!$B:$B, MATCH("YELLOW" &amp; $A71, 'DAY 1 SCORES'!$J:$J, 0)), "")</f>
        <v/>
      </c>
      <c r="H71" s="159" t="str">
        <f>IFERROR(INDEX(DATA_IMPORT!$B:$B, MATCH(G71, DATA_IMPORT!$A:$A, 0)), "")</f>
        <v/>
      </c>
      <c r="I71" s="159" t="str">
        <f>IFERROR(VLOOKUP($G71, 'DAY 1 SCORES'!$B:$K, 10, FALSE), "")</f>
        <v>///</v>
      </c>
      <c r="J71" s="159" t="str">
        <f>IF(G71="", "", IFERROR(INDEX('DAY 1 SCORES'!$H:$H, MATCH(G71, 'DAY 1 SCORES'!$B:$B, 0)), ""))</f>
        <v/>
      </c>
      <c r="K71" s="160">
        <v>69</v>
      </c>
      <c r="L71" s="201" t="str">
        <f>IFERROR(INDEX('DAY 1 SCORES'!$B:$B, MATCH("GREEN" &amp; $A71, 'DAY 1 SCORES'!$J:$J, 0)), "")</f>
        <v/>
      </c>
      <c r="M71" s="202" t="str">
        <f>IFERROR(INDEX(DATA_IMPORT!$B:$B, MATCH(L71, DATA_IMPORT!$A:$A, 0)), "")</f>
        <v/>
      </c>
      <c r="N71" s="202" t="str">
        <f>IFERROR(VLOOKUP($L71, 'DAY 1 SCORES'!$B:$K, 10, FALSE), "")</f>
        <v>///</v>
      </c>
      <c r="O71" s="203" t="str">
        <f t="shared" si="1"/>
        <v/>
      </c>
      <c r="P71" s="161">
        <v>69</v>
      </c>
      <c r="Q71" s="296" t="str">
        <f>IFERROR(INDEX('DAY 1 SCORES'!$B:$B, MATCH("BLUE" &amp; $A71, 'DAY 1 SCORES'!$J:$J, 0)), "")</f>
        <v/>
      </c>
      <c r="R71" s="162" t="str">
        <f>IFERROR(INDEX(DATA_IMPORT!$B:$B, MATCH(Q71, DATA_IMPORT!$A:$A, 0)), "")</f>
        <v/>
      </c>
      <c r="S71" s="162" t="str">
        <f>IFERROR(VLOOKUP($Q71, 'DAY 1 SCORES'!$B:$K, 10, FALSE), "")</f>
        <v>///</v>
      </c>
      <c r="T71" s="162" t="str">
        <f>IF(Q71="", "", IFERROR(INDEX('DAY 1 SCORES'!$H:$H, MATCH(Q71, 'DAY 1 SCORES'!$B:$B, 0)), ""))</f>
        <v/>
      </c>
    </row>
    <row r="72" spans="2:20" ht="27.75" hidden="1" customHeight="1">
      <c r="B72" s="154" t="str">
        <f>IFERROR(INDEX('DAY 1 SCORES'!$B:$B, MATCH("RED" &amp; $A72, 'DAY 1 SCORES'!$J:$J, 0)), "")</f>
        <v/>
      </c>
      <c r="C72" s="155" t="str">
        <f>IFERROR(INDEX(DATA_IMPORT!$B:$B, MATCH(B72, DATA_IMPORT!$A:$A, 0)), "")</f>
        <v/>
      </c>
      <c r="D72" s="155" t="str">
        <f>IFERROR(VLOOKUP($B72, 'DAY 1 SCORES'!$B:$K, 10, FALSE), "")</f>
        <v>///</v>
      </c>
      <c r="E72" s="156" t="str">
        <f>IF(B72="", "", IFERROR(INDEX('DAY 1 SCORES'!$H:$H, MATCH(B72, 'DAY 1 SCORES'!$B:$B, 0)), ""))</f>
        <v/>
      </c>
      <c r="F72" s="157">
        <v>70</v>
      </c>
      <c r="G72" s="158" t="str">
        <f>IFERROR(INDEX('DAY 1 SCORES'!$B:$B, MATCH("YELLOW" &amp; $A72, 'DAY 1 SCORES'!$J:$J, 0)), "")</f>
        <v/>
      </c>
      <c r="H72" s="159" t="str">
        <f>IFERROR(INDEX(DATA_IMPORT!$B:$B, MATCH(G72, DATA_IMPORT!$A:$A, 0)), "")</f>
        <v/>
      </c>
      <c r="I72" s="159" t="str">
        <f>IFERROR(VLOOKUP($G72, 'DAY 1 SCORES'!$B:$K, 10, FALSE), "")</f>
        <v>///</v>
      </c>
      <c r="J72" s="159" t="str">
        <f>IF(G72="", "", IFERROR(INDEX('DAY 1 SCORES'!$H:$H, MATCH(G72, 'DAY 1 SCORES'!$B:$B, 0)), ""))</f>
        <v/>
      </c>
      <c r="K72" s="160">
        <v>70</v>
      </c>
      <c r="L72" s="201" t="str">
        <f>IFERROR(INDEX('DAY 1 SCORES'!$B:$B, MATCH("GREEN" &amp; $A72, 'DAY 1 SCORES'!$J:$J, 0)), "")</f>
        <v/>
      </c>
      <c r="M72" s="202" t="str">
        <f>IFERROR(INDEX(DATA_IMPORT!$B:$B, MATCH(L72, DATA_IMPORT!$A:$A, 0)), "")</f>
        <v/>
      </c>
      <c r="N72" s="202" t="str">
        <f>IFERROR(VLOOKUP($L72, 'DAY 1 SCORES'!$B:$K, 10, FALSE), "")</f>
        <v>///</v>
      </c>
      <c r="O72" s="203" t="str">
        <f t="shared" si="1"/>
        <v/>
      </c>
      <c r="P72" s="161">
        <v>70</v>
      </c>
      <c r="Q72" s="296" t="str">
        <f>IFERROR(INDEX('DAY 1 SCORES'!$B:$B, MATCH("BLUE" &amp; $A72, 'DAY 1 SCORES'!$J:$J, 0)), "")</f>
        <v/>
      </c>
      <c r="R72" s="162" t="str">
        <f>IFERROR(INDEX(DATA_IMPORT!$B:$B, MATCH(Q72, DATA_IMPORT!$A:$A, 0)), "")</f>
        <v/>
      </c>
      <c r="S72" s="162" t="str">
        <f>IFERROR(VLOOKUP($Q72, 'DAY 1 SCORES'!$B:$K, 10, FALSE), "")</f>
        <v>///</v>
      </c>
      <c r="T72" s="162" t="str">
        <f>IF(Q72="", "", IFERROR(INDEX('DAY 1 SCORES'!$H:$H, MATCH(Q72, 'DAY 1 SCORES'!$B:$B, 0)), ""))</f>
        <v/>
      </c>
    </row>
    <row r="73" spans="2:20" ht="27.75" hidden="1" customHeight="1">
      <c r="B73" s="57"/>
      <c r="C73" s="57"/>
      <c r="D73" s="57"/>
      <c r="E73" s="156" t="str">
        <f>IF(B73="", "", IFERROR(INDEX('DAY 1 SCORES'!$H:$H, MATCH(B73, 'DAY 1 SCORES'!$B:$B, 0)), ""))</f>
        <v/>
      </c>
      <c r="F73" s="57"/>
      <c r="G73" s="57"/>
      <c r="H73" s="57"/>
      <c r="I73" s="57"/>
      <c r="J73" s="57"/>
      <c r="K73" s="57"/>
      <c r="L73" s="202"/>
      <c r="M73" s="202"/>
      <c r="N73" s="202"/>
      <c r="O73" s="202"/>
      <c r="P73" s="57"/>
      <c r="Q73" s="57"/>
      <c r="R73" s="57"/>
      <c r="S73" s="57"/>
    </row>
    <row r="74" spans="2:20" ht="27.75" hidden="1" customHeight="1">
      <c r="B74" s="57"/>
      <c r="C74" s="57"/>
      <c r="D74" s="57"/>
      <c r="E74" s="156" t="str">
        <f>IF(B74="", "", IFERROR(INDEX('DAY 1 SCORES'!$H:$H, MATCH(B74, 'DAY 1 SCORES'!$B:$B, 0)), ""))</f>
        <v/>
      </c>
      <c r="F74" s="57"/>
      <c r="G74" s="57"/>
      <c r="H74" s="57"/>
      <c r="I74" s="57"/>
      <c r="J74" s="57"/>
      <c r="K74" s="57"/>
      <c r="L74" s="202"/>
      <c r="M74" s="202"/>
      <c r="N74" s="202"/>
      <c r="O74" s="202"/>
      <c r="P74" s="57"/>
      <c r="Q74" s="57"/>
      <c r="R74" s="57"/>
      <c r="S74" s="57"/>
    </row>
    <row r="75" spans="2:20" ht="27.75" hidden="1" customHeight="1">
      <c r="B75" s="57"/>
      <c r="C75" s="57"/>
      <c r="D75" s="57"/>
      <c r="E75" s="156" t="str">
        <f>IF(B75="", "", IFERROR(INDEX('DAY 1 SCORES'!$H:$H, MATCH(B75, 'DAY 1 SCORES'!$B:$B, 0)), ""))</f>
        <v/>
      </c>
      <c r="F75" s="57"/>
      <c r="G75" s="57"/>
      <c r="H75" s="57"/>
      <c r="I75" s="57"/>
      <c r="J75" s="57"/>
      <c r="K75" s="57"/>
      <c r="L75" s="202"/>
      <c r="M75" s="202"/>
      <c r="N75" s="202"/>
      <c r="O75" s="202"/>
      <c r="P75" s="57"/>
      <c r="Q75" s="57"/>
      <c r="R75" s="57"/>
      <c r="S75" s="57"/>
    </row>
    <row r="76" spans="2:20" ht="27.75" hidden="1" customHeight="1">
      <c r="B76" s="57"/>
      <c r="C76" s="57"/>
      <c r="D76" s="57"/>
      <c r="E76" s="156" t="str">
        <f>IF(B76="", "", IFERROR(INDEX('DAY 1 SCORES'!$H:$H, MATCH(B76, 'DAY 1 SCORES'!$B:$B, 0)), ""))</f>
        <v/>
      </c>
      <c r="F76" s="57"/>
      <c r="G76" s="57"/>
      <c r="H76" s="57"/>
      <c r="I76" s="57"/>
      <c r="J76" s="57"/>
      <c r="K76" s="57"/>
      <c r="L76" s="202"/>
      <c r="M76" s="202"/>
      <c r="N76" s="202"/>
      <c r="O76" s="202"/>
      <c r="P76" s="57"/>
      <c r="Q76" s="57"/>
      <c r="R76" s="57"/>
      <c r="S76" s="57"/>
    </row>
    <row r="77" spans="2:20" ht="27.75" hidden="1" customHeight="1">
      <c r="B77" s="57"/>
      <c r="C77" s="57"/>
      <c r="D77" s="57"/>
      <c r="E77" s="156" t="str">
        <f>IF(B77="", "", IFERROR(INDEX('DAY 1 SCORES'!$H:$H, MATCH(B77, 'DAY 1 SCORES'!$B:$B, 0)), ""))</f>
        <v/>
      </c>
      <c r="F77" s="57"/>
      <c r="G77" s="57"/>
      <c r="H77" s="57"/>
      <c r="I77" s="57"/>
      <c r="J77" s="57"/>
      <c r="K77" s="57"/>
      <c r="L77" s="202"/>
      <c r="M77" s="202"/>
      <c r="N77" s="202"/>
      <c r="O77" s="202"/>
      <c r="P77" s="57"/>
      <c r="Q77" s="57"/>
      <c r="R77" s="57"/>
      <c r="S77" s="57"/>
    </row>
    <row r="78" spans="2:20" ht="27.75" hidden="1" customHeight="1">
      <c r="B78" s="57"/>
      <c r="C78" s="57"/>
      <c r="D78" s="57"/>
      <c r="E78" s="57"/>
      <c r="F78" s="57"/>
      <c r="G78" s="57"/>
      <c r="H78" s="57"/>
      <c r="I78" s="57"/>
      <c r="J78" s="57"/>
      <c r="K78" s="57"/>
      <c r="L78" s="202"/>
      <c r="M78" s="202"/>
      <c r="N78" s="202"/>
      <c r="O78" s="202"/>
      <c r="P78" s="57"/>
      <c r="Q78" s="57"/>
      <c r="R78" s="57"/>
      <c r="S78" s="57"/>
    </row>
    <row r="79" spans="2:20" ht="27.75" hidden="1" customHeight="1">
      <c r="B79" s="57"/>
      <c r="C79" s="57"/>
      <c r="D79" s="57"/>
      <c r="E79" s="57"/>
      <c r="F79" s="57"/>
      <c r="G79" s="57"/>
      <c r="H79" s="57"/>
      <c r="I79" s="57"/>
      <c r="J79" s="57"/>
      <c r="K79" s="57"/>
      <c r="L79" s="202"/>
      <c r="M79" s="202"/>
      <c r="N79" s="202"/>
      <c r="O79" s="202"/>
      <c r="P79" s="57"/>
      <c r="Q79" s="57"/>
      <c r="R79" s="57"/>
      <c r="S79" s="57"/>
    </row>
    <row r="80" spans="2:20" ht="27.75" hidden="1" customHeight="1">
      <c r="B80" s="57"/>
      <c r="C80" s="57"/>
      <c r="D80" s="57"/>
      <c r="E80" s="57"/>
      <c r="F80" s="57"/>
      <c r="G80" s="57"/>
      <c r="H80" s="57"/>
      <c r="I80" s="57"/>
      <c r="J80" s="57"/>
      <c r="K80" s="57"/>
      <c r="L80" s="202"/>
      <c r="M80" s="202"/>
      <c r="N80" s="202"/>
      <c r="O80" s="202"/>
      <c r="P80" s="57"/>
      <c r="Q80" s="57"/>
      <c r="R80" s="57"/>
      <c r="S80" s="57"/>
    </row>
    <row r="81" spans="2:19" ht="27.75" hidden="1" customHeight="1">
      <c r="B81" s="57"/>
      <c r="C81" s="57"/>
      <c r="D81" s="57"/>
      <c r="E81" s="57"/>
      <c r="F81" s="57"/>
      <c r="G81" s="57"/>
      <c r="H81" s="57"/>
      <c r="I81" s="57"/>
      <c r="J81" s="57"/>
      <c r="K81" s="57"/>
      <c r="L81" s="202"/>
      <c r="M81" s="202"/>
      <c r="N81" s="202"/>
      <c r="O81" s="202"/>
      <c r="P81" s="57"/>
      <c r="Q81" s="57"/>
      <c r="R81" s="57"/>
      <c r="S81" s="57"/>
    </row>
    <row r="82" spans="2:19" ht="27.75" hidden="1" customHeight="1">
      <c r="B82" s="57"/>
      <c r="C82" s="57"/>
      <c r="D82" s="57"/>
      <c r="E82" s="57"/>
      <c r="F82" s="57"/>
      <c r="G82" s="57"/>
      <c r="H82" s="57"/>
      <c r="I82" s="57"/>
      <c r="J82" s="57"/>
      <c r="K82" s="57"/>
      <c r="L82" s="202"/>
      <c r="M82" s="202"/>
      <c r="N82" s="202"/>
      <c r="O82" s="202"/>
      <c r="P82" s="57"/>
      <c r="Q82" s="57"/>
      <c r="R82" s="57"/>
      <c r="S82" s="57"/>
    </row>
    <row r="83" spans="2:19" ht="27.75" hidden="1" customHeight="1">
      <c r="B83" s="57"/>
      <c r="C83" s="57"/>
      <c r="D83" s="57"/>
      <c r="E83" s="57"/>
      <c r="F83" s="57"/>
      <c r="G83" s="57"/>
      <c r="H83" s="57"/>
      <c r="I83" s="57"/>
      <c r="J83" s="57"/>
      <c r="K83" s="57"/>
      <c r="L83" s="202"/>
      <c r="M83" s="202"/>
      <c r="N83" s="202"/>
      <c r="O83" s="202"/>
      <c r="P83" s="57"/>
      <c r="Q83" s="57"/>
      <c r="R83" s="57"/>
      <c r="S83" s="57"/>
    </row>
    <row r="84" spans="2:19" ht="27.75" hidden="1" customHeight="1">
      <c r="B84" s="57"/>
      <c r="C84" s="57"/>
      <c r="D84" s="57"/>
      <c r="E84" s="57"/>
      <c r="F84" s="57"/>
      <c r="G84" s="57"/>
      <c r="H84" s="57"/>
      <c r="I84" s="57"/>
      <c r="J84" s="57"/>
      <c r="K84" s="57"/>
      <c r="L84" s="202"/>
      <c r="M84" s="202"/>
      <c r="N84" s="202"/>
      <c r="O84" s="202"/>
      <c r="P84" s="57"/>
      <c r="Q84" s="57"/>
      <c r="R84" s="57"/>
      <c r="S84" s="57"/>
    </row>
    <row r="85" spans="2:19" ht="27.75" hidden="1" customHeight="1">
      <c r="B85" s="57"/>
      <c r="C85" s="57"/>
      <c r="D85" s="57"/>
      <c r="E85" s="57"/>
      <c r="F85" s="57"/>
      <c r="G85" s="57"/>
      <c r="H85" s="57"/>
      <c r="I85" s="57"/>
      <c r="J85" s="57"/>
      <c r="K85" s="57"/>
      <c r="L85" s="202"/>
      <c r="M85" s="202"/>
      <c r="N85" s="202"/>
      <c r="O85" s="202"/>
      <c r="P85" s="57"/>
      <c r="Q85" s="57"/>
      <c r="R85" s="57"/>
      <c r="S85" s="57"/>
    </row>
    <row r="86" spans="2:19" ht="27.75" hidden="1" customHeight="1">
      <c r="B86" s="57"/>
      <c r="C86" s="57"/>
      <c r="D86" s="57"/>
      <c r="E86" s="57"/>
      <c r="F86" s="57"/>
      <c r="G86" s="57"/>
      <c r="H86" s="57"/>
      <c r="I86" s="57"/>
      <c r="J86" s="57"/>
      <c r="K86" s="57"/>
      <c r="L86" s="202"/>
      <c r="M86" s="202"/>
      <c r="N86" s="202"/>
      <c r="O86" s="202"/>
      <c r="P86" s="57"/>
      <c r="Q86" s="57"/>
      <c r="R86" s="57"/>
      <c r="S86" s="57"/>
    </row>
    <row r="87" spans="2:19" ht="27.75" hidden="1" customHeight="1">
      <c r="B87" s="57"/>
      <c r="C87" s="57"/>
      <c r="D87" s="57"/>
      <c r="E87" s="57"/>
      <c r="F87" s="57"/>
      <c r="G87" s="57"/>
      <c r="H87" s="57"/>
      <c r="I87" s="57"/>
      <c r="J87" s="57"/>
      <c r="K87" s="57"/>
      <c r="L87" s="202"/>
      <c r="M87" s="202"/>
      <c r="N87" s="202"/>
      <c r="O87" s="202"/>
      <c r="P87" s="57"/>
      <c r="Q87" s="57"/>
      <c r="R87" s="57"/>
      <c r="S87" s="57"/>
    </row>
    <row r="88" spans="2:19" ht="27.75" hidden="1" customHeight="1">
      <c r="B88" s="57"/>
      <c r="C88" s="57"/>
      <c r="D88" s="57"/>
      <c r="E88" s="57"/>
      <c r="F88" s="57"/>
      <c r="G88" s="57"/>
      <c r="H88" s="57"/>
      <c r="I88" s="57"/>
      <c r="J88" s="57"/>
      <c r="K88" s="57"/>
      <c r="L88" s="202"/>
      <c r="M88" s="202"/>
      <c r="N88" s="202"/>
      <c r="O88" s="202"/>
      <c r="P88" s="57"/>
      <c r="Q88" s="57"/>
      <c r="R88" s="57"/>
      <c r="S88" s="57"/>
    </row>
    <row r="89" spans="2:19" ht="27.75" hidden="1" customHeight="1">
      <c r="B89" s="57"/>
      <c r="C89" s="57"/>
      <c r="D89" s="57"/>
      <c r="E89" s="57"/>
      <c r="F89" s="57"/>
      <c r="G89" s="57"/>
      <c r="H89" s="57"/>
      <c r="I89" s="57"/>
      <c r="J89" s="57"/>
      <c r="K89" s="57"/>
      <c r="L89" s="202"/>
      <c r="M89" s="202"/>
      <c r="N89" s="202"/>
      <c r="O89" s="202"/>
      <c r="P89" s="57"/>
      <c r="Q89" s="57"/>
      <c r="R89" s="57"/>
      <c r="S89" s="57"/>
    </row>
    <row r="90" spans="2:19" ht="27.75" hidden="1" customHeight="1">
      <c r="B90" s="57"/>
      <c r="C90" s="57"/>
      <c r="D90" s="57"/>
      <c r="E90" s="57"/>
      <c r="F90" s="57"/>
      <c r="G90" s="57"/>
      <c r="H90" s="57"/>
      <c r="I90" s="57"/>
      <c r="J90" s="57"/>
      <c r="K90" s="57"/>
      <c r="L90" s="202"/>
      <c r="M90" s="202"/>
      <c r="N90" s="202"/>
      <c r="O90" s="202"/>
      <c r="P90" s="57"/>
      <c r="Q90" s="57"/>
      <c r="R90" s="57"/>
      <c r="S90" s="57"/>
    </row>
    <row r="91" spans="2:19" ht="27.75" hidden="1" customHeight="1">
      <c r="B91" s="57"/>
      <c r="C91" s="57"/>
      <c r="D91" s="57"/>
      <c r="E91" s="57"/>
      <c r="F91" s="57"/>
      <c r="G91" s="57"/>
      <c r="H91" s="57"/>
      <c r="I91" s="57"/>
      <c r="J91" s="57"/>
      <c r="K91" s="57"/>
      <c r="L91" s="202"/>
      <c r="M91" s="202"/>
      <c r="N91" s="202"/>
      <c r="O91" s="202"/>
      <c r="P91" s="57"/>
      <c r="Q91" s="57"/>
      <c r="R91" s="57"/>
      <c r="S91" s="57"/>
    </row>
    <row r="92" spans="2:19" ht="27.75" hidden="1" customHeight="1">
      <c r="B92" s="57"/>
      <c r="C92" s="57"/>
      <c r="D92" s="57"/>
      <c r="E92" s="57"/>
      <c r="F92" s="57"/>
      <c r="G92" s="57"/>
      <c r="H92" s="57"/>
      <c r="I92" s="57"/>
      <c r="J92" s="57"/>
      <c r="K92" s="57"/>
      <c r="L92" s="202"/>
      <c r="M92" s="202"/>
      <c r="N92" s="202"/>
      <c r="O92" s="202"/>
      <c r="P92" s="57"/>
      <c r="Q92" s="57"/>
      <c r="R92" s="57"/>
      <c r="S92" s="57"/>
    </row>
    <row r="93" spans="2:19" ht="27.75" hidden="1" customHeight="1">
      <c r="B93" s="57"/>
      <c r="C93" s="57"/>
      <c r="D93" s="57"/>
      <c r="E93" s="57"/>
      <c r="F93" s="57"/>
      <c r="G93" s="57"/>
      <c r="H93" s="57"/>
      <c r="I93" s="57"/>
      <c r="J93" s="57"/>
      <c r="K93" s="57"/>
      <c r="L93" s="202"/>
      <c r="M93" s="202"/>
      <c r="N93" s="202"/>
      <c r="O93" s="202"/>
      <c r="P93" s="57"/>
      <c r="Q93" s="57"/>
      <c r="R93" s="57"/>
      <c r="S93" s="57"/>
    </row>
    <row r="94" spans="2:19" ht="27.75" hidden="1" customHeight="1">
      <c r="B94" s="57"/>
      <c r="C94" s="57"/>
      <c r="D94" s="57"/>
      <c r="E94" s="57"/>
      <c r="F94" s="57"/>
      <c r="G94" s="57"/>
      <c r="H94" s="57"/>
      <c r="I94" s="57"/>
      <c r="J94" s="57"/>
      <c r="K94" s="57"/>
      <c r="L94" s="202"/>
      <c r="M94" s="202"/>
      <c r="N94" s="202"/>
      <c r="O94" s="202"/>
      <c r="P94" s="57"/>
      <c r="Q94" s="57"/>
      <c r="R94" s="57"/>
      <c r="S94" s="57"/>
    </row>
    <row r="95" spans="2:19" ht="27.75" hidden="1" customHeight="1">
      <c r="B95" s="57"/>
      <c r="C95" s="57"/>
      <c r="D95" s="57"/>
      <c r="E95" s="57"/>
      <c r="F95" s="57"/>
      <c r="G95" s="57"/>
      <c r="H95" s="57"/>
      <c r="I95" s="57"/>
      <c r="J95" s="57"/>
      <c r="K95" s="57"/>
      <c r="L95" s="202"/>
      <c r="M95" s="202"/>
      <c r="N95" s="202"/>
      <c r="O95" s="202"/>
      <c r="P95" s="57"/>
      <c r="Q95" s="57"/>
      <c r="R95" s="57"/>
      <c r="S95" s="57"/>
    </row>
    <row r="96" spans="2:19" ht="27.75" hidden="1" customHeight="1">
      <c r="B96" s="57"/>
      <c r="C96" s="57"/>
      <c r="D96" s="57"/>
      <c r="E96" s="57"/>
      <c r="F96" s="57"/>
      <c r="G96" s="57"/>
      <c r="H96" s="57"/>
      <c r="I96" s="57"/>
      <c r="J96" s="57"/>
      <c r="K96" s="57"/>
      <c r="L96" s="202"/>
      <c r="M96" s="202"/>
      <c r="N96" s="202"/>
      <c r="O96" s="202"/>
      <c r="P96" s="57"/>
      <c r="Q96" s="57"/>
      <c r="R96" s="57"/>
      <c r="S96" s="57"/>
    </row>
    <row r="97" spans="2:19" ht="27.75" hidden="1" customHeight="1">
      <c r="B97" s="57"/>
      <c r="C97" s="57"/>
      <c r="D97" s="57"/>
      <c r="E97" s="57"/>
      <c r="F97" s="57"/>
      <c r="G97" s="57"/>
      <c r="H97" s="57"/>
      <c r="I97" s="57"/>
      <c r="J97" s="57"/>
      <c r="K97" s="57"/>
      <c r="L97" s="202"/>
      <c r="M97" s="202"/>
      <c r="N97" s="202"/>
      <c r="O97" s="202"/>
      <c r="P97" s="57"/>
      <c r="Q97" s="57"/>
      <c r="R97" s="57"/>
      <c r="S97" s="57"/>
    </row>
    <row r="98" spans="2:19" ht="27.75" hidden="1" customHeight="1">
      <c r="B98" s="57"/>
      <c r="C98" s="57"/>
      <c r="D98" s="57"/>
      <c r="E98" s="57"/>
      <c r="F98" s="57"/>
      <c r="G98" s="57"/>
      <c r="H98" s="57"/>
      <c r="I98" s="57"/>
      <c r="J98" s="57"/>
      <c r="K98" s="57"/>
      <c r="L98" s="202"/>
      <c r="M98" s="202"/>
      <c r="N98" s="202"/>
      <c r="O98" s="202"/>
      <c r="P98" s="57"/>
      <c r="Q98" s="57"/>
      <c r="R98" s="57"/>
      <c r="S98" s="57"/>
    </row>
    <row r="99" spans="2:19" ht="27.75" hidden="1" customHeight="1">
      <c r="B99" s="57"/>
      <c r="C99" s="57"/>
      <c r="D99" s="57"/>
      <c r="E99" s="57"/>
      <c r="F99" s="57"/>
      <c r="G99" s="57"/>
      <c r="H99" s="57"/>
      <c r="I99" s="57"/>
      <c r="J99" s="57"/>
      <c r="K99" s="57"/>
      <c r="L99" s="202"/>
      <c r="M99" s="202"/>
      <c r="N99" s="202"/>
      <c r="O99" s="202"/>
      <c r="P99" s="57"/>
      <c r="Q99" s="57"/>
      <c r="R99" s="57"/>
      <c r="S99" s="57"/>
    </row>
    <row r="100" spans="2:19" ht="27.75" hidden="1" customHeight="1">
      <c r="B100" s="57"/>
      <c r="C100" s="57"/>
      <c r="D100" s="57"/>
      <c r="E100" s="57"/>
      <c r="F100" s="57"/>
      <c r="G100" s="57"/>
      <c r="H100" s="57"/>
      <c r="I100" s="57"/>
      <c r="J100" s="57"/>
      <c r="K100" s="57"/>
      <c r="L100" s="202"/>
      <c r="M100" s="202"/>
      <c r="N100" s="202"/>
      <c r="O100" s="202"/>
      <c r="P100" s="57"/>
      <c r="Q100" s="57"/>
      <c r="R100" s="57"/>
      <c r="S100" s="57"/>
    </row>
    <row r="101" spans="2:19" ht="27.75" hidden="1" customHeight="1">
      <c r="B101" s="57"/>
      <c r="C101" s="57"/>
      <c r="D101" s="57"/>
      <c r="E101" s="57"/>
      <c r="F101" s="57"/>
      <c r="G101" s="57"/>
      <c r="H101" s="57"/>
      <c r="I101" s="57"/>
      <c r="J101" s="57"/>
      <c r="K101" s="57"/>
      <c r="L101" s="57"/>
      <c r="M101" s="57"/>
      <c r="N101" s="57"/>
      <c r="O101" s="57"/>
      <c r="P101" s="57"/>
      <c r="Q101" s="57"/>
      <c r="R101" s="57"/>
      <c r="S101" s="57"/>
    </row>
    <row r="102" spans="2:19" ht="27.75" hidden="1" customHeight="1">
      <c r="B102" s="57"/>
      <c r="C102" s="57"/>
      <c r="D102" s="57"/>
      <c r="E102" s="57"/>
      <c r="F102" s="57"/>
      <c r="G102" s="57"/>
      <c r="H102" s="57"/>
      <c r="I102" s="57"/>
      <c r="J102" s="57"/>
      <c r="K102" s="57"/>
      <c r="L102" s="57"/>
      <c r="M102" s="57"/>
      <c r="N102" s="57"/>
      <c r="O102" s="57"/>
      <c r="P102" s="57"/>
      <c r="Q102" s="57"/>
      <c r="R102" s="57"/>
      <c r="S102" s="57"/>
    </row>
    <row r="103" spans="2:19" ht="27.75" hidden="1" customHeight="1">
      <c r="B103" s="57"/>
      <c r="C103" s="57"/>
      <c r="D103" s="57"/>
      <c r="E103" s="57"/>
      <c r="F103" s="57"/>
      <c r="G103" s="57"/>
      <c r="H103" s="57"/>
      <c r="I103" s="57"/>
      <c r="J103" s="57"/>
      <c r="K103" s="57"/>
      <c r="L103" s="57"/>
      <c r="M103" s="57"/>
      <c r="N103" s="57"/>
      <c r="O103" s="57"/>
      <c r="P103" s="57"/>
      <c r="Q103" s="57"/>
      <c r="R103" s="57"/>
      <c r="S103" s="57"/>
    </row>
    <row r="104" spans="2:19" ht="27.75" hidden="1" customHeight="1">
      <c r="B104" s="57"/>
      <c r="C104" s="57"/>
      <c r="D104" s="57"/>
      <c r="E104" s="57"/>
      <c r="F104" s="57"/>
      <c r="G104" s="57"/>
      <c r="H104" s="57"/>
      <c r="I104" s="57"/>
      <c r="J104" s="57"/>
      <c r="K104" s="57"/>
      <c r="L104" s="57"/>
      <c r="M104" s="57"/>
      <c r="N104" s="57"/>
      <c r="O104" s="57"/>
      <c r="P104" s="57"/>
      <c r="Q104" s="57"/>
      <c r="R104" s="57"/>
      <c r="S104" s="57"/>
    </row>
    <row r="105" spans="2:19" ht="27.75" hidden="1" customHeight="1">
      <c r="B105" s="57"/>
      <c r="C105" s="57"/>
      <c r="D105" s="57"/>
      <c r="E105" s="57"/>
      <c r="F105" s="57"/>
      <c r="G105" s="57"/>
      <c r="H105" s="57"/>
      <c r="I105" s="57"/>
      <c r="J105" s="57"/>
      <c r="K105" s="57"/>
      <c r="L105" s="57"/>
      <c r="M105" s="57"/>
      <c r="N105" s="57"/>
      <c r="O105" s="57"/>
      <c r="P105" s="57"/>
      <c r="Q105" s="57"/>
      <c r="R105" s="57"/>
      <c r="S105" s="57"/>
    </row>
    <row r="106" spans="2:19" ht="27.75" hidden="1" customHeight="1">
      <c r="B106" s="57"/>
      <c r="C106" s="57"/>
      <c r="D106" s="57"/>
      <c r="E106" s="57"/>
      <c r="F106" s="57"/>
      <c r="G106" s="57"/>
      <c r="H106" s="57"/>
      <c r="I106" s="57"/>
      <c r="J106" s="57"/>
      <c r="K106" s="57"/>
      <c r="L106" s="57"/>
      <c r="M106" s="57"/>
      <c r="N106" s="57"/>
      <c r="O106" s="57"/>
      <c r="P106" s="57"/>
      <c r="Q106" s="57"/>
      <c r="R106" s="57"/>
      <c r="S106" s="57"/>
    </row>
    <row r="107" spans="2:19" ht="27.75" hidden="1" customHeight="1">
      <c r="B107" s="57"/>
      <c r="C107" s="57"/>
      <c r="D107" s="57"/>
      <c r="E107" s="57"/>
      <c r="F107" s="57"/>
      <c r="G107" s="57"/>
      <c r="H107" s="57"/>
      <c r="I107" s="57"/>
      <c r="J107" s="57"/>
      <c r="K107" s="57"/>
      <c r="L107" s="57"/>
      <c r="M107" s="57"/>
      <c r="N107" s="57"/>
      <c r="O107" s="57"/>
      <c r="P107" s="57"/>
      <c r="Q107" s="57"/>
      <c r="R107" s="57"/>
      <c r="S107" s="57"/>
    </row>
    <row r="108" spans="2:19" ht="27.75" hidden="1" customHeight="1">
      <c r="B108" s="57"/>
      <c r="C108" s="57"/>
      <c r="D108" s="57"/>
      <c r="E108" s="57"/>
      <c r="F108" s="57"/>
      <c r="G108" s="57"/>
      <c r="H108" s="57"/>
      <c r="I108" s="57"/>
      <c r="J108" s="57"/>
      <c r="K108" s="57"/>
      <c r="L108" s="57"/>
      <c r="M108" s="57"/>
      <c r="N108" s="57"/>
      <c r="O108" s="57"/>
      <c r="P108" s="57"/>
      <c r="Q108" s="57"/>
      <c r="R108" s="57"/>
      <c r="S108" s="57"/>
    </row>
    <row r="109" spans="2:19" ht="27.75" hidden="1" customHeight="1">
      <c r="B109" s="57"/>
      <c r="C109" s="57"/>
      <c r="D109" s="57"/>
      <c r="E109" s="57"/>
      <c r="F109" s="57"/>
      <c r="G109" s="57"/>
      <c r="H109" s="57"/>
      <c r="I109" s="57"/>
      <c r="J109" s="57"/>
      <c r="K109" s="57"/>
      <c r="L109" s="57"/>
      <c r="M109" s="57"/>
      <c r="N109" s="57"/>
      <c r="O109" s="57"/>
      <c r="P109" s="57"/>
      <c r="Q109" s="57"/>
      <c r="R109" s="57"/>
      <c r="S109" s="57"/>
    </row>
    <row r="110" spans="2:19" ht="27.75" hidden="1" customHeight="1">
      <c r="B110" s="57"/>
      <c r="C110" s="57"/>
      <c r="D110" s="57"/>
      <c r="E110" s="57"/>
      <c r="F110" s="57"/>
      <c r="G110" s="57"/>
      <c r="H110" s="57"/>
      <c r="I110" s="57"/>
      <c r="J110" s="57"/>
      <c r="K110" s="57"/>
      <c r="L110" s="57"/>
      <c r="M110" s="57"/>
      <c r="N110" s="57"/>
      <c r="O110" s="57"/>
      <c r="P110" s="57"/>
      <c r="Q110" s="57"/>
      <c r="R110" s="57"/>
      <c r="S110" s="57"/>
    </row>
  </sheetData>
  <sheetProtection sheet="1" objects="1" scenarios="1"/>
  <mergeCells count="1">
    <mergeCell ref="B1:T1"/>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3AF625-CAFA-49AD-914E-F07126C34D33}">
  <sheetPr>
    <tabColor rgb="FF0070C0"/>
    <pageSetUpPr fitToPage="1"/>
  </sheetPr>
  <dimension ref="A1:U150"/>
  <sheetViews>
    <sheetView showGridLines="0" workbookViewId="0">
      <pane ySplit="2" topLeftCell="B3" activePane="bottomLeft" state="frozen"/>
      <selection pane="bottomLeft" activeCell="A33" sqref="A33:XFD1048576"/>
      <extLst>
        <ext xmlns:xlsdti="http://schemas.microsoft.com/office/spreadsheetml/2023/showDataTypeIcons" uri="{77bfe23e-c014-4d31-8a63-9c772dbf06b6}">
          <xlsdti:showDataTypeIcons visible="0"/>
        </ext>
      </extLst>
    </sheetView>
  </sheetViews>
  <sheetFormatPr defaultColWidth="0" defaultRowHeight="27.75" customHeight="1" zeroHeight="1"/>
  <cols>
    <col min="1" max="1" width="5.85546875" style="3" hidden="1" customWidth="1"/>
    <col min="2" max="2" width="26.85546875" style="3" customWidth="1"/>
    <col min="3" max="3" width="19.28515625" style="3" customWidth="1"/>
    <col min="4" max="4" width="17.5703125" style="3" customWidth="1"/>
    <col min="5" max="5" width="7.7109375" style="3" customWidth="1"/>
    <col min="6" max="6" width="5.7109375" style="3" hidden="1" customWidth="1"/>
    <col min="7" max="7" width="26.5703125" style="3" customWidth="1"/>
    <col min="8" max="8" width="19.28515625" style="3" customWidth="1"/>
    <col min="9" max="9" width="16.28515625" style="3" customWidth="1"/>
    <col min="10" max="10" width="8.5703125" style="253" customWidth="1"/>
    <col min="11" max="11" width="5" style="3" hidden="1" customWidth="1"/>
    <col min="12" max="12" width="25.28515625" style="3" customWidth="1"/>
    <col min="13" max="13" width="18.42578125" style="3" customWidth="1"/>
    <col min="14" max="14" width="16.28515625" style="3" customWidth="1"/>
    <col min="15" max="15" width="9" style="3" customWidth="1"/>
    <col min="16" max="16" width="5.85546875" style="3" hidden="1" customWidth="1"/>
    <col min="17" max="17" width="24" style="3" customWidth="1"/>
    <col min="18" max="18" width="20.140625" style="3" customWidth="1"/>
    <col min="19" max="19" width="16.140625" style="3" customWidth="1"/>
    <col min="20" max="20" width="7.5703125" style="3" customWidth="1"/>
    <col min="21" max="21" width="9.140625" style="1" hidden="1" customWidth="1"/>
    <col min="22" max="16384" width="0" style="1" hidden="1"/>
  </cols>
  <sheetData>
    <row r="1" spans="1:20" ht="27.75" customHeight="1">
      <c r="A1" s="71"/>
      <c r="B1" s="323" t="s">
        <v>59</v>
      </c>
      <c r="C1" s="323"/>
      <c r="D1" s="323"/>
      <c r="E1" s="323"/>
      <c r="F1" s="323"/>
      <c r="G1" s="323"/>
      <c r="H1" s="323"/>
      <c r="I1" s="323"/>
      <c r="J1" s="323"/>
      <c r="K1" s="323"/>
      <c r="L1" s="323"/>
      <c r="M1" s="323"/>
      <c r="N1" s="323"/>
      <c r="O1" s="323"/>
      <c r="P1" s="323"/>
      <c r="Q1" s="323"/>
      <c r="R1" s="323"/>
      <c r="S1" s="323"/>
      <c r="T1" s="324"/>
    </row>
    <row r="2" spans="1:20" ht="27.75" customHeight="1">
      <c r="A2" s="20" t="s">
        <v>55</v>
      </c>
      <c r="B2" s="220" t="s">
        <v>45</v>
      </c>
      <c r="C2" s="221" t="s">
        <v>29</v>
      </c>
      <c r="D2" s="221" t="s">
        <v>56</v>
      </c>
      <c r="E2" s="222" t="s">
        <v>60</v>
      </c>
      <c r="F2" s="223" t="s">
        <v>55</v>
      </c>
      <c r="G2" s="224" t="s">
        <v>45</v>
      </c>
      <c r="H2" s="224" t="s">
        <v>29</v>
      </c>
      <c r="I2" s="224" t="s">
        <v>56</v>
      </c>
      <c r="J2" s="249" t="s">
        <v>60</v>
      </c>
      <c r="K2" s="225" t="s">
        <v>55</v>
      </c>
      <c r="L2" s="226" t="s">
        <v>45</v>
      </c>
      <c r="M2" s="227" t="s">
        <v>29</v>
      </c>
      <c r="N2" s="227" t="s">
        <v>56</v>
      </c>
      <c r="O2" s="228" t="s">
        <v>60</v>
      </c>
      <c r="P2" s="223" t="s">
        <v>55</v>
      </c>
      <c r="Q2" s="229" t="s">
        <v>45</v>
      </c>
      <c r="R2" s="229" t="s">
        <v>29</v>
      </c>
      <c r="S2" s="230" t="s">
        <v>56</v>
      </c>
      <c r="T2" s="229" t="s">
        <v>60</v>
      </c>
    </row>
    <row r="3" spans="1:20" ht="27.75" customHeight="1">
      <c r="A3" s="21">
        <v>1</v>
      </c>
      <c r="B3" s="163" t="str">
        <f>IFERROR(INDEX('DAY 2 SCORES'!$B:$B, MATCH("RED" &amp; $A3, 'DAY 2 SCORES'!$J:$J, 0)), "")</f>
        <v/>
      </c>
      <c r="C3" s="163" t="str">
        <f>IFERROR(VLOOKUP($B3, REGISTRATION!$B:$C, 2, FALSE), "")</f>
        <v/>
      </c>
      <c r="D3" s="163" t="str">
        <f>IFERROR(VLOOKUP($B3, 'DAY 2 SCORES'!$B:$K, 10, FALSE), "")</f>
        <v>///</v>
      </c>
      <c r="E3" s="163">
        <f>IFERROR(VLOOKUP($B3, 'DAY 2 SCORES'!$B:$H, 7, FALSE), "")</f>
        <v>120</v>
      </c>
      <c r="F3" s="169">
        <v>1</v>
      </c>
      <c r="G3" s="170" t="str">
        <f>IFERROR(INDEX('DAY 2 SCORES'!$B:$B, MATCH("YELLOW" &amp; $F3, 'DAY 2 SCORES'!$J:$J, 0)), "")</f>
        <v/>
      </c>
      <c r="H3" s="170" t="str">
        <f>IFERROR(VLOOKUP($G3, REGISTRATION!$B:$C, 2, FALSE), "")</f>
        <v/>
      </c>
      <c r="I3" s="170" t="str">
        <f>IFERROR(VLOOKUP($G3, 'DAY 2 SCORES'!$B:$K, 10, FALSE), "")</f>
        <v>///</v>
      </c>
      <c r="J3" s="254">
        <f>IFERROR(VLOOKUP($G3, 'DAY 2 SCORES'!$B:$H, 7, FALSE), "")</f>
        <v>120</v>
      </c>
      <c r="K3" s="171">
        <v>1</v>
      </c>
      <c r="L3" s="216" t="str">
        <f>IFERROR(INDEX('DAY 2 SCORES'!$B:$B, MATCH("GREEN" &amp; $K3, 'DAY 2 SCORES'!$J:$J, 0)), "")</f>
        <v/>
      </c>
      <c r="M3" s="216" t="str">
        <f>IFERROR(VLOOKUP($L3, REGISTRATION!$B:$C, 2, FALSE), "")</f>
        <v/>
      </c>
      <c r="N3" s="216" t="str">
        <f>IFERROR(VLOOKUP($L3, 'DAY 2 SCORES'!$B:$K, 10, FALSE), "")</f>
        <v>///</v>
      </c>
      <c r="O3" s="216">
        <f>IFERROR(VLOOKUP($L3, 'DAY 2 SCORES'!$B:$H, 7, FALSE), "")</f>
        <v>120</v>
      </c>
      <c r="P3" s="172">
        <v>1</v>
      </c>
      <c r="Q3" s="173" t="str">
        <f>IFERROR(INDEX('DAY 2 SCORES'!$B:$B, MATCH("BLUE" &amp; $P3, 'DAY 2 SCORES'!$J:$J, 0)), "")</f>
        <v/>
      </c>
      <c r="R3" s="173" t="str">
        <f>IFERROR(VLOOKUP($Q3, REGISTRATION!$B:$C, 2, FALSE), "")</f>
        <v/>
      </c>
      <c r="S3" s="173" t="str">
        <f>IFERROR(VLOOKUP($Q3, 'DAY 2 SCORES'!$B:$K, 10, FALSE), "")</f>
        <v>///</v>
      </c>
      <c r="T3" s="173">
        <f>IFERROR(VLOOKUP($Q3, 'DAY 2 SCORES'!$B:$H, 7, FALSE), "")</f>
        <v>120</v>
      </c>
    </row>
    <row r="4" spans="1:20" ht="27.75" customHeight="1">
      <c r="A4" s="21">
        <v>2</v>
      </c>
      <c r="B4" s="163" t="str">
        <f>IFERROR(INDEX('DAY 2 SCORES'!$B:$B, MATCH("RED" &amp; $A4, 'DAY 2 SCORES'!$J:$J, 0)), "")</f>
        <v/>
      </c>
      <c r="C4" s="163" t="str">
        <f>IFERROR(VLOOKUP($B4, REGISTRATION!$B:$C, 2, FALSE), "")</f>
        <v/>
      </c>
      <c r="D4" s="163" t="str">
        <f>IFERROR(VLOOKUP($B4, 'DAY 2 SCORES'!$B:$K, 10, FALSE), "")</f>
        <v>///</v>
      </c>
      <c r="E4" s="163">
        <f>IFERROR(VLOOKUP($B4, 'DAY 2 SCORES'!$B:$H, 7, FALSE), "")</f>
        <v>120</v>
      </c>
      <c r="F4" s="169">
        <v>2</v>
      </c>
      <c r="G4" s="170" t="str">
        <f>IFERROR(INDEX('DAY 2 SCORES'!$B:$B, MATCH("YELLOW" &amp; $F4, 'DAY 2 SCORES'!$J:$J, 0)), "")</f>
        <v/>
      </c>
      <c r="H4" s="170" t="str">
        <f>IFERROR(VLOOKUP($G4, REGISTRATION!$B:$C, 2, FALSE), "")</f>
        <v/>
      </c>
      <c r="I4" s="170" t="str">
        <f>IFERROR(VLOOKUP($G4, 'DAY 2 SCORES'!$B:$K, 10, FALSE), "")</f>
        <v>///</v>
      </c>
      <c r="J4" s="254">
        <f>IFERROR(VLOOKUP($G4, 'DAY 2 SCORES'!$B:$H, 7, FALSE), "")</f>
        <v>120</v>
      </c>
      <c r="K4" s="171">
        <v>2</v>
      </c>
      <c r="L4" s="216" t="str">
        <f>IFERROR(INDEX('DAY 2 SCORES'!$B:$B, MATCH("GREEN" &amp; $K4, 'DAY 2 SCORES'!$J:$J, 0)), "")</f>
        <v/>
      </c>
      <c r="M4" s="216" t="str">
        <f>IFERROR(VLOOKUP($L4, REGISTRATION!$B:$C, 2, FALSE), "")</f>
        <v/>
      </c>
      <c r="N4" s="216" t="str">
        <f>IFERROR(VLOOKUP($L4, 'DAY 2 SCORES'!$B:$K, 10, FALSE), "")</f>
        <v>///</v>
      </c>
      <c r="O4" s="216">
        <f>IFERROR(VLOOKUP($L4, 'DAY 2 SCORES'!$B:$H, 7, FALSE), "")</f>
        <v>120</v>
      </c>
      <c r="P4" s="172">
        <v>2</v>
      </c>
      <c r="Q4" s="173" t="str">
        <f>IFERROR(INDEX('DAY 2 SCORES'!$B:$B, MATCH("BLUE" &amp; $P4, 'DAY 2 SCORES'!$J:$J, 0)), "")</f>
        <v/>
      </c>
      <c r="R4" s="173" t="str">
        <f>IFERROR(VLOOKUP($Q4, REGISTRATION!$B:$C, 2, FALSE), "")</f>
        <v/>
      </c>
      <c r="S4" s="173" t="str">
        <f>IFERROR(VLOOKUP($Q4, 'DAY 2 SCORES'!$B:$K, 10, FALSE), "")</f>
        <v>///</v>
      </c>
      <c r="T4" s="173">
        <f>IFERROR(VLOOKUP($Q4, 'DAY 2 SCORES'!$B:$H, 7, FALSE), "")</f>
        <v>120</v>
      </c>
    </row>
    <row r="5" spans="1:20" ht="27.75" customHeight="1">
      <c r="A5" s="21">
        <v>3</v>
      </c>
      <c r="B5" s="163" t="str">
        <f>IFERROR(INDEX('DAY 2 SCORES'!$B:$B, MATCH("RED" &amp; $A5, 'DAY 2 SCORES'!$J:$J, 0)), "")</f>
        <v/>
      </c>
      <c r="C5" s="163" t="str">
        <f>IFERROR(VLOOKUP($B5, REGISTRATION!$B:$C, 2, FALSE), "")</f>
        <v/>
      </c>
      <c r="D5" s="163" t="str">
        <f>IFERROR(VLOOKUP($B5, 'DAY 2 SCORES'!$B:$K, 10, FALSE), "")</f>
        <v>///</v>
      </c>
      <c r="E5" s="163">
        <f>IFERROR(VLOOKUP($B5, 'DAY 2 SCORES'!$B:$H, 7, FALSE), "")</f>
        <v>120</v>
      </c>
      <c r="F5" s="169">
        <v>3</v>
      </c>
      <c r="G5" s="170" t="str">
        <f>IFERROR(INDEX('DAY 2 SCORES'!$B:$B, MATCH("YELLOW" &amp; $F5, 'DAY 2 SCORES'!$J:$J, 0)), "")</f>
        <v/>
      </c>
      <c r="H5" s="170" t="str">
        <f>IFERROR(VLOOKUP($G5, REGISTRATION!$B:$C, 2, FALSE), "")</f>
        <v/>
      </c>
      <c r="I5" s="170" t="str">
        <f>IFERROR(VLOOKUP($G5, 'DAY 2 SCORES'!$B:$K, 10, FALSE), "")</f>
        <v>///</v>
      </c>
      <c r="J5" s="254">
        <f>IFERROR(VLOOKUP($G5, 'DAY 2 SCORES'!$B:$H, 7, FALSE), "")</f>
        <v>120</v>
      </c>
      <c r="K5" s="171">
        <v>3</v>
      </c>
      <c r="L5" s="216" t="str">
        <f>IFERROR(INDEX('DAY 2 SCORES'!$B:$B, MATCH("GREEN" &amp; $K5, 'DAY 2 SCORES'!$J:$J, 0)), "")</f>
        <v/>
      </c>
      <c r="M5" s="216" t="str">
        <f>IFERROR(VLOOKUP($L5, REGISTRATION!$B:$C, 2, FALSE), "")</f>
        <v/>
      </c>
      <c r="N5" s="216" t="str">
        <f>IFERROR(VLOOKUP($L5, 'DAY 2 SCORES'!$B:$K, 10, FALSE), "")</f>
        <v>///</v>
      </c>
      <c r="O5" s="216">
        <f>IFERROR(VLOOKUP($L5, 'DAY 2 SCORES'!$B:$H, 7, FALSE), "")</f>
        <v>120</v>
      </c>
      <c r="P5" s="172">
        <v>3</v>
      </c>
      <c r="Q5" s="173" t="str">
        <f>IFERROR(INDEX('DAY 2 SCORES'!$B:$B, MATCH("BLUE" &amp; $P5, 'DAY 2 SCORES'!$J:$J, 0)), "")</f>
        <v/>
      </c>
      <c r="R5" s="173" t="str">
        <f>IFERROR(VLOOKUP($Q5, REGISTRATION!$B:$C, 2, FALSE), "")</f>
        <v/>
      </c>
      <c r="S5" s="173" t="str">
        <f>IFERROR(VLOOKUP($Q5, 'DAY 2 SCORES'!$B:$K, 10, FALSE), "")</f>
        <v>///</v>
      </c>
      <c r="T5" s="173">
        <f>IFERROR(VLOOKUP($Q5, 'DAY 2 SCORES'!$B:$H, 7, FALSE), "")</f>
        <v>120</v>
      </c>
    </row>
    <row r="6" spans="1:20" ht="27.75" customHeight="1">
      <c r="A6" s="21">
        <v>4</v>
      </c>
      <c r="B6" s="163" t="str">
        <f>IFERROR(INDEX('DAY 2 SCORES'!$B:$B, MATCH("RED" &amp; $A6, 'DAY 2 SCORES'!$J:$J, 0)), "")</f>
        <v/>
      </c>
      <c r="C6" s="163" t="str">
        <f>IFERROR(VLOOKUP($B6, REGISTRATION!$B:$C, 2, FALSE), "")</f>
        <v/>
      </c>
      <c r="D6" s="163" t="str">
        <f>IFERROR(VLOOKUP($B6, 'DAY 2 SCORES'!$B:$K, 10, FALSE), "")</f>
        <v>///</v>
      </c>
      <c r="E6" s="163">
        <f>IFERROR(VLOOKUP($B6, 'DAY 2 SCORES'!$B:$H, 7, FALSE), "")</f>
        <v>120</v>
      </c>
      <c r="F6" s="169">
        <v>4</v>
      </c>
      <c r="G6" s="170" t="str">
        <f>IFERROR(INDEX('DAY 2 SCORES'!$B:$B, MATCH("YELLOW" &amp; $F6, 'DAY 2 SCORES'!$J:$J, 0)), "")</f>
        <v/>
      </c>
      <c r="H6" s="170" t="str">
        <f>IFERROR(VLOOKUP($G6, REGISTRATION!$B:$C, 2, FALSE), "")</f>
        <v/>
      </c>
      <c r="I6" s="170" t="str">
        <f>IFERROR(VLOOKUP($G6, 'DAY 2 SCORES'!$B:$K, 10, FALSE), "")</f>
        <v>///</v>
      </c>
      <c r="J6" s="254">
        <f>IFERROR(VLOOKUP($G6, 'DAY 2 SCORES'!$B:$H, 7, FALSE), "")</f>
        <v>120</v>
      </c>
      <c r="K6" s="171">
        <v>4</v>
      </c>
      <c r="L6" s="216" t="str">
        <f>IFERROR(INDEX('DAY 2 SCORES'!$B:$B, MATCH("GREEN" &amp; $K6, 'DAY 2 SCORES'!$J:$J, 0)), "")</f>
        <v/>
      </c>
      <c r="M6" s="216" t="str">
        <f>IFERROR(VLOOKUP($L6, REGISTRATION!$B:$C, 2, FALSE), "")</f>
        <v/>
      </c>
      <c r="N6" s="216" t="str">
        <f>IFERROR(VLOOKUP($L6, 'DAY 2 SCORES'!$B:$K, 10, FALSE), "")</f>
        <v>///</v>
      </c>
      <c r="O6" s="216">
        <f>IFERROR(VLOOKUP($L6, 'DAY 2 SCORES'!$B:$H, 7, FALSE), "")</f>
        <v>120</v>
      </c>
      <c r="P6" s="172">
        <v>4</v>
      </c>
      <c r="Q6" s="173" t="str">
        <f>IFERROR(INDEX('DAY 2 SCORES'!$B:$B, MATCH("BLUE" &amp; $P6, 'DAY 2 SCORES'!$J:$J, 0)), "")</f>
        <v/>
      </c>
      <c r="R6" s="173" t="str">
        <f>IFERROR(VLOOKUP($Q6, REGISTRATION!$B:$C, 2, FALSE), "")</f>
        <v/>
      </c>
      <c r="S6" s="173" t="str">
        <f>IFERROR(VLOOKUP($Q6, 'DAY 2 SCORES'!$B:$K, 10, FALSE), "")</f>
        <v>///</v>
      </c>
      <c r="T6" s="173">
        <f>IFERROR(VLOOKUP($Q6, 'DAY 2 SCORES'!$B:$H, 7, FALSE), "")</f>
        <v>120</v>
      </c>
    </row>
    <row r="7" spans="1:20" ht="27.75" customHeight="1">
      <c r="A7" s="21">
        <v>5</v>
      </c>
      <c r="B7" s="163" t="str">
        <f>IFERROR(INDEX('DAY 2 SCORES'!$B:$B, MATCH("RED" &amp; $A7, 'DAY 2 SCORES'!$J:$J, 0)), "")</f>
        <v/>
      </c>
      <c r="C7" s="163" t="str">
        <f>IFERROR(VLOOKUP($B7, REGISTRATION!$B:$C, 2, FALSE), "")</f>
        <v/>
      </c>
      <c r="D7" s="163" t="str">
        <f>IFERROR(VLOOKUP($B7, 'DAY 2 SCORES'!$B:$K, 10, FALSE), "")</f>
        <v>///</v>
      </c>
      <c r="E7" s="163">
        <f>IFERROR(VLOOKUP($B7, 'DAY 2 SCORES'!$B:$H, 7, FALSE), "")</f>
        <v>120</v>
      </c>
      <c r="F7" s="169">
        <v>5</v>
      </c>
      <c r="G7" s="170" t="str">
        <f>IFERROR(INDEX('DAY 2 SCORES'!$B:$B, MATCH("YELLOW" &amp; $F7, 'DAY 2 SCORES'!$J:$J, 0)), "")</f>
        <v/>
      </c>
      <c r="H7" s="170" t="str">
        <f>IFERROR(VLOOKUP($G7, REGISTRATION!$B:$C, 2, FALSE), "")</f>
        <v/>
      </c>
      <c r="I7" s="170" t="str">
        <f>IFERROR(VLOOKUP($G7, 'DAY 2 SCORES'!$B:$K, 10, FALSE), "")</f>
        <v>///</v>
      </c>
      <c r="J7" s="254">
        <f>IFERROR(VLOOKUP($G7, 'DAY 2 SCORES'!$B:$H, 7, FALSE), "")</f>
        <v>120</v>
      </c>
      <c r="K7" s="171">
        <v>5</v>
      </c>
      <c r="L7" s="216" t="str">
        <f>IFERROR(INDEX('DAY 2 SCORES'!$B:$B, MATCH("GREEN" &amp; $K7, 'DAY 2 SCORES'!$J:$J, 0)), "")</f>
        <v/>
      </c>
      <c r="M7" s="216" t="str">
        <f>IFERROR(VLOOKUP($L7, REGISTRATION!$B:$C, 2, FALSE), "")</f>
        <v/>
      </c>
      <c r="N7" s="216" t="str">
        <f>IFERROR(VLOOKUP($L7, 'DAY 2 SCORES'!$B:$K, 10, FALSE), "")</f>
        <v>///</v>
      </c>
      <c r="O7" s="216">
        <f>IFERROR(VLOOKUP($L7, 'DAY 2 SCORES'!$B:$H, 7, FALSE), "")</f>
        <v>120</v>
      </c>
      <c r="P7" s="172">
        <v>5</v>
      </c>
      <c r="Q7" s="173" t="str">
        <f>IFERROR(INDEX('DAY 2 SCORES'!$B:$B, MATCH("BLUE" &amp; $P7, 'DAY 2 SCORES'!$J:$J, 0)), "")</f>
        <v/>
      </c>
      <c r="R7" s="173" t="str">
        <f>IFERROR(VLOOKUP($Q7, REGISTRATION!$B:$C, 2, FALSE), "")</f>
        <v/>
      </c>
      <c r="S7" s="173" t="str">
        <f>IFERROR(VLOOKUP($Q7, 'DAY 2 SCORES'!$B:$K, 10, FALSE), "")</f>
        <v>///</v>
      </c>
      <c r="T7" s="173">
        <f>IFERROR(VLOOKUP($Q7, 'DAY 2 SCORES'!$B:$H, 7, FALSE), "")</f>
        <v>120</v>
      </c>
    </row>
    <row r="8" spans="1:20" ht="27.75" customHeight="1">
      <c r="A8" s="21">
        <v>6</v>
      </c>
      <c r="B8" s="163" t="str">
        <f>IFERROR(INDEX('DAY 2 SCORES'!$B:$B, MATCH("RED" &amp; $A8, 'DAY 2 SCORES'!$J:$J, 0)), "")</f>
        <v/>
      </c>
      <c r="C8" s="163" t="str">
        <f>IFERROR(VLOOKUP($B8, REGISTRATION!$B:$C, 2, FALSE), "")</f>
        <v/>
      </c>
      <c r="D8" s="163" t="str">
        <f>IFERROR(VLOOKUP($B8, 'DAY 2 SCORES'!$B:$K, 10, FALSE), "")</f>
        <v>///</v>
      </c>
      <c r="E8" s="163">
        <f>IFERROR(VLOOKUP($B8, 'DAY 2 SCORES'!$B:$H, 7, FALSE), "")</f>
        <v>120</v>
      </c>
      <c r="F8" s="169">
        <v>6</v>
      </c>
      <c r="G8" s="170" t="str">
        <f>IFERROR(INDEX('DAY 2 SCORES'!$B:$B, MATCH("YELLOW" &amp; $F8, 'DAY 2 SCORES'!$J:$J, 0)), "")</f>
        <v/>
      </c>
      <c r="H8" s="170" t="str">
        <f>IFERROR(VLOOKUP($G8, REGISTRATION!$B:$C, 2, FALSE), "")</f>
        <v/>
      </c>
      <c r="I8" s="170" t="str">
        <f>IFERROR(VLOOKUP($G8, 'DAY 2 SCORES'!$B:$K, 10, FALSE), "")</f>
        <v>///</v>
      </c>
      <c r="J8" s="254">
        <f>IFERROR(VLOOKUP($G8, 'DAY 2 SCORES'!$B:$H, 7, FALSE), "")</f>
        <v>120</v>
      </c>
      <c r="K8" s="171">
        <v>6</v>
      </c>
      <c r="L8" s="216" t="str">
        <f>IFERROR(INDEX('DAY 2 SCORES'!$B:$B, MATCH("GREEN" &amp; $K8, 'DAY 2 SCORES'!$J:$J, 0)), "")</f>
        <v/>
      </c>
      <c r="M8" s="216" t="str">
        <f>IFERROR(VLOOKUP($L8, REGISTRATION!$B:$C, 2, FALSE), "")</f>
        <v/>
      </c>
      <c r="N8" s="216" t="str">
        <f>IFERROR(VLOOKUP($L8, 'DAY 2 SCORES'!$B:$K, 10, FALSE), "")</f>
        <v>///</v>
      </c>
      <c r="O8" s="216">
        <f>IFERROR(VLOOKUP($L8, 'DAY 2 SCORES'!$B:$H, 7, FALSE), "")</f>
        <v>120</v>
      </c>
      <c r="P8" s="172">
        <v>6</v>
      </c>
      <c r="Q8" s="173" t="str">
        <f>IFERROR(INDEX('DAY 2 SCORES'!$B:$B, MATCH("BLUE" &amp; $P8, 'DAY 2 SCORES'!$J:$J, 0)), "")</f>
        <v/>
      </c>
      <c r="R8" s="173" t="str">
        <f>IFERROR(VLOOKUP($Q8, REGISTRATION!$B:$C, 2, FALSE), "")</f>
        <v/>
      </c>
      <c r="S8" s="173" t="str">
        <f>IFERROR(VLOOKUP($Q8, 'DAY 2 SCORES'!$B:$K, 10, FALSE), "")</f>
        <v>///</v>
      </c>
      <c r="T8" s="173">
        <f>IFERROR(VLOOKUP($Q8, 'DAY 2 SCORES'!$B:$H, 7, FALSE), "")</f>
        <v>120</v>
      </c>
    </row>
    <row r="9" spans="1:20" ht="27.75" customHeight="1">
      <c r="A9" s="21">
        <v>7</v>
      </c>
      <c r="B9" s="163" t="str">
        <f>IFERROR(INDEX('DAY 2 SCORES'!$B:$B, MATCH("RED" &amp; $A9, 'DAY 2 SCORES'!$J:$J, 0)), "")</f>
        <v/>
      </c>
      <c r="C9" s="163" t="str">
        <f>IFERROR(VLOOKUP($B9, REGISTRATION!$B:$C, 2, FALSE), "")</f>
        <v/>
      </c>
      <c r="D9" s="163" t="str">
        <f>IFERROR(VLOOKUP($B9, 'DAY 2 SCORES'!$B:$K, 10, FALSE), "")</f>
        <v>///</v>
      </c>
      <c r="E9" s="163">
        <f>IFERROR(VLOOKUP($B9, 'DAY 2 SCORES'!$B:$H, 7, FALSE), "")</f>
        <v>120</v>
      </c>
      <c r="F9" s="169">
        <v>7</v>
      </c>
      <c r="G9" s="170" t="str">
        <f>IFERROR(INDEX('DAY 2 SCORES'!$B:$B, MATCH("YELLOW" &amp; $F9, 'DAY 2 SCORES'!$J:$J, 0)), "")</f>
        <v/>
      </c>
      <c r="H9" s="170" t="str">
        <f>IFERROR(VLOOKUP($G9, REGISTRATION!$B:$C, 2, FALSE), "")</f>
        <v/>
      </c>
      <c r="I9" s="170" t="str">
        <f>IFERROR(VLOOKUP($G9, 'DAY 2 SCORES'!$B:$K, 10, FALSE), "")</f>
        <v>///</v>
      </c>
      <c r="J9" s="254">
        <f>IFERROR(VLOOKUP($G9, 'DAY 2 SCORES'!$B:$H, 7, FALSE), "")</f>
        <v>120</v>
      </c>
      <c r="K9" s="171">
        <v>7</v>
      </c>
      <c r="L9" s="216" t="str">
        <f>IFERROR(INDEX('DAY 2 SCORES'!$B:$B, MATCH("GREEN" &amp; $K9, 'DAY 2 SCORES'!$J:$J, 0)), "")</f>
        <v/>
      </c>
      <c r="M9" s="216" t="str">
        <f>IFERROR(VLOOKUP($L9, REGISTRATION!$B:$C, 2, FALSE), "")</f>
        <v/>
      </c>
      <c r="N9" s="216" t="str">
        <f>IFERROR(VLOOKUP($L9, 'DAY 2 SCORES'!$B:$K, 10, FALSE), "")</f>
        <v>///</v>
      </c>
      <c r="O9" s="216">
        <f>IFERROR(VLOOKUP($L9, 'DAY 2 SCORES'!$B:$H, 7, FALSE), "")</f>
        <v>120</v>
      </c>
      <c r="P9" s="172">
        <v>7</v>
      </c>
      <c r="Q9" s="173" t="str">
        <f>IFERROR(INDEX('DAY 2 SCORES'!$B:$B, MATCH("BLUE" &amp; $P9, 'DAY 2 SCORES'!$J:$J, 0)), "")</f>
        <v/>
      </c>
      <c r="R9" s="173" t="str">
        <f>IFERROR(VLOOKUP($Q9, REGISTRATION!$B:$C, 2, FALSE), "")</f>
        <v/>
      </c>
      <c r="S9" s="173" t="str">
        <f>IFERROR(VLOOKUP($Q9, 'DAY 2 SCORES'!$B:$K, 10, FALSE), "")</f>
        <v>///</v>
      </c>
      <c r="T9" s="173">
        <f>IFERROR(VLOOKUP($Q9, 'DAY 2 SCORES'!$B:$H, 7, FALSE), "")</f>
        <v>120</v>
      </c>
    </row>
    <row r="10" spans="1:20" ht="27.75" customHeight="1">
      <c r="A10" s="21">
        <v>8</v>
      </c>
      <c r="B10" s="163" t="str">
        <f>IFERROR(INDEX('DAY 2 SCORES'!$B:$B, MATCH("RED" &amp; $A10, 'DAY 2 SCORES'!$J:$J, 0)), "")</f>
        <v/>
      </c>
      <c r="C10" s="163" t="str">
        <f>IFERROR(VLOOKUP($B10, REGISTRATION!$B:$C, 2, FALSE), "")</f>
        <v/>
      </c>
      <c r="D10" s="163" t="str">
        <f>IFERROR(VLOOKUP($B10, 'DAY 2 SCORES'!$B:$K, 10, FALSE), "")</f>
        <v>///</v>
      </c>
      <c r="E10" s="163">
        <f>IFERROR(VLOOKUP($B10, 'DAY 2 SCORES'!$B:$H, 7, FALSE), "")</f>
        <v>120</v>
      </c>
      <c r="F10" s="169">
        <v>8</v>
      </c>
      <c r="G10" s="170" t="str">
        <f>IFERROR(INDEX('DAY 2 SCORES'!$B:$B, MATCH("YELLOW" &amp; $F10, 'DAY 2 SCORES'!$J:$J, 0)), "")</f>
        <v/>
      </c>
      <c r="H10" s="170" t="str">
        <f>IFERROR(VLOOKUP($G10, REGISTRATION!$B:$C, 2, FALSE), "")</f>
        <v/>
      </c>
      <c r="I10" s="170" t="str">
        <f>IFERROR(VLOOKUP($G10, 'DAY 2 SCORES'!$B:$K, 10, FALSE), "")</f>
        <v>///</v>
      </c>
      <c r="J10" s="254">
        <f>IFERROR(VLOOKUP($G10, 'DAY 2 SCORES'!$B:$H, 7, FALSE), "")</f>
        <v>120</v>
      </c>
      <c r="K10" s="171">
        <v>8</v>
      </c>
      <c r="L10" s="216" t="str">
        <f>IFERROR(INDEX('DAY 2 SCORES'!$B:$B, MATCH("GREEN" &amp; $K10, 'DAY 2 SCORES'!$J:$J, 0)), "")</f>
        <v/>
      </c>
      <c r="M10" s="216" t="str">
        <f>IFERROR(VLOOKUP($L10, REGISTRATION!$B:$C, 2, FALSE), "")</f>
        <v/>
      </c>
      <c r="N10" s="216" t="str">
        <f>IFERROR(VLOOKUP($L10, 'DAY 2 SCORES'!$B:$K, 10, FALSE), "")</f>
        <v>///</v>
      </c>
      <c r="O10" s="216">
        <f>IFERROR(VLOOKUP($L10, 'DAY 2 SCORES'!$B:$H, 7, FALSE), "")</f>
        <v>120</v>
      </c>
      <c r="P10" s="172">
        <v>8</v>
      </c>
      <c r="Q10" s="173" t="str">
        <f>IFERROR(INDEX('DAY 2 SCORES'!$B:$B, MATCH("BLUE" &amp; $P10, 'DAY 2 SCORES'!$J:$J, 0)), "")</f>
        <v/>
      </c>
      <c r="R10" s="173" t="str">
        <f>IFERROR(VLOOKUP($Q10, REGISTRATION!$B:$C, 2, FALSE), "")</f>
        <v/>
      </c>
      <c r="S10" s="173" t="str">
        <f>IFERROR(VLOOKUP($Q10, 'DAY 2 SCORES'!$B:$K, 10, FALSE), "")</f>
        <v>///</v>
      </c>
      <c r="T10" s="173">
        <f>IFERROR(VLOOKUP($Q10, 'DAY 2 SCORES'!$B:$H, 7, FALSE), "")</f>
        <v>120</v>
      </c>
    </row>
    <row r="11" spans="1:20" ht="27.75" customHeight="1">
      <c r="A11" s="21">
        <v>9</v>
      </c>
      <c r="B11" s="163" t="str">
        <f>IFERROR(INDEX('DAY 2 SCORES'!$B:$B, MATCH("RED" &amp; $A11, 'DAY 2 SCORES'!$J:$J, 0)), "")</f>
        <v/>
      </c>
      <c r="C11" s="163" t="str">
        <f>IFERROR(VLOOKUP($B11, REGISTRATION!$B:$C, 2, FALSE), "")</f>
        <v/>
      </c>
      <c r="D11" s="163" t="str">
        <f>IFERROR(VLOOKUP($B11, 'DAY 2 SCORES'!$B:$K, 10, FALSE), "")</f>
        <v>///</v>
      </c>
      <c r="E11" s="163">
        <f>IFERROR(VLOOKUP($B11, 'DAY 2 SCORES'!$B:$H, 7, FALSE), "")</f>
        <v>120</v>
      </c>
      <c r="F11" s="169">
        <v>9</v>
      </c>
      <c r="G11" s="170" t="str">
        <f>IFERROR(INDEX('DAY 2 SCORES'!$B:$B, MATCH("YELLOW" &amp; $F11, 'DAY 2 SCORES'!$J:$J, 0)), "")</f>
        <v/>
      </c>
      <c r="H11" s="170" t="str">
        <f>IFERROR(VLOOKUP($G11, REGISTRATION!$B:$C, 2, FALSE), "")</f>
        <v/>
      </c>
      <c r="I11" s="170" t="str">
        <f>IFERROR(VLOOKUP($G11, 'DAY 2 SCORES'!$B:$K, 10, FALSE), "")</f>
        <v>///</v>
      </c>
      <c r="J11" s="254">
        <f>IFERROR(VLOOKUP($G11, 'DAY 2 SCORES'!$B:$H, 7, FALSE), "")</f>
        <v>120</v>
      </c>
      <c r="K11" s="171">
        <v>9</v>
      </c>
      <c r="L11" s="216" t="str">
        <f>IFERROR(INDEX('DAY 2 SCORES'!$B:$B, MATCH("GREEN" &amp; $K11, 'DAY 2 SCORES'!$J:$J, 0)), "")</f>
        <v/>
      </c>
      <c r="M11" s="216" t="str">
        <f>IFERROR(VLOOKUP($L11, REGISTRATION!$B:$C, 2, FALSE), "")</f>
        <v/>
      </c>
      <c r="N11" s="216" t="str">
        <f>IFERROR(VLOOKUP($L11, 'DAY 2 SCORES'!$B:$K, 10, FALSE), "")</f>
        <v>///</v>
      </c>
      <c r="O11" s="216">
        <f>IFERROR(VLOOKUP($L11, 'DAY 2 SCORES'!$B:$H, 7, FALSE), "")</f>
        <v>120</v>
      </c>
      <c r="P11" s="172">
        <v>9</v>
      </c>
      <c r="Q11" s="173" t="str">
        <f>IFERROR(INDEX('DAY 2 SCORES'!$B:$B, MATCH("BLUE" &amp; $P11, 'DAY 2 SCORES'!$J:$J, 0)), "")</f>
        <v/>
      </c>
      <c r="R11" s="173" t="str">
        <f>IFERROR(VLOOKUP($Q11, REGISTRATION!$B:$C, 2, FALSE), "")</f>
        <v/>
      </c>
      <c r="S11" s="173" t="str">
        <f>IFERROR(VLOOKUP($Q11, 'DAY 2 SCORES'!$B:$K, 10, FALSE), "")</f>
        <v>///</v>
      </c>
      <c r="T11" s="173">
        <f>IFERROR(VLOOKUP($Q11, 'DAY 2 SCORES'!$B:$H, 7, FALSE), "")</f>
        <v>120</v>
      </c>
    </row>
    <row r="12" spans="1:20" ht="27.75" customHeight="1">
      <c r="A12" s="21">
        <v>10</v>
      </c>
      <c r="B12" s="163" t="str">
        <f>IFERROR(INDEX('DAY 2 SCORES'!$B:$B, MATCH("RED" &amp; $A12, 'DAY 2 SCORES'!$J:$J, 0)), "")</f>
        <v/>
      </c>
      <c r="C12" s="163" t="str">
        <f>IFERROR(VLOOKUP($B12, REGISTRATION!$B:$C, 2, FALSE), "")</f>
        <v/>
      </c>
      <c r="D12" s="163" t="str">
        <f>IFERROR(VLOOKUP($B12, 'DAY 2 SCORES'!$B:$K, 10, FALSE), "")</f>
        <v>///</v>
      </c>
      <c r="E12" s="163">
        <f>IFERROR(VLOOKUP($B12, 'DAY 2 SCORES'!$B:$H, 7, FALSE), "")</f>
        <v>120</v>
      </c>
      <c r="F12" s="169">
        <v>10</v>
      </c>
      <c r="G12" s="170" t="str">
        <f>IFERROR(INDEX('DAY 2 SCORES'!$B:$B, MATCH("YELLOW" &amp; $F12, 'DAY 2 SCORES'!$J:$J, 0)), "")</f>
        <v/>
      </c>
      <c r="H12" s="170" t="str">
        <f>IFERROR(VLOOKUP($G12, REGISTRATION!$B:$C, 2, FALSE), "")</f>
        <v/>
      </c>
      <c r="I12" s="170" t="str">
        <f>IFERROR(VLOOKUP($G12, 'DAY 2 SCORES'!$B:$K, 10, FALSE), "")</f>
        <v>///</v>
      </c>
      <c r="J12" s="254">
        <f>IFERROR(VLOOKUP($G12, 'DAY 2 SCORES'!$B:$H, 7, FALSE), "")</f>
        <v>120</v>
      </c>
      <c r="K12" s="171">
        <v>10</v>
      </c>
      <c r="L12" s="216" t="str">
        <f>IFERROR(INDEX('DAY 2 SCORES'!$B:$B, MATCH("GREEN" &amp; $K12, 'DAY 2 SCORES'!$J:$J, 0)), "")</f>
        <v/>
      </c>
      <c r="M12" s="216" t="str">
        <f>IFERROR(VLOOKUP($L12, REGISTRATION!$B:$C, 2, FALSE), "")</f>
        <v/>
      </c>
      <c r="N12" s="216" t="str">
        <f>IFERROR(VLOOKUP($L12, 'DAY 2 SCORES'!$B:$K, 10, FALSE), "")</f>
        <v>///</v>
      </c>
      <c r="O12" s="216">
        <f>IFERROR(VLOOKUP($L12, 'DAY 2 SCORES'!$B:$H, 7, FALSE), "")</f>
        <v>120</v>
      </c>
      <c r="P12" s="172">
        <v>10</v>
      </c>
      <c r="Q12" s="173" t="str">
        <f>IFERROR(INDEX('DAY 2 SCORES'!$B:$B, MATCH("BLUE" &amp; $P12, 'DAY 2 SCORES'!$J:$J, 0)), "")</f>
        <v/>
      </c>
      <c r="R12" s="173" t="str">
        <f>IFERROR(VLOOKUP($Q12, REGISTRATION!$B:$C, 2, FALSE), "")</f>
        <v/>
      </c>
      <c r="S12" s="173" t="str">
        <f>IFERROR(VLOOKUP($Q12, 'DAY 2 SCORES'!$B:$K, 10, FALSE), "")</f>
        <v>///</v>
      </c>
      <c r="T12" s="173">
        <f>IFERROR(VLOOKUP($Q12, 'DAY 2 SCORES'!$B:$H, 7, FALSE), "")</f>
        <v>120</v>
      </c>
    </row>
    <row r="13" spans="1:20" ht="27.75" customHeight="1">
      <c r="A13" s="21">
        <v>11</v>
      </c>
      <c r="B13" s="163" t="str">
        <f>IFERROR(INDEX('DAY 2 SCORES'!$B:$B, MATCH("RED" &amp; $A13, 'DAY 2 SCORES'!$J:$J, 0)), "")</f>
        <v/>
      </c>
      <c r="C13" s="163" t="str">
        <f>IFERROR(VLOOKUP($B13, REGISTRATION!$B:$C, 2, FALSE), "")</f>
        <v/>
      </c>
      <c r="D13" s="163" t="str">
        <f>IFERROR(VLOOKUP($B13, 'DAY 2 SCORES'!$B:$K, 10, FALSE), "")</f>
        <v>///</v>
      </c>
      <c r="E13" s="163">
        <f>IFERROR(VLOOKUP($B13, 'DAY 2 SCORES'!$B:$H, 7, FALSE), "")</f>
        <v>120</v>
      </c>
      <c r="F13" s="169">
        <v>11</v>
      </c>
      <c r="G13" s="170" t="str">
        <f>IFERROR(INDEX('DAY 2 SCORES'!$B:$B, MATCH("YELLOW" &amp; $F13, 'DAY 2 SCORES'!$J:$J, 0)), "")</f>
        <v/>
      </c>
      <c r="H13" s="170" t="str">
        <f>IFERROR(VLOOKUP($G13, REGISTRATION!$B:$C, 2, FALSE), "")</f>
        <v/>
      </c>
      <c r="I13" s="170" t="str">
        <f>IFERROR(VLOOKUP($G13, 'DAY 2 SCORES'!$B:$K, 10, FALSE), "")</f>
        <v>///</v>
      </c>
      <c r="J13" s="254">
        <f>IFERROR(VLOOKUP($G13, 'DAY 2 SCORES'!$B:$H, 7, FALSE), "")</f>
        <v>120</v>
      </c>
      <c r="K13" s="171">
        <v>11</v>
      </c>
      <c r="L13" s="216" t="str">
        <f>IFERROR(INDEX('DAY 2 SCORES'!$B:$B, MATCH("GREEN" &amp; $K13, 'DAY 2 SCORES'!$J:$J, 0)), "")</f>
        <v/>
      </c>
      <c r="M13" s="216" t="str">
        <f>IFERROR(VLOOKUP($L13, REGISTRATION!$B:$C, 2, FALSE), "")</f>
        <v/>
      </c>
      <c r="N13" s="216" t="str">
        <f>IFERROR(VLOOKUP($L13, 'DAY 2 SCORES'!$B:$K, 10, FALSE), "")</f>
        <v>///</v>
      </c>
      <c r="O13" s="216">
        <f>IFERROR(VLOOKUP($L13, 'DAY 2 SCORES'!$B:$H, 7, FALSE), "")</f>
        <v>120</v>
      </c>
      <c r="P13" s="172">
        <v>11</v>
      </c>
      <c r="Q13" s="173" t="str">
        <f>IFERROR(INDEX('DAY 2 SCORES'!$B:$B, MATCH("BLUE" &amp; $P13, 'DAY 2 SCORES'!$J:$J, 0)), "")</f>
        <v/>
      </c>
      <c r="R13" s="173" t="str">
        <f>IFERROR(VLOOKUP($Q13, REGISTRATION!$B:$C, 2, FALSE), "")</f>
        <v/>
      </c>
      <c r="S13" s="173" t="str">
        <f>IFERROR(VLOOKUP($Q13, 'DAY 2 SCORES'!$B:$K, 10, FALSE), "")</f>
        <v>///</v>
      </c>
      <c r="T13" s="173">
        <f>IFERROR(VLOOKUP($Q13, 'DAY 2 SCORES'!$B:$H, 7, FALSE), "")</f>
        <v>120</v>
      </c>
    </row>
    <row r="14" spans="1:20" ht="27.75" customHeight="1">
      <c r="A14" s="21">
        <v>12</v>
      </c>
      <c r="B14" s="163" t="str">
        <f>IFERROR(INDEX('DAY 2 SCORES'!$B:$B, MATCH("RED" &amp; $A14, 'DAY 2 SCORES'!$J:$J, 0)), "")</f>
        <v/>
      </c>
      <c r="C14" s="163" t="str">
        <f>IFERROR(VLOOKUP($B14, REGISTRATION!$B:$C, 2, FALSE), "")</f>
        <v/>
      </c>
      <c r="D14" s="163" t="str">
        <f>IFERROR(VLOOKUP($B14, 'DAY 2 SCORES'!$B:$K, 10, FALSE), "")</f>
        <v>///</v>
      </c>
      <c r="E14" s="163">
        <f>IFERROR(VLOOKUP($B14, 'DAY 2 SCORES'!$B:$H, 7, FALSE), "")</f>
        <v>120</v>
      </c>
      <c r="F14" s="169">
        <v>12</v>
      </c>
      <c r="G14" s="170" t="str">
        <f>IFERROR(INDEX('DAY 2 SCORES'!$B:$B, MATCH("YELLOW" &amp; $F14, 'DAY 2 SCORES'!$J:$J, 0)), "")</f>
        <v/>
      </c>
      <c r="H14" s="170" t="str">
        <f>IFERROR(VLOOKUP($G14, REGISTRATION!$B:$C, 2, FALSE), "")</f>
        <v/>
      </c>
      <c r="I14" s="170" t="str">
        <f>IFERROR(VLOOKUP($G14, 'DAY 2 SCORES'!$B:$K, 10, FALSE), "")</f>
        <v>///</v>
      </c>
      <c r="J14" s="254">
        <f>IFERROR(VLOOKUP($G14, 'DAY 2 SCORES'!$B:$H, 7, FALSE), "")</f>
        <v>120</v>
      </c>
      <c r="K14" s="171">
        <v>12</v>
      </c>
      <c r="L14" s="216" t="str">
        <f>IFERROR(INDEX('DAY 2 SCORES'!$B:$B, MATCH("GREEN" &amp; $K14, 'DAY 2 SCORES'!$J:$J, 0)), "")</f>
        <v/>
      </c>
      <c r="M14" s="216" t="str">
        <f>IFERROR(VLOOKUP($L14, REGISTRATION!$B:$C, 2, FALSE), "")</f>
        <v/>
      </c>
      <c r="N14" s="216" t="str">
        <f>IFERROR(VLOOKUP($L14, 'DAY 2 SCORES'!$B:$K, 10, FALSE), "")</f>
        <v>///</v>
      </c>
      <c r="O14" s="216">
        <f>IFERROR(VLOOKUP($L14, 'DAY 2 SCORES'!$B:$H, 7, FALSE), "")</f>
        <v>120</v>
      </c>
      <c r="P14" s="172">
        <v>12</v>
      </c>
      <c r="Q14" s="173" t="str">
        <f>IFERROR(INDEX('DAY 2 SCORES'!$B:$B, MATCH("BLUE" &amp; $P14, 'DAY 2 SCORES'!$J:$J, 0)), "")</f>
        <v/>
      </c>
      <c r="R14" s="173" t="str">
        <f>IFERROR(VLOOKUP($Q14, REGISTRATION!$B:$C, 2, FALSE), "")</f>
        <v/>
      </c>
      <c r="S14" s="173" t="str">
        <f>IFERROR(VLOOKUP($Q14, 'DAY 2 SCORES'!$B:$K, 10, FALSE), "")</f>
        <v>///</v>
      </c>
      <c r="T14" s="173">
        <f>IFERROR(VLOOKUP($Q14, 'DAY 2 SCORES'!$B:$H, 7, FALSE), "")</f>
        <v>120</v>
      </c>
    </row>
    <row r="15" spans="1:20" ht="27.75" customHeight="1">
      <c r="A15" s="21">
        <v>13</v>
      </c>
      <c r="B15" s="163" t="str">
        <f>IFERROR(INDEX('DAY 2 SCORES'!$B:$B, MATCH("RED" &amp; $A15, 'DAY 2 SCORES'!$J:$J, 0)), "")</f>
        <v/>
      </c>
      <c r="C15" s="163" t="str">
        <f>IFERROR(VLOOKUP($B15, REGISTRATION!$B:$C, 2, FALSE), "")</f>
        <v/>
      </c>
      <c r="D15" s="163" t="str">
        <f>IFERROR(VLOOKUP($B15, 'DAY 2 SCORES'!$B:$K, 10, FALSE), "")</f>
        <v>///</v>
      </c>
      <c r="E15" s="163">
        <f>IFERROR(VLOOKUP($B15, 'DAY 2 SCORES'!$B:$H, 7, FALSE), "")</f>
        <v>120</v>
      </c>
      <c r="F15" s="169">
        <v>13</v>
      </c>
      <c r="G15" s="170" t="str">
        <f>IFERROR(INDEX('DAY 2 SCORES'!$B:$B, MATCH("YELLOW" &amp; $F15, 'DAY 2 SCORES'!$J:$J, 0)), "")</f>
        <v/>
      </c>
      <c r="H15" s="170" t="str">
        <f>IFERROR(VLOOKUP($G15, REGISTRATION!$B:$C, 2, FALSE), "")</f>
        <v/>
      </c>
      <c r="I15" s="170" t="str">
        <f>IFERROR(VLOOKUP($G15, 'DAY 2 SCORES'!$B:$K, 10, FALSE), "")</f>
        <v>///</v>
      </c>
      <c r="J15" s="254">
        <f>IFERROR(VLOOKUP($G15, 'DAY 2 SCORES'!$B:$H, 7, FALSE), "")</f>
        <v>120</v>
      </c>
      <c r="K15" s="171">
        <v>13</v>
      </c>
      <c r="L15" s="216" t="str">
        <f>IFERROR(INDEX('DAY 2 SCORES'!$B:$B, MATCH("GREEN" &amp; $K15, 'DAY 2 SCORES'!$J:$J, 0)), "")</f>
        <v/>
      </c>
      <c r="M15" s="216" t="str">
        <f>IFERROR(VLOOKUP($L15, REGISTRATION!$B:$C, 2, FALSE), "")</f>
        <v/>
      </c>
      <c r="N15" s="216" t="str">
        <f>IFERROR(VLOOKUP($L15, 'DAY 2 SCORES'!$B:$K, 10, FALSE), "")</f>
        <v>///</v>
      </c>
      <c r="O15" s="216">
        <f>IFERROR(VLOOKUP($L15, 'DAY 2 SCORES'!$B:$H, 7, FALSE), "")</f>
        <v>120</v>
      </c>
      <c r="P15" s="172">
        <v>13</v>
      </c>
      <c r="Q15" s="173" t="str">
        <f>IFERROR(INDEX('DAY 2 SCORES'!$B:$B, MATCH("BLUE" &amp; $P15, 'DAY 2 SCORES'!$J:$J, 0)), "")</f>
        <v/>
      </c>
      <c r="R15" s="173" t="str">
        <f>IFERROR(VLOOKUP($Q15, REGISTRATION!$B:$C, 2, FALSE), "")</f>
        <v/>
      </c>
      <c r="S15" s="173" t="str">
        <f>IFERROR(VLOOKUP($Q15, 'DAY 2 SCORES'!$B:$K, 10, FALSE), "")</f>
        <v>///</v>
      </c>
      <c r="T15" s="173">
        <f>IFERROR(VLOOKUP($Q15, 'DAY 2 SCORES'!$B:$H, 7, FALSE), "")</f>
        <v>120</v>
      </c>
    </row>
    <row r="16" spans="1:20" ht="27.75" customHeight="1">
      <c r="A16" s="21">
        <v>14</v>
      </c>
      <c r="B16" s="163" t="str">
        <f>IFERROR(INDEX('DAY 2 SCORES'!$B:$B, MATCH("RED" &amp; $A16, 'DAY 2 SCORES'!$J:$J, 0)), "")</f>
        <v/>
      </c>
      <c r="C16" s="163" t="str">
        <f>IFERROR(VLOOKUP($B16, REGISTRATION!$B:$C, 2, FALSE), "")</f>
        <v/>
      </c>
      <c r="D16" s="163" t="str">
        <f>IFERROR(VLOOKUP($B16, 'DAY 2 SCORES'!$B:$K, 10, FALSE), "")</f>
        <v>///</v>
      </c>
      <c r="E16" s="163">
        <f>IFERROR(VLOOKUP($B16, 'DAY 2 SCORES'!$B:$H, 7, FALSE), "")</f>
        <v>120</v>
      </c>
      <c r="F16" s="169">
        <v>14</v>
      </c>
      <c r="G16" s="170" t="str">
        <f>IFERROR(INDEX('DAY 2 SCORES'!$B:$B, MATCH("YELLOW" &amp; $F16, 'DAY 2 SCORES'!$J:$J, 0)), "")</f>
        <v/>
      </c>
      <c r="H16" s="170" t="str">
        <f>IFERROR(VLOOKUP($G16, REGISTRATION!$B:$C, 2, FALSE), "")</f>
        <v/>
      </c>
      <c r="I16" s="170" t="str">
        <f>IFERROR(VLOOKUP($G16, 'DAY 2 SCORES'!$B:$K, 10, FALSE), "")</f>
        <v>///</v>
      </c>
      <c r="J16" s="254">
        <f>IFERROR(VLOOKUP($G16, 'DAY 2 SCORES'!$B:$H, 7, FALSE), "")</f>
        <v>120</v>
      </c>
      <c r="K16" s="171">
        <v>14</v>
      </c>
      <c r="L16" s="216" t="str">
        <f>IFERROR(INDEX('DAY 2 SCORES'!$B:$B, MATCH("GREEN" &amp; $K16, 'DAY 2 SCORES'!$J:$J, 0)), "")</f>
        <v/>
      </c>
      <c r="M16" s="216" t="str">
        <f>IFERROR(VLOOKUP($L16, REGISTRATION!$B:$C, 2, FALSE), "")</f>
        <v/>
      </c>
      <c r="N16" s="216" t="str">
        <f>IFERROR(VLOOKUP($L16, 'DAY 2 SCORES'!$B:$K, 10, FALSE), "")</f>
        <v>///</v>
      </c>
      <c r="O16" s="216">
        <f>IFERROR(VLOOKUP($L16, 'DAY 2 SCORES'!$B:$H, 7, FALSE), "")</f>
        <v>120</v>
      </c>
      <c r="P16" s="172">
        <v>14</v>
      </c>
      <c r="Q16" s="173" t="str">
        <f>IFERROR(INDEX('DAY 2 SCORES'!$B:$B, MATCH("BLUE" &amp; $P16, 'DAY 2 SCORES'!$J:$J, 0)), "")</f>
        <v/>
      </c>
      <c r="R16" s="173" t="str">
        <f>IFERROR(VLOOKUP($Q16, REGISTRATION!$B:$C, 2, FALSE), "")</f>
        <v/>
      </c>
      <c r="S16" s="173" t="str">
        <f>IFERROR(VLOOKUP($Q16, 'DAY 2 SCORES'!$B:$K, 10, FALSE), "")</f>
        <v>///</v>
      </c>
      <c r="T16" s="173">
        <f>IFERROR(VLOOKUP($Q16, 'DAY 2 SCORES'!$B:$H, 7, FALSE), "")</f>
        <v>120</v>
      </c>
    </row>
    <row r="17" spans="1:20" ht="27.75" customHeight="1">
      <c r="A17" s="21">
        <v>15</v>
      </c>
      <c r="B17" s="163" t="str">
        <f>IFERROR(INDEX('DAY 2 SCORES'!$B:$B, MATCH("RED" &amp; $A17, 'DAY 2 SCORES'!$J:$J, 0)), "")</f>
        <v/>
      </c>
      <c r="C17" s="163" t="str">
        <f>IFERROR(VLOOKUP($B17, REGISTRATION!$B:$C, 2, FALSE), "")</f>
        <v/>
      </c>
      <c r="D17" s="163" t="str">
        <f>IFERROR(VLOOKUP($B17, 'DAY 2 SCORES'!$B:$K, 10, FALSE), "")</f>
        <v>///</v>
      </c>
      <c r="E17" s="163">
        <f>IFERROR(VLOOKUP($B17, 'DAY 2 SCORES'!$B:$H, 7, FALSE), "")</f>
        <v>120</v>
      </c>
      <c r="F17" s="169">
        <v>15</v>
      </c>
      <c r="G17" s="170" t="str">
        <f>IFERROR(INDEX('DAY 2 SCORES'!$B:$B, MATCH("YELLOW" &amp; $F17, 'DAY 2 SCORES'!$J:$J, 0)), "")</f>
        <v/>
      </c>
      <c r="H17" s="170" t="str">
        <f>IFERROR(VLOOKUP($G17, REGISTRATION!$B:$C, 2, FALSE), "")</f>
        <v/>
      </c>
      <c r="I17" s="170" t="str">
        <f>IFERROR(VLOOKUP($G17, 'DAY 2 SCORES'!$B:$K, 10, FALSE), "")</f>
        <v>///</v>
      </c>
      <c r="J17" s="254">
        <f>IFERROR(VLOOKUP($G17, 'DAY 2 SCORES'!$B:$H, 7, FALSE), "")</f>
        <v>120</v>
      </c>
      <c r="K17" s="171">
        <v>15</v>
      </c>
      <c r="L17" s="216" t="str">
        <f>IFERROR(INDEX('DAY 2 SCORES'!$B:$B, MATCH("GREEN" &amp; $K17, 'DAY 2 SCORES'!$J:$J, 0)), "")</f>
        <v/>
      </c>
      <c r="M17" s="216" t="str">
        <f>IFERROR(VLOOKUP($L17, REGISTRATION!$B:$C, 2, FALSE), "")</f>
        <v/>
      </c>
      <c r="N17" s="216" t="str">
        <f>IFERROR(VLOOKUP($L17, 'DAY 2 SCORES'!$B:$K, 10, FALSE), "")</f>
        <v>///</v>
      </c>
      <c r="O17" s="216">
        <f>IFERROR(VLOOKUP($L17, 'DAY 2 SCORES'!$B:$H, 7, FALSE), "")</f>
        <v>120</v>
      </c>
      <c r="P17" s="172">
        <v>15</v>
      </c>
      <c r="Q17" s="173" t="str">
        <f>IFERROR(INDEX('DAY 2 SCORES'!$B:$B, MATCH("BLUE" &amp; $P17, 'DAY 2 SCORES'!$J:$J, 0)), "")</f>
        <v/>
      </c>
      <c r="R17" s="173" t="str">
        <f>IFERROR(VLOOKUP($Q17, REGISTRATION!$B:$C, 2, FALSE), "")</f>
        <v/>
      </c>
      <c r="S17" s="173" t="str">
        <f>IFERROR(VLOOKUP($Q17, 'DAY 2 SCORES'!$B:$K, 10, FALSE), "")</f>
        <v>///</v>
      </c>
      <c r="T17" s="173">
        <f>IFERROR(VLOOKUP($Q17, 'DAY 2 SCORES'!$B:$H, 7, FALSE), "")</f>
        <v>120</v>
      </c>
    </row>
    <row r="18" spans="1:20" ht="27.75" customHeight="1">
      <c r="A18" s="21">
        <v>16</v>
      </c>
      <c r="B18" s="163" t="str">
        <f>IFERROR(INDEX('DAY 2 SCORES'!$B:$B, MATCH("RED" &amp; $A18, 'DAY 2 SCORES'!$J:$J, 0)), "")</f>
        <v/>
      </c>
      <c r="C18" s="163" t="str">
        <f>IFERROR(VLOOKUP($B18, REGISTRATION!$B:$C, 2, FALSE), "")</f>
        <v/>
      </c>
      <c r="D18" s="163" t="str">
        <f>IFERROR(VLOOKUP($B18, 'DAY 2 SCORES'!$B:$K, 10, FALSE), "")</f>
        <v>///</v>
      </c>
      <c r="E18" s="163">
        <f>IFERROR(VLOOKUP($B18, 'DAY 2 SCORES'!$B:$H, 7, FALSE), "")</f>
        <v>120</v>
      </c>
      <c r="F18" s="169">
        <v>16</v>
      </c>
      <c r="G18" s="170" t="str">
        <f>IFERROR(INDEX('DAY 2 SCORES'!$B:$B, MATCH("YELLOW" &amp; $F18, 'DAY 2 SCORES'!$J:$J, 0)), "")</f>
        <v/>
      </c>
      <c r="H18" s="170" t="str">
        <f>IFERROR(VLOOKUP($G18, REGISTRATION!$B:$C, 2, FALSE), "")</f>
        <v/>
      </c>
      <c r="I18" s="170" t="str">
        <f>IFERROR(VLOOKUP($G18, 'DAY 2 SCORES'!$B:$K, 10, FALSE), "")</f>
        <v>///</v>
      </c>
      <c r="J18" s="254">
        <f>IFERROR(VLOOKUP($G18, 'DAY 2 SCORES'!$B:$H, 7, FALSE), "")</f>
        <v>120</v>
      </c>
      <c r="K18" s="171">
        <v>16</v>
      </c>
      <c r="L18" s="216" t="str">
        <f>IFERROR(INDEX('DAY 2 SCORES'!$B:$B, MATCH("GREEN" &amp; $K18, 'DAY 2 SCORES'!$J:$J, 0)), "")</f>
        <v/>
      </c>
      <c r="M18" s="216" t="str">
        <f>IFERROR(VLOOKUP($L18, REGISTRATION!$B:$C, 2, FALSE), "")</f>
        <v/>
      </c>
      <c r="N18" s="216" t="str">
        <f>IFERROR(VLOOKUP($L18, 'DAY 2 SCORES'!$B:$K, 10, FALSE), "")</f>
        <v>///</v>
      </c>
      <c r="O18" s="216">
        <f>IFERROR(VLOOKUP($L18, 'DAY 2 SCORES'!$B:$H, 7, FALSE), "")</f>
        <v>120</v>
      </c>
      <c r="P18" s="172">
        <v>16</v>
      </c>
      <c r="Q18" s="173" t="str">
        <f>IFERROR(INDEX('DAY 2 SCORES'!$B:$B, MATCH("BLUE" &amp; $P18, 'DAY 2 SCORES'!$J:$J, 0)), "")</f>
        <v/>
      </c>
      <c r="R18" s="173" t="str">
        <f>IFERROR(VLOOKUP($Q18, REGISTRATION!$B:$C, 2, FALSE), "")</f>
        <v/>
      </c>
      <c r="S18" s="173" t="str">
        <f>IFERROR(VLOOKUP($Q18, 'DAY 2 SCORES'!$B:$K, 10, FALSE), "")</f>
        <v>///</v>
      </c>
      <c r="T18" s="173">
        <f>IFERROR(VLOOKUP($Q18, 'DAY 2 SCORES'!$B:$H, 7, FALSE), "")</f>
        <v>120</v>
      </c>
    </row>
    <row r="19" spans="1:20" ht="27.75" customHeight="1">
      <c r="A19" s="21">
        <v>17</v>
      </c>
      <c r="B19" s="163" t="str">
        <f>IFERROR(INDEX('DAY 2 SCORES'!$B:$B, MATCH("RED" &amp; $A19, 'DAY 2 SCORES'!$J:$J, 0)), "")</f>
        <v/>
      </c>
      <c r="C19" s="163" t="str">
        <f>IFERROR(VLOOKUP($B19, REGISTRATION!$B:$C, 2, FALSE), "")</f>
        <v/>
      </c>
      <c r="D19" s="163" t="str">
        <f>IFERROR(VLOOKUP($B19, 'DAY 2 SCORES'!$B:$K, 10, FALSE), "")</f>
        <v>///</v>
      </c>
      <c r="E19" s="163">
        <f>IFERROR(VLOOKUP($B19, 'DAY 2 SCORES'!$B:$H, 7, FALSE), "")</f>
        <v>120</v>
      </c>
      <c r="F19" s="169">
        <v>17</v>
      </c>
      <c r="G19" s="170" t="str">
        <f>IFERROR(INDEX('DAY 2 SCORES'!$B:$B, MATCH("YELLOW" &amp; $F19, 'DAY 2 SCORES'!$J:$J, 0)), "")</f>
        <v/>
      </c>
      <c r="H19" s="170" t="str">
        <f>IFERROR(VLOOKUP($G19, REGISTRATION!$B:$C, 2, FALSE), "")</f>
        <v/>
      </c>
      <c r="I19" s="170" t="str">
        <f>IFERROR(VLOOKUP($G19, 'DAY 2 SCORES'!$B:$K, 10, FALSE), "")</f>
        <v>///</v>
      </c>
      <c r="J19" s="254">
        <f>IFERROR(VLOOKUP($G19, 'DAY 2 SCORES'!$B:$H, 7, FALSE), "")</f>
        <v>120</v>
      </c>
      <c r="K19" s="171">
        <v>17</v>
      </c>
      <c r="L19" s="216" t="str">
        <f>IFERROR(INDEX('DAY 2 SCORES'!$B:$B, MATCH("GREEN" &amp; $K19, 'DAY 2 SCORES'!$J:$J, 0)), "")</f>
        <v/>
      </c>
      <c r="M19" s="216" t="str">
        <f>IFERROR(VLOOKUP($L19, REGISTRATION!$B:$C, 2, FALSE), "")</f>
        <v/>
      </c>
      <c r="N19" s="216" t="str">
        <f>IFERROR(VLOOKUP($L19, 'DAY 2 SCORES'!$B:$K, 10, FALSE), "")</f>
        <v>///</v>
      </c>
      <c r="O19" s="216">
        <f>IFERROR(VLOOKUP($L19, 'DAY 2 SCORES'!$B:$H, 7, FALSE), "")</f>
        <v>120</v>
      </c>
      <c r="P19" s="172">
        <v>17</v>
      </c>
      <c r="Q19" s="173" t="str">
        <f>IFERROR(INDEX('DAY 2 SCORES'!$B:$B, MATCH("BLUE" &amp; $P19, 'DAY 2 SCORES'!$J:$J, 0)), "")</f>
        <v/>
      </c>
      <c r="R19" s="173" t="str">
        <f>IFERROR(VLOOKUP($Q19, REGISTRATION!$B:$C, 2, FALSE), "")</f>
        <v/>
      </c>
      <c r="S19" s="173" t="str">
        <f>IFERROR(VLOOKUP($Q19, 'DAY 2 SCORES'!$B:$K, 10, FALSE), "")</f>
        <v>///</v>
      </c>
      <c r="T19" s="173">
        <f>IFERROR(VLOOKUP($Q19, 'DAY 2 SCORES'!$B:$H, 7, FALSE), "")</f>
        <v>120</v>
      </c>
    </row>
    <row r="20" spans="1:20" ht="27.75" customHeight="1">
      <c r="A20" s="21">
        <v>18</v>
      </c>
      <c r="B20" s="163" t="str">
        <f>IFERROR(INDEX('DAY 2 SCORES'!$B:$B, MATCH("RED" &amp; $A20, 'DAY 2 SCORES'!$J:$J, 0)), "")</f>
        <v/>
      </c>
      <c r="C20" s="163" t="str">
        <f>IFERROR(VLOOKUP($B20, REGISTRATION!$B:$C, 2, FALSE), "")</f>
        <v/>
      </c>
      <c r="D20" s="163" t="str">
        <f>IFERROR(VLOOKUP($B20, 'DAY 2 SCORES'!$B:$K, 10, FALSE), "")</f>
        <v>///</v>
      </c>
      <c r="E20" s="163">
        <f>IFERROR(VLOOKUP($B20, 'DAY 2 SCORES'!$B:$H, 7, FALSE), "")</f>
        <v>120</v>
      </c>
      <c r="F20" s="169">
        <v>18</v>
      </c>
      <c r="G20" s="170" t="str">
        <f>IFERROR(INDEX('DAY 2 SCORES'!$B:$B, MATCH("YELLOW" &amp; $F20, 'DAY 2 SCORES'!$J:$J, 0)), "")</f>
        <v/>
      </c>
      <c r="H20" s="170" t="str">
        <f>IFERROR(VLOOKUP($G20, REGISTRATION!$B:$C, 2, FALSE), "")</f>
        <v/>
      </c>
      <c r="I20" s="170" t="str">
        <f>IFERROR(VLOOKUP($G20, 'DAY 2 SCORES'!$B:$K, 10, FALSE), "")</f>
        <v>///</v>
      </c>
      <c r="J20" s="254">
        <f>IFERROR(VLOOKUP($G20, 'DAY 2 SCORES'!$B:$H, 7, FALSE), "")</f>
        <v>120</v>
      </c>
      <c r="K20" s="171">
        <v>18</v>
      </c>
      <c r="L20" s="216" t="str">
        <f>IFERROR(INDEX('DAY 2 SCORES'!$B:$B, MATCH("GREEN" &amp; $K20, 'DAY 2 SCORES'!$J:$J, 0)), "")</f>
        <v/>
      </c>
      <c r="M20" s="216" t="str">
        <f>IFERROR(VLOOKUP($L20, REGISTRATION!$B:$C, 2, FALSE), "")</f>
        <v/>
      </c>
      <c r="N20" s="216" t="str">
        <f>IFERROR(VLOOKUP($L20, 'DAY 2 SCORES'!$B:$K, 10, FALSE), "")</f>
        <v>///</v>
      </c>
      <c r="O20" s="216">
        <f>IFERROR(VLOOKUP($L20, 'DAY 2 SCORES'!$B:$H, 7, FALSE), "")</f>
        <v>120</v>
      </c>
      <c r="P20" s="172">
        <v>18</v>
      </c>
      <c r="Q20" s="173" t="str">
        <f>IFERROR(INDEX('DAY 2 SCORES'!$B:$B, MATCH("BLUE" &amp; $P20, 'DAY 2 SCORES'!$J:$J, 0)), "")</f>
        <v/>
      </c>
      <c r="R20" s="173" t="str">
        <f>IFERROR(VLOOKUP($Q20, REGISTRATION!$B:$C, 2, FALSE), "")</f>
        <v/>
      </c>
      <c r="S20" s="173" t="str">
        <f>IFERROR(VLOOKUP($Q20, 'DAY 2 SCORES'!$B:$K, 10, FALSE), "")</f>
        <v>///</v>
      </c>
      <c r="T20" s="173">
        <f>IFERROR(VLOOKUP($Q20, 'DAY 2 SCORES'!$B:$H, 7, FALSE), "")</f>
        <v>120</v>
      </c>
    </row>
    <row r="21" spans="1:20" ht="27.75" customHeight="1">
      <c r="A21" s="21">
        <v>19</v>
      </c>
      <c r="B21" s="163" t="str">
        <f>IFERROR(INDEX('DAY 2 SCORES'!$B:$B, MATCH("RED" &amp; $A21, 'DAY 2 SCORES'!$J:$J, 0)), "")</f>
        <v/>
      </c>
      <c r="C21" s="163" t="str">
        <f>IFERROR(VLOOKUP($B21, REGISTRATION!$B:$C, 2, FALSE), "")</f>
        <v/>
      </c>
      <c r="D21" s="163" t="str">
        <f>IFERROR(VLOOKUP($B21, 'DAY 2 SCORES'!$B:$K, 10, FALSE), "")</f>
        <v>///</v>
      </c>
      <c r="E21" s="163">
        <f>IFERROR(VLOOKUP($B21, 'DAY 2 SCORES'!$B:$H, 7, FALSE), "")</f>
        <v>120</v>
      </c>
      <c r="F21" s="169">
        <v>19</v>
      </c>
      <c r="G21" s="170" t="str">
        <f>IFERROR(INDEX('DAY 2 SCORES'!$B:$B, MATCH("YELLOW" &amp; $F21, 'DAY 2 SCORES'!$J:$J, 0)), "")</f>
        <v/>
      </c>
      <c r="H21" s="170" t="str">
        <f>IFERROR(VLOOKUP($G21, REGISTRATION!$B:$C, 2, FALSE), "")</f>
        <v/>
      </c>
      <c r="I21" s="170" t="str">
        <f>IFERROR(VLOOKUP($G21, 'DAY 2 SCORES'!$B:$K, 10, FALSE), "")</f>
        <v>///</v>
      </c>
      <c r="J21" s="254">
        <f>IFERROR(VLOOKUP($G21, 'DAY 2 SCORES'!$B:$H, 7, FALSE), "")</f>
        <v>120</v>
      </c>
      <c r="K21" s="171">
        <v>19</v>
      </c>
      <c r="L21" s="216" t="str">
        <f>IFERROR(INDEX('DAY 2 SCORES'!$B:$B, MATCH("GREEN" &amp; $K21, 'DAY 2 SCORES'!$J:$J, 0)), "")</f>
        <v/>
      </c>
      <c r="M21" s="216" t="str">
        <f>IFERROR(VLOOKUP($L21, REGISTRATION!$B:$C, 2, FALSE), "")</f>
        <v/>
      </c>
      <c r="N21" s="216" t="str">
        <f>IFERROR(VLOOKUP($L21, 'DAY 2 SCORES'!$B:$K, 10, FALSE), "")</f>
        <v>///</v>
      </c>
      <c r="O21" s="216">
        <f>IFERROR(VLOOKUP($L21, 'DAY 2 SCORES'!$B:$H, 7, FALSE), "")</f>
        <v>120</v>
      </c>
      <c r="P21" s="172">
        <v>19</v>
      </c>
      <c r="Q21" s="173" t="str">
        <f>IFERROR(INDEX('DAY 2 SCORES'!$B:$B, MATCH("BLUE" &amp; $P21, 'DAY 2 SCORES'!$J:$J, 0)), "")</f>
        <v/>
      </c>
      <c r="R21" s="173" t="str">
        <f>IFERROR(VLOOKUP($Q21, REGISTRATION!$B:$C, 2, FALSE), "")</f>
        <v/>
      </c>
      <c r="S21" s="173" t="str">
        <f>IFERROR(VLOOKUP($Q21, 'DAY 2 SCORES'!$B:$K, 10, FALSE), "")</f>
        <v>///</v>
      </c>
      <c r="T21" s="173">
        <f>IFERROR(VLOOKUP($Q21, 'DAY 2 SCORES'!$B:$H, 7, FALSE), "")</f>
        <v>120</v>
      </c>
    </row>
    <row r="22" spans="1:20" ht="27.75" customHeight="1">
      <c r="A22" s="21">
        <v>20</v>
      </c>
      <c r="B22" s="163" t="str">
        <f>IFERROR(INDEX('DAY 2 SCORES'!$B:$B, MATCH("RED" &amp; $A22, 'DAY 2 SCORES'!$J:$J, 0)), "")</f>
        <v/>
      </c>
      <c r="C22" s="163" t="str">
        <f>IFERROR(VLOOKUP($B22, REGISTRATION!$B:$C, 2, FALSE), "")</f>
        <v/>
      </c>
      <c r="D22" s="163" t="str">
        <f>IFERROR(VLOOKUP($B22, 'DAY 2 SCORES'!$B:$K, 10, FALSE), "")</f>
        <v>///</v>
      </c>
      <c r="E22" s="163">
        <f>IFERROR(VLOOKUP($B22, 'DAY 2 SCORES'!$B:$H, 7, FALSE), "")</f>
        <v>120</v>
      </c>
      <c r="F22" s="169">
        <v>20</v>
      </c>
      <c r="G22" s="170" t="str">
        <f>IFERROR(INDEX('DAY 2 SCORES'!$B:$B, MATCH("YELLOW" &amp; $F22, 'DAY 2 SCORES'!$J:$J, 0)), "")</f>
        <v/>
      </c>
      <c r="H22" s="170" t="str">
        <f>IFERROR(VLOOKUP($G22, REGISTRATION!$B:$C, 2, FALSE), "")</f>
        <v/>
      </c>
      <c r="I22" s="170" t="str">
        <f>IFERROR(VLOOKUP($G22, 'DAY 2 SCORES'!$B:$K, 10, FALSE), "")</f>
        <v>///</v>
      </c>
      <c r="J22" s="254">
        <f>IFERROR(VLOOKUP($G22, 'DAY 2 SCORES'!$B:$H, 7, FALSE), "")</f>
        <v>120</v>
      </c>
      <c r="K22" s="171">
        <v>20</v>
      </c>
      <c r="L22" s="216" t="str">
        <f>IFERROR(INDEX('DAY 2 SCORES'!$B:$B, MATCH("GREEN" &amp; $K22, 'DAY 2 SCORES'!$J:$J, 0)), "")</f>
        <v/>
      </c>
      <c r="M22" s="216" t="str">
        <f>IFERROR(VLOOKUP($L22, REGISTRATION!$B:$C, 2, FALSE), "")</f>
        <v/>
      </c>
      <c r="N22" s="216" t="str">
        <f>IFERROR(VLOOKUP($L22, 'DAY 2 SCORES'!$B:$K, 10, FALSE), "")</f>
        <v>///</v>
      </c>
      <c r="O22" s="216">
        <f>IFERROR(VLOOKUP($L22, 'DAY 2 SCORES'!$B:$H, 7, FALSE), "")</f>
        <v>120</v>
      </c>
      <c r="P22" s="172">
        <v>20</v>
      </c>
      <c r="Q22" s="173" t="str">
        <f>IFERROR(INDEX('DAY 2 SCORES'!$B:$B, MATCH("BLUE" &amp; $P22, 'DAY 2 SCORES'!$J:$J, 0)), "")</f>
        <v/>
      </c>
      <c r="R22" s="173" t="str">
        <f>IFERROR(VLOOKUP($Q22, REGISTRATION!$B:$C, 2, FALSE), "")</f>
        <v/>
      </c>
      <c r="S22" s="173" t="str">
        <f>IFERROR(VLOOKUP($Q22, 'DAY 2 SCORES'!$B:$K, 10, FALSE), "")</f>
        <v>///</v>
      </c>
      <c r="T22" s="173">
        <f>IFERROR(VLOOKUP($Q22, 'DAY 2 SCORES'!$B:$H, 7, FALSE), "")</f>
        <v>120</v>
      </c>
    </row>
    <row r="23" spans="1:20" ht="27.75" customHeight="1">
      <c r="A23" s="21">
        <v>21</v>
      </c>
      <c r="B23" s="163" t="str">
        <f>IFERROR(INDEX('DAY 2 SCORES'!$B:$B, MATCH("RED" &amp; $A23, 'DAY 2 SCORES'!$J:$J, 0)), "")</f>
        <v/>
      </c>
      <c r="C23" s="163" t="str">
        <f>IFERROR(VLOOKUP($B23, REGISTRATION!$B:$C, 2, FALSE), "")</f>
        <v/>
      </c>
      <c r="D23" s="163" t="str">
        <f>IFERROR(VLOOKUP($B23, 'DAY 2 SCORES'!$B:$K, 10, FALSE), "")</f>
        <v>///</v>
      </c>
      <c r="E23" s="163">
        <f>IFERROR(VLOOKUP($B23, 'DAY 2 SCORES'!$B:$H, 7, FALSE), "")</f>
        <v>120</v>
      </c>
      <c r="F23" s="169">
        <v>21</v>
      </c>
      <c r="G23" s="170" t="str">
        <f>IFERROR(INDEX('DAY 2 SCORES'!$B:$B, MATCH("YELLOW" &amp; $F23, 'DAY 2 SCORES'!$J:$J, 0)), "")</f>
        <v/>
      </c>
      <c r="H23" s="170" t="str">
        <f>IFERROR(VLOOKUP($G23, REGISTRATION!$B:$C, 2, FALSE), "")</f>
        <v/>
      </c>
      <c r="I23" s="170" t="str">
        <f>IFERROR(VLOOKUP($G23, 'DAY 2 SCORES'!$B:$K, 10, FALSE), "")</f>
        <v>///</v>
      </c>
      <c r="J23" s="254">
        <f>IFERROR(VLOOKUP($G23, 'DAY 2 SCORES'!$B:$H, 7, FALSE), "")</f>
        <v>120</v>
      </c>
      <c r="K23" s="171">
        <v>21</v>
      </c>
      <c r="L23" s="216" t="str">
        <f>IFERROR(INDEX('DAY 2 SCORES'!$B:$B, MATCH("GREEN" &amp; $K23, 'DAY 2 SCORES'!$J:$J, 0)), "")</f>
        <v/>
      </c>
      <c r="M23" s="216" t="str">
        <f>IFERROR(VLOOKUP($L23, REGISTRATION!$B:$C, 2, FALSE), "")</f>
        <v/>
      </c>
      <c r="N23" s="216" t="str">
        <f>IFERROR(VLOOKUP($L23, 'DAY 2 SCORES'!$B:$K, 10, FALSE), "")</f>
        <v>///</v>
      </c>
      <c r="O23" s="216">
        <f>IFERROR(VLOOKUP($L23, 'DAY 2 SCORES'!$B:$H, 7, FALSE), "")</f>
        <v>120</v>
      </c>
      <c r="P23" s="172">
        <v>21</v>
      </c>
      <c r="Q23" s="173" t="str">
        <f>IFERROR(INDEX('DAY 2 SCORES'!$B:$B, MATCH("BLUE" &amp; $P23, 'DAY 2 SCORES'!$J:$J, 0)), "")</f>
        <v/>
      </c>
      <c r="R23" s="173" t="str">
        <f>IFERROR(VLOOKUP($Q23, REGISTRATION!$B:$C, 2, FALSE), "")</f>
        <v/>
      </c>
      <c r="S23" s="173" t="str">
        <f>IFERROR(VLOOKUP($Q23, 'DAY 2 SCORES'!$B:$K, 10, FALSE), "")</f>
        <v>///</v>
      </c>
      <c r="T23" s="173">
        <f>IFERROR(VLOOKUP($Q23, 'DAY 2 SCORES'!$B:$H, 7, FALSE), "")</f>
        <v>120</v>
      </c>
    </row>
    <row r="24" spans="1:20" ht="27.75" customHeight="1">
      <c r="A24" s="21">
        <v>22</v>
      </c>
      <c r="B24" s="163" t="str">
        <f>IFERROR(INDEX('DAY 2 SCORES'!$B:$B, MATCH("RED" &amp; $A24, 'DAY 2 SCORES'!$J:$J, 0)), "")</f>
        <v/>
      </c>
      <c r="C24" s="163" t="str">
        <f>IFERROR(VLOOKUP($B24, REGISTRATION!$B:$C, 2, FALSE), "")</f>
        <v/>
      </c>
      <c r="D24" s="163" t="str">
        <f>IFERROR(VLOOKUP($B24, 'DAY 2 SCORES'!$B:$K, 10, FALSE), "")</f>
        <v>///</v>
      </c>
      <c r="E24" s="163">
        <f>IFERROR(VLOOKUP($B24, 'DAY 2 SCORES'!$B:$H, 7, FALSE), "")</f>
        <v>120</v>
      </c>
      <c r="F24" s="169">
        <v>22</v>
      </c>
      <c r="G24" s="170" t="str">
        <f>IFERROR(INDEX('DAY 2 SCORES'!$B:$B, MATCH("YELLOW" &amp; $F24, 'DAY 2 SCORES'!$J:$J, 0)), "")</f>
        <v/>
      </c>
      <c r="H24" s="170" t="str">
        <f>IFERROR(VLOOKUP($G24, REGISTRATION!$B:$C, 2, FALSE), "")</f>
        <v/>
      </c>
      <c r="I24" s="170" t="str">
        <f>IFERROR(VLOOKUP($G24, 'DAY 2 SCORES'!$B:$K, 10, FALSE), "")</f>
        <v>///</v>
      </c>
      <c r="J24" s="254">
        <f>IFERROR(VLOOKUP($G24, 'DAY 2 SCORES'!$B:$H, 7, FALSE), "")</f>
        <v>120</v>
      </c>
      <c r="K24" s="171">
        <v>22</v>
      </c>
      <c r="L24" s="216" t="str">
        <f>IFERROR(INDEX('DAY 2 SCORES'!$B:$B, MATCH("GREEN" &amp; $K24, 'DAY 2 SCORES'!$J:$J, 0)), "")</f>
        <v/>
      </c>
      <c r="M24" s="216" t="str">
        <f>IFERROR(VLOOKUP($L24, REGISTRATION!$B:$C, 2, FALSE), "")</f>
        <v/>
      </c>
      <c r="N24" s="216" t="str">
        <f>IFERROR(VLOOKUP($L24, 'DAY 2 SCORES'!$B:$K, 10, FALSE), "")</f>
        <v>///</v>
      </c>
      <c r="O24" s="216">
        <f>IFERROR(VLOOKUP($L24, 'DAY 2 SCORES'!$B:$H, 7, FALSE), "")</f>
        <v>120</v>
      </c>
      <c r="P24" s="172">
        <v>22</v>
      </c>
      <c r="Q24" s="173" t="str">
        <f>IFERROR(INDEX('DAY 2 SCORES'!$B:$B, MATCH("BLUE" &amp; $P24, 'DAY 2 SCORES'!$J:$J, 0)), "")</f>
        <v/>
      </c>
      <c r="R24" s="173" t="str">
        <f>IFERROR(VLOOKUP($Q24, REGISTRATION!$B:$C, 2, FALSE), "")</f>
        <v/>
      </c>
      <c r="S24" s="173" t="str">
        <f>IFERROR(VLOOKUP($Q24, 'DAY 2 SCORES'!$B:$K, 10, FALSE), "")</f>
        <v>///</v>
      </c>
      <c r="T24" s="173">
        <f>IFERROR(VLOOKUP($Q24, 'DAY 2 SCORES'!$B:$H, 7, FALSE), "")</f>
        <v>120</v>
      </c>
    </row>
    <row r="25" spans="1:20" ht="27.75" customHeight="1">
      <c r="A25" s="21">
        <v>23</v>
      </c>
      <c r="B25" s="163" t="str">
        <f>IFERROR(INDEX('DAY 2 SCORES'!$B:$B, MATCH("RED" &amp; $A25, 'DAY 2 SCORES'!$J:$J, 0)), "")</f>
        <v/>
      </c>
      <c r="C25" s="163" t="str">
        <f>IFERROR(VLOOKUP($B25, REGISTRATION!$B:$C, 2, FALSE), "")</f>
        <v/>
      </c>
      <c r="D25" s="163" t="str">
        <f>IFERROR(VLOOKUP($B25, 'DAY 2 SCORES'!$B:$K, 10, FALSE), "")</f>
        <v>///</v>
      </c>
      <c r="E25" s="163">
        <f>IFERROR(VLOOKUP($B25, 'DAY 2 SCORES'!$B:$H, 7, FALSE), "")</f>
        <v>120</v>
      </c>
      <c r="F25" s="169">
        <v>23</v>
      </c>
      <c r="G25" s="170" t="str">
        <f>IFERROR(INDEX('DAY 2 SCORES'!$B:$B, MATCH("YELLOW" &amp; $F25, 'DAY 2 SCORES'!$J:$J, 0)), "")</f>
        <v/>
      </c>
      <c r="H25" s="170" t="str">
        <f>IFERROR(VLOOKUP($G25, REGISTRATION!$B:$C, 2, FALSE), "")</f>
        <v/>
      </c>
      <c r="I25" s="170" t="str">
        <f>IFERROR(VLOOKUP($G25, 'DAY 2 SCORES'!$B:$K, 10, FALSE), "")</f>
        <v>///</v>
      </c>
      <c r="J25" s="254">
        <f>IFERROR(VLOOKUP($G25, 'DAY 2 SCORES'!$B:$H, 7, FALSE), "")</f>
        <v>120</v>
      </c>
      <c r="K25" s="171">
        <v>23</v>
      </c>
      <c r="L25" s="216" t="str">
        <f>IFERROR(INDEX('DAY 2 SCORES'!$B:$B, MATCH("GREEN" &amp; $K25, 'DAY 2 SCORES'!$J:$J, 0)), "")</f>
        <v/>
      </c>
      <c r="M25" s="216" t="str">
        <f>IFERROR(VLOOKUP($L25, REGISTRATION!$B:$C, 2, FALSE), "")</f>
        <v/>
      </c>
      <c r="N25" s="216" t="str">
        <f>IFERROR(VLOOKUP($L25, 'DAY 2 SCORES'!$B:$K, 10, FALSE), "")</f>
        <v>///</v>
      </c>
      <c r="O25" s="216">
        <f>IFERROR(VLOOKUP($L25, 'DAY 2 SCORES'!$B:$H, 7, FALSE), "")</f>
        <v>120</v>
      </c>
      <c r="P25" s="172">
        <v>23</v>
      </c>
      <c r="Q25" s="173" t="str">
        <f>IFERROR(INDEX('DAY 2 SCORES'!$B:$B, MATCH("BLUE" &amp; $P25, 'DAY 2 SCORES'!$J:$J, 0)), "")</f>
        <v/>
      </c>
      <c r="R25" s="173" t="str">
        <f>IFERROR(VLOOKUP($Q25, REGISTRATION!$B:$C, 2, FALSE), "")</f>
        <v/>
      </c>
      <c r="S25" s="173" t="str">
        <f>IFERROR(VLOOKUP($Q25, 'DAY 2 SCORES'!$B:$K, 10, FALSE), "")</f>
        <v>///</v>
      </c>
      <c r="T25" s="173">
        <f>IFERROR(VLOOKUP($Q25, 'DAY 2 SCORES'!$B:$H, 7, FALSE), "")</f>
        <v>120</v>
      </c>
    </row>
    <row r="26" spans="1:20" ht="27.75" customHeight="1">
      <c r="A26" s="21">
        <v>24</v>
      </c>
      <c r="B26" s="163" t="str">
        <f>IFERROR(INDEX('DAY 2 SCORES'!$B:$B, MATCH("RED" &amp; $A26, 'DAY 2 SCORES'!$J:$J, 0)), "")</f>
        <v/>
      </c>
      <c r="C26" s="163" t="str">
        <f>IFERROR(VLOOKUP($B26, REGISTRATION!$B:$C, 2, FALSE), "")</f>
        <v/>
      </c>
      <c r="D26" s="163" t="str">
        <f>IFERROR(VLOOKUP($B26, 'DAY 2 SCORES'!$B:$K, 10, FALSE), "")</f>
        <v>///</v>
      </c>
      <c r="E26" s="163">
        <f>IFERROR(VLOOKUP($B26, 'DAY 2 SCORES'!$B:$H, 7, FALSE), "")</f>
        <v>120</v>
      </c>
      <c r="F26" s="169">
        <v>24</v>
      </c>
      <c r="G26" s="170" t="str">
        <f>IFERROR(INDEX('DAY 2 SCORES'!$B:$B, MATCH("YELLOW" &amp; $F26, 'DAY 2 SCORES'!$J:$J, 0)), "")</f>
        <v/>
      </c>
      <c r="H26" s="170" t="str">
        <f>IFERROR(VLOOKUP($G26, REGISTRATION!$B:$C, 2, FALSE), "")</f>
        <v/>
      </c>
      <c r="I26" s="170" t="str">
        <f>IFERROR(VLOOKUP($G26, 'DAY 2 SCORES'!$B:$K, 10, FALSE), "")</f>
        <v>///</v>
      </c>
      <c r="J26" s="254">
        <f>IFERROR(VLOOKUP($G26, 'DAY 2 SCORES'!$B:$H, 7, FALSE), "")</f>
        <v>120</v>
      </c>
      <c r="K26" s="171">
        <v>24</v>
      </c>
      <c r="L26" s="216" t="str">
        <f>IFERROR(INDEX('DAY 2 SCORES'!$B:$B, MATCH("GREEN" &amp; $K26, 'DAY 2 SCORES'!$J:$J, 0)), "")</f>
        <v/>
      </c>
      <c r="M26" s="216" t="str">
        <f>IFERROR(VLOOKUP($L26, REGISTRATION!$B:$C, 2, FALSE), "")</f>
        <v/>
      </c>
      <c r="N26" s="216" t="str">
        <f>IFERROR(VLOOKUP($L26, 'DAY 2 SCORES'!$B:$K, 10, FALSE), "")</f>
        <v>///</v>
      </c>
      <c r="O26" s="216">
        <f>IFERROR(VLOOKUP($L26, 'DAY 2 SCORES'!$B:$H, 7, FALSE), "")</f>
        <v>120</v>
      </c>
      <c r="P26" s="172">
        <v>24</v>
      </c>
      <c r="Q26" s="173" t="str">
        <f>IFERROR(INDEX('DAY 2 SCORES'!$B:$B, MATCH("BLUE" &amp; $P26, 'DAY 2 SCORES'!$J:$J, 0)), "")</f>
        <v/>
      </c>
      <c r="R26" s="173" t="str">
        <f>IFERROR(VLOOKUP($Q26, REGISTRATION!$B:$C, 2, FALSE), "")</f>
        <v/>
      </c>
      <c r="S26" s="173" t="str">
        <f>IFERROR(VLOOKUP($Q26, 'DAY 2 SCORES'!$B:$K, 10, FALSE), "")</f>
        <v>///</v>
      </c>
      <c r="T26" s="173">
        <f>IFERROR(VLOOKUP($Q26, 'DAY 2 SCORES'!$B:$H, 7, FALSE), "")</f>
        <v>120</v>
      </c>
    </row>
    <row r="27" spans="1:20" ht="27.75" customHeight="1">
      <c r="A27" s="21">
        <v>25</v>
      </c>
      <c r="B27" s="163" t="str">
        <f>IFERROR(INDEX('DAY 2 SCORES'!$B:$B, MATCH("RED" &amp; $A27, 'DAY 2 SCORES'!$J:$J, 0)), "")</f>
        <v/>
      </c>
      <c r="C27" s="163" t="str">
        <f>IFERROR(VLOOKUP($B27, REGISTRATION!$B:$C, 2, FALSE), "")</f>
        <v/>
      </c>
      <c r="D27" s="163" t="str">
        <f>IFERROR(VLOOKUP($B27, 'DAY 2 SCORES'!$B:$K, 10, FALSE), "")</f>
        <v>///</v>
      </c>
      <c r="E27" s="163">
        <f>IFERROR(VLOOKUP($B27, 'DAY 2 SCORES'!$B:$H, 7, FALSE), "")</f>
        <v>120</v>
      </c>
      <c r="F27" s="169">
        <v>25</v>
      </c>
      <c r="G27" s="170" t="str">
        <f>IFERROR(INDEX('DAY 2 SCORES'!$B:$B, MATCH("YELLOW" &amp; $F27, 'DAY 2 SCORES'!$J:$J, 0)), "")</f>
        <v/>
      </c>
      <c r="H27" s="170" t="str">
        <f>IFERROR(VLOOKUP($G27, REGISTRATION!$B:$C, 2, FALSE), "")</f>
        <v/>
      </c>
      <c r="I27" s="170" t="str">
        <f>IFERROR(VLOOKUP($G27, 'DAY 2 SCORES'!$B:$K, 10, FALSE), "")</f>
        <v>///</v>
      </c>
      <c r="J27" s="254">
        <f>IFERROR(VLOOKUP($G27, 'DAY 2 SCORES'!$B:$H, 7, FALSE), "")</f>
        <v>120</v>
      </c>
      <c r="K27" s="171">
        <v>25</v>
      </c>
      <c r="L27" s="216" t="str">
        <f>IFERROR(INDEX('DAY 2 SCORES'!$B:$B, MATCH("GREEN" &amp; $K27, 'DAY 2 SCORES'!$J:$J, 0)), "")</f>
        <v/>
      </c>
      <c r="M27" s="216" t="str">
        <f>IFERROR(VLOOKUP($L27, REGISTRATION!$B:$C, 2, FALSE), "")</f>
        <v/>
      </c>
      <c r="N27" s="216" t="str">
        <f>IFERROR(VLOOKUP($L27, 'DAY 2 SCORES'!$B:$K, 10, FALSE), "")</f>
        <v>///</v>
      </c>
      <c r="O27" s="216">
        <f>IFERROR(VLOOKUP($L27, 'DAY 2 SCORES'!$B:$H, 7, FALSE), "")</f>
        <v>120</v>
      </c>
      <c r="P27" s="172">
        <v>25</v>
      </c>
      <c r="Q27" s="173" t="str">
        <f>IFERROR(INDEX('DAY 2 SCORES'!$B:$B, MATCH("BLUE" &amp; $P27, 'DAY 2 SCORES'!$J:$J, 0)), "")</f>
        <v/>
      </c>
      <c r="R27" s="173" t="str">
        <f>IFERROR(VLOOKUP($Q27, REGISTRATION!$B:$C, 2, FALSE), "")</f>
        <v/>
      </c>
      <c r="S27" s="173" t="str">
        <f>IFERROR(VLOOKUP($Q27, 'DAY 2 SCORES'!$B:$K, 10, FALSE), "")</f>
        <v>///</v>
      </c>
      <c r="T27" s="173">
        <f>IFERROR(VLOOKUP($Q27, 'DAY 2 SCORES'!$B:$H, 7, FALSE), "")</f>
        <v>120</v>
      </c>
    </row>
    <row r="28" spans="1:20" ht="27.75" customHeight="1">
      <c r="A28" s="21">
        <v>26</v>
      </c>
      <c r="B28" s="163" t="str">
        <f>IFERROR(INDEX('DAY 2 SCORES'!$B:$B, MATCH("RED" &amp; $A28, 'DAY 2 SCORES'!$J:$J, 0)), "")</f>
        <v/>
      </c>
      <c r="C28" s="163" t="str">
        <f>IFERROR(VLOOKUP($B28, REGISTRATION!$B:$C, 2, FALSE), "")</f>
        <v/>
      </c>
      <c r="D28" s="163" t="str">
        <f>IFERROR(VLOOKUP($B28, 'DAY 2 SCORES'!$B:$K, 10, FALSE), "")</f>
        <v>///</v>
      </c>
      <c r="E28" s="163">
        <f>IFERROR(VLOOKUP($B28, 'DAY 2 SCORES'!$B:$H, 7, FALSE), "")</f>
        <v>120</v>
      </c>
      <c r="F28" s="169">
        <v>26</v>
      </c>
      <c r="G28" s="170" t="str">
        <f>IFERROR(INDEX('DAY 2 SCORES'!$B:$B, MATCH("YELLOW" &amp; $F28, 'DAY 2 SCORES'!$J:$J, 0)), "")</f>
        <v/>
      </c>
      <c r="H28" s="170" t="str">
        <f>IFERROR(VLOOKUP($G28, REGISTRATION!$B:$C, 2, FALSE), "")</f>
        <v/>
      </c>
      <c r="I28" s="170" t="str">
        <f>IFERROR(VLOOKUP($G28, 'DAY 2 SCORES'!$B:$K, 10, FALSE), "")</f>
        <v>///</v>
      </c>
      <c r="J28" s="254">
        <f>IFERROR(VLOOKUP($G28, 'DAY 2 SCORES'!$B:$H, 7, FALSE), "")</f>
        <v>120</v>
      </c>
      <c r="K28" s="171">
        <v>26</v>
      </c>
      <c r="L28" s="216" t="str">
        <f>IFERROR(INDEX('DAY 2 SCORES'!$B:$B, MATCH("GREEN" &amp; $K28, 'DAY 2 SCORES'!$J:$J, 0)), "")</f>
        <v/>
      </c>
      <c r="M28" s="216" t="str">
        <f>IFERROR(VLOOKUP($L28, REGISTRATION!$B:$C, 2, FALSE), "")</f>
        <v/>
      </c>
      <c r="N28" s="216" t="str">
        <f>IFERROR(VLOOKUP($L28, 'DAY 2 SCORES'!$B:$K, 10, FALSE), "")</f>
        <v>///</v>
      </c>
      <c r="O28" s="216">
        <f>IFERROR(VLOOKUP($L28, 'DAY 2 SCORES'!$B:$H, 7, FALSE), "")</f>
        <v>120</v>
      </c>
      <c r="P28" s="172">
        <v>26</v>
      </c>
      <c r="Q28" s="173" t="str">
        <f>IFERROR(INDEX('DAY 2 SCORES'!$B:$B, MATCH("BLUE" &amp; $P28, 'DAY 2 SCORES'!$J:$J, 0)), "")</f>
        <v/>
      </c>
      <c r="R28" s="173" t="str">
        <f>IFERROR(VLOOKUP($Q28, REGISTRATION!$B:$C, 2, FALSE), "")</f>
        <v/>
      </c>
      <c r="S28" s="173" t="str">
        <f>IFERROR(VLOOKUP($Q28, 'DAY 2 SCORES'!$B:$K, 10, FALSE), "")</f>
        <v>///</v>
      </c>
      <c r="T28" s="173">
        <f>IFERROR(VLOOKUP($Q28, 'DAY 2 SCORES'!$B:$H, 7, FALSE), "")</f>
        <v>120</v>
      </c>
    </row>
    <row r="29" spans="1:20" ht="27.75" customHeight="1">
      <c r="A29" s="21">
        <v>27</v>
      </c>
      <c r="B29" s="163" t="str">
        <f>IFERROR(INDEX('DAY 2 SCORES'!$B:$B, MATCH("RED" &amp; $A29, 'DAY 2 SCORES'!$J:$J, 0)), "")</f>
        <v/>
      </c>
      <c r="C29" s="163" t="str">
        <f>IFERROR(VLOOKUP($B29, REGISTRATION!$B:$C, 2, FALSE), "")</f>
        <v/>
      </c>
      <c r="D29" s="163" t="str">
        <f>IFERROR(VLOOKUP($B29, 'DAY 2 SCORES'!$B:$K, 10, FALSE), "")</f>
        <v>///</v>
      </c>
      <c r="E29" s="163">
        <f>IFERROR(VLOOKUP($B29, 'DAY 2 SCORES'!$B:$H, 7, FALSE), "")</f>
        <v>120</v>
      </c>
      <c r="F29" s="169">
        <v>27</v>
      </c>
      <c r="G29" s="170" t="str">
        <f>IFERROR(INDEX('DAY 2 SCORES'!$B:$B, MATCH("YELLOW" &amp; $F29, 'DAY 2 SCORES'!$J:$J, 0)), "")</f>
        <v/>
      </c>
      <c r="H29" s="170" t="str">
        <f>IFERROR(VLOOKUP($G29, REGISTRATION!$B:$C, 2, FALSE), "")</f>
        <v/>
      </c>
      <c r="I29" s="170" t="str">
        <f>IFERROR(VLOOKUP($G29, 'DAY 2 SCORES'!$B:$K, 10, FALSE), "")</f>
        <v>///</v>
      </c>
      <c r="J29" s="254">
        <f>IFERROR(VLOOKUP($G29, 'DAY 2 SCORES'!$B:$H, 7, FALSE), "")</f>
        <v>120</v>
      </c>
      <c r="K29" s="171">
        <v>27</v>
      </c>
      <c r="L29" s="216" t="str">
        <f>IFERROR(INDEX('DAY 2 SCORES'!$B:$B, MATCH("GREEN" &amp; $K29, 'DAY 2 SCORES'!$J:$J, 0)), "")</f>
        <v/>
      </c>
      <c r="M29" s="216" t="str">
        <f>IFERROR(VLOOKUP($L29, REGISTRATION!$B:$C, 2, FALSE), "")</f>
        <v/>
      </c>
      <c r="N29" s="216" t="str">
        <f>IFERROR(VLOOKUP($L29, 'DAY 2 SCORES'!$B:$K, 10, FALSE), "")</f>
        <v>///</v>
      </c>
      <c r="O29" s="216">
        <f>IFERROR(VLOOKUP($L29, 'DAY 2 SCORES'!$B:$H, 7, FALSE), "")</f>
        <v>120</v>
      </c>
      <c r="P29" s="172">
        <v>27</v>
      </c>
      <c r="Q29" s="173" t="str">
        <f>IFERROR(INDEX('DAY 2 SCORES'!$B:$B, MATCH("BLUE" &amp; $P29, 'DAY 2 SCORES'!$J:$J, 0)), "")</f>
        <v/>
      </c>
      <c r="R29" s="173" t="str">
        <f>IFERROR(VLOOKUP($Q29, REGISTRATION!$B:$C, 2, FALSE), "")</f>
        <v/>
      </c>
      <c r="S29" s="173" t="str">
        <f>IFERROR(VLOOKUP($Q29, 'DAY 2 SCORES'!$B:$K, 10, FALSE), "")</f>
        <v>///</v>
      </c>
      <c r="T29" s="173">
        <f>IFERROR(VLOOKUP($Q29, 'DAY 2 SCORES'!$B:$H, 7, FALSE), "")</f>
        <v>120</v>
      </c>
    </row>
    <row r="30" spans="1:20" ht="27.75" customHeight="1">
      <c r="A30" s="21">
        <v>28</v>
      </c>
      <c r="B30" s="163" t="str">
        <f>IFERROR(INDEX('DAY 2 SCORES'!$B:$B, MATCH("RED" &amp; $A30, 'DAY 2 SCORES'!$J:$J, 0)), "")</f>
        <v/>
      </c>
      <c r="C30" s="163" t="str">
        <f>IFERROR(VLOOKUP($B30, REGISTRATION!$B:$C, 2, FALSE), "")</f>
        <v/>
      </c>
      <c r="D30" s="163" t="str">
        <f>IFERROR(VLOOKUP($B30, 'DAY 2 SCORES'!$B:$K, 10, FALSE), "")</f>
        <v>///</v>
      </c>
      <c r="E30" s="163">
        <f>IFERROR(VLOOKUP($B30, 'DAY 2 SCORES'!$B:$H, 7, FALSE), "")</f>
        <v>120</v>
      </c>
      <c r="F30" s="169">
        <v>28</v>
      </c>
      <c r="G30" s="170" t="str">
        <f>IFERROR(INDEX('DAY 2 SCORES'!$B:$B, MATCH("YELLOW" &amp; $F30, 'DAY 2 SCORES'!$J:$J, 0)), "")</f>
        <v/>
      </c>
      <c r="H30" s="170" t="str">
        <f>IFERROR(VLOOKUP($G30, REGISTRATION!$B:$C, 2, FALSE), "")</f>
        <v/>
      </c>
      <c r="I30" s="170" t="str">
        <f>IFERROR(VLOOKUP($G30, 'DAY 2 SCORES'!$B:$K, 10, FALSE), "")</f>
        <v>///</v>
      </c>
      <c r="J30" s="254">
        <f>IFERROR(VLOOKUP($G30, 'DAY 2 SCORES'!$B:$H, 7, FALSE), "")</f>
        <v>120</v>
      </c>
      <c r="K30" s="171">
        <v>28</v>
      </c>
      <c r="L30" s="216" t="str">
        <f>IFERROR(INDEX('DAY 2 SCORES'!$B:$B, MATCH("GREEN" &amp; $K30, 'DAY 2 SCORES'!$J:$J, 0)), "")</f>
        <v/>
      </c>
      <c r="M30" s="216" t="str">
        <f>IFERROR(VLOOKUP($L30, REGISTRATION!$B:$C, 2, FALSE), "")</f>
        <v/>
      </c>
      <c r="N30" s="216" t="str">
        <f>IFERROR(VLOOKUP($L30, 'DAY 2 SCORES'!$B:$K, 10, FALSE), "")</f>
        <v>///</v>
      </c>
      <c r="O30" s="216">
        <f>IFERROR(VLOOKUP($L30, 'DAY 2 SCORES'!$B:$H, 7, FALSE), "")</f>
        <v>120</v>
      </c>
      <c r="P30" s="172">
        <v>28</v>
      </c>
      <c r="Q30" s="173" t="str">
        <f>IFERROR(INDEX('DAY 2 SCORES'!$B:$B, MATCH("BLUE" &amp; $P30, 'DAY 2 SCORES'!$J:$J, 0)), "")</f>
        <v/>
      </c>
      <c r="R30" s="173" t="str">
        <f>IFERROR(VLOOKUP($Q30, REGISTRATION!$B:$C, 2, FALSE), "")</f>
        <v/>
      </c>
      <c r="S30" s="173" t="str">
        <f>IFERROR(VLOOKUP($Q30, 'DAY 2 SCORES'!$B:$K, 10, FALSE), "")</f>
        <v>///</v>
      </c>
      <c r="T30" s="173">
        <f>IFERROR(VLOOKUP($Q30, 'DAY 2 SCORES'!$B:$H, 7, FALSE), "")</f>
        <v>120</v>
      </c>
    </row>
    <row r="31" spans="1:20" ht="27.75" customHeight="1">
      <c r="A31" s="21">
        <v>29</v>
      </c>
      <c r="B31" s="163" t="str">
        <f>IFERROR(INDEX('DAY 2 SCORES'!$B:$B, MATCH("RED" &amp; $A31, 'DAY 2 SCORES'!$J:$J, 0)), "")</f>
        <v/>
      </c>
      <c r="C31" s="163" t="str">
        <f>IFERROR(VLOOKUP($B31, REGISTRATION!$B:$C, 2, FALSE), "")</f>
        <v/>
      </c>
      <c r="D31" s="163" t="str">
        <f>IFERROR(VLOOKUP($B31, 'DAY 2 SCORES'!$B:$K, 10, FALSE), "")</f>
        <v>///</v>
      </c>
      <c r="E31" s="163">
        <f>IFERROR(VLOOKUP($B31, 'DAY 2 SCORES'!$B:$H, 7, FALSE), "")</f>
        <v>120</v>
      </c>
      <c r="F31" s="169">
        <v>29</v>
      </c>
      <c r="G31" s="170" t="str">
        <f>IFERROR(INDEX('DAY 2 SCORES'!$B:$B, MATCH("YELLOW" &amp; $F31, 'DAY 2 SCORES'!$J:$J, 0)), "")</f>
        <v/>
      </c>
      <c r="H31" s="170" t="str">
        <f>IFERROR(VLOOKUP($G31, REGISTRATION!$B:$C, 2, FALSE), "")</f>
        <v/>
      </c>
      <c r="I31" s="170" t="str">
        <f>IFERROR(VLOOKUP($G31, 'DAY 2 SCORES'!$B:$K, 10, FALSE), "")</f>
        <v>///</v>
      </c>
      <c r="J31" s="254">
        <f>IFERROR(VLOOKUP($G31, 'DAY 2 SCORES'!$B:$H, 7, FALSE), "")</f>
        <v>120</v>
      </c>
      <c r="K31" s="171">
        <v>29</v>
      </c>
      <c r="L31" s="216" t="str">
        <f>IFERROR(INDEX('DAY 2 SCORES'!$B:$B, MATCH("GREEN" &amp; $K31, 'DAY 2 SCORES'!$J:$J, 0)), "")</f>
        <v/>
      </c>
      <c r="M31" s="216" t="str">
        <f>IFERROR(VLOOKUP($L31, REGISTRATION!$B:$C, 2, FALSE), "")</f>
        <v/>
      </c>
      <c r="N31" s="216" t="str">
        <f>IFERROR(VLOOKUP($L31, 'DAY 2 SCORES'!$B:$K, 10, FALSE), "")</f>
        <v>///</v>
      </c>
      <c r="O31" s="216">
        <f>IFERROR(VLOOKUP($L31, 'DAY 2 SCORES'!$B:$H, 7, FALSE), "")</f>
        <v>120</v>
      </c>
      <c r="P31" s="172">
        <v>29</v>
      </c>
      <c r="Q31" s="173" t="str">
        <f>IFERROR(INDEX('DAY 2 SCORES'!$B:$B, MATCH("BLUE" &amp; $P31, 'DAY 2 SCORES'!$J:$J, 0)), "")</f>
        <v/>
      </c>
      <c r="R31" s="173" t="str">
        <f>IFERROR(VLOOKUP($Q31, REGISTRATION!$B:$C, 2, FALSE), "")</f>
        <v/>
      </c>
      <c r="S31" s="173" t="str">
        <f>IFERROR(VLOOKUP($Q31, 'DAY 2 SCORES'!$B:$K, 10, FALSE), "")</f>
        <v>///</v>
      </c>
      <c r="T31" s="173">
        <f>IFERROR(VLOOKUP($Q31, 'DAY 2 SCORES'!$B:$H, 7, FALSE), "")</f>
        <v>120</v>
      </c>
    </row>
    <row r="32" spans="1:20" ht="27.75" customHeight="1">
      <c r="A32" s="21">
        <v>30</v>
      </c>
      <c r="B32" s="163" t="str">
        <f>IFERROR(INDEX('DAY 2 SCORES'!$B:$B, MATCH("RED" &amp; $A32, 'DAY 2 SCORES'!$J:$J, 0)), "")</f>
        <v/>
      </c>
      <c r="C32" s="163" t="str">
        <f>IFERROR(VLOOKUP($B32, REGISTRATION!$B:$C, 2, FALSE), "")</f>
        <v/>
      </c>
      <c r="D32" s="163" t="str">
        <f>IFERROR(VLOOKUP($B32, 'DAY 2 SCORES'!$B:$K, 10, FALSE), "")</f>
        <v>///</v>
      </c>
      <c r="E32" s="163">
        <f>IFERROR(VLOOKUP($B32, 'DAY 2 SCORES'!$B:$H, 7, FALSE), "")</f>
        <v>120</v>
      </c>
      <c r="F32" s="169">
        <v>30</v>
      </c>
      <c r="G32" s="170" t="str">
        <f>IFERROR(INDEX('DAY 2 SCORES'!$B:$B, MATCH("YELLOW" &amp; $F32, 'DAY 2 SCORES'!$J:$J, 0)), "")</f>
        <v/>
      </c>
      <c r="H32" s="170" t="str">
        <f>IFERROR(VLOOKUP($G32, REGISTRATION!$B:$C, 2, FALSE), "")</f>
        <v/>
      </c>
      <c r="I32" s="170" t="str">
        <f>IFERROR(VLOOKUP($G32, 'DAY 2 SCORES'!$B:$K, 10, FALSE), "")</f>
        <v>///</v>
      </c>
      <c r="J32" s="254">
        <f>IFERROR(VLOOKUP($G32, 'DAY 2 SCORES'!$B:$H, 7, FALSE), "")</f>
        <v>120</v>
      </c>
      <c r="K32" s="171">
        <v>30</v>
      </c>
      <c r="L32" s="216" t="str">
        <f>IFERROR(INDEX('DAY 2 SCORES'!$B:$B, MATCH("GREEN" &amp; $K32, 'DAY 2 SCORES'!$J:$J, 0)), "")</f>
        <v/>
      </c>
      <c r="M32" s="216" t="str">
        <f>IFERROR(VLOOKUP($L32, REGISTRATION!$B:$C, 2, FALSE), "")</f>
        <v/>
      </c>
      <c r="N32" s="216" t="str">
        <f>IFERROR(VLOOKUP($L32, 'DAY 2 SCORES'!$B:$K, 10, FALSE), "")</f>
        <v>///</v>
      </c>
      <c r="O32" s="216">
        <f>IFERROR(VLOOKUP($L32, 'DAY 2 SCORES'!$B:$H, 7, FALSE), "")</f>
        <v>120</v>
      </c>
      <c r="P32" s="172">
        <v>30</v>
      </c>
      <c r="Q32" s="173" t="str">
        <f>IFERROR(INDEX('DAY 2 SCORES'!$B:$B, MATCH("BLUE" &amp; $P32, 'DAY 2 SCORES'!$J:$J, 0)), "")</f>
        <v/>
      </c>
      <c r="R32" s="173" t="str">
        <f>IFERROR(VLOOKUP($Q32, REGISTRATION!$B:$C, 2, FALSE), "")</f>
        <v/>
      </c>
      <c r="S32" s="173" t="str">
        <f>IFERROR(VLOOKUP($Q32, 'DAY 2 SCORES'!$B:$K, 10, FALSE), "")</f>
        <v>///</v>
      </c>
      <c r="T32" s="173">
        <f>IFERROR(VLOOKUP($Q32, 'DAY 2 SCORES'!$B:$H, 7, FALSE), "")</f>
        <v>120</v>
      </c>
    </row>
    <row r="33" spans="1:20" ht="27.75" hidden="1" customHeight="1">
      <c r="A33" s="2"/>
      <c r="B33" s="163"/>
      <c r="C33" s="163"/>
      <c r="D33" s="163"/>
      <c r="E33" s="163"/>
      <c r="F33" s="164"/>
      <c r="G33" s="164"/>
      <c r="H33" s="164"/>
      <c r="I33" s="164"/>
      <c r="J33" s="250"/>
      <c r="K33" s="165"/>
      <c r="L33" s="217"/>
      <c r="M33" s="217"/>
      <c r="N33" s="217"/>
      <c r="O33" s="218"/>
      <c r="P33" s="166"/>
      <c r="Q33" s="167"/>
      <c r="R33" s="167"/>
      <c r="S33" s="167"/>
      <c r="T33" s="168"/>
    </row>
    <row r="34" spans="1:20" ht="27.75" hidden="1" customHeight="1">
      <c r="A34" s="2"/>
      <c r="B34" s="163"/>
      <c r="C34" s="248"/>
      <c r="D34" s="163"/>
      <c r="E34" s="163"/>
      <c r="F34" s="164"/>
      <c r="G34" s="164"/>
      <c r="H34" s="164"/>
      <c r="I34" s="164"/>
      <c r="J34" s="250"/>
      <c r="K34" s="165"/>
      <c r="L34" s="217"/>
      <c r="M34" s="217"/>
      <c r="N34" s="217"/>
      <c r="O34" s="218"/>
      <c r="P34" s="166"/>
      <c r="Q34" s="167"/>
      <c r="R34" s="167"/>
      <c r="S34" s="167"/>
      <c r="T34" s="168"/>
    </row>
    <row r="35" spans="1:20" ht="27.75" hidden="1" customHeight="1">
      <c r="A35" s="2"/>
      <c r="B35" s="163"/>
      <c r="C35" s="163"/>
      <c r="D35" s="163"/>
      <c r="E35" s="163"/>
      <c r="F35" s="164"/>
      <c r="G35" s="164"/>
      <c r="H35" s="164"/>
      <c r="I35" s="164"/>
      <c r="J35" s="250"/>
      <c r="K35" s="165"/>
      <c r="L35" s="217"/>
      <c r="M35" s="217"/>
      <c r="N35" s="217"/>
      <c r="O35" s="218"/>
      <c r="P35" s="166"/>
      <c r="Q35" s="167"/>
      <c r="R35" s="167"/>
      <c r="S35" s="167"/>
      <c r="T35" s="168"/>
    </row>
    <row r="36" spans="1:20" ht="27.75" hidden="1" customHeight="1">
      <c r="A36" s="2"/>
      <c r="B36" s="163"/>
      <c r="C36" s="163"/>
      <c r="D36" s="163"/>
      <c r="E36" s="163"/>
      <c r="F36" s="164"/>
      <c r="G36" s="164"/>
      <c r="H36" s="164"/>
      <c r="I36" s="164"/>
      <c r="J36" s="250"/>
      <c r="K36" s="165"/>
      <c r="L36" s="217"/>
      <c r="M36" s="217"/>
      <c r="N36" s="217"/>
      <c r="O36" s="218"/>
      <c r="P36" s="166"/>
      <c r="Q36" s="167"/>
      <c r="R36" s="167"/>
      <c r="S36" s="167"/>
      <c r="T36" s="168"/>
    </row>
    <row r="37" spans="1:20" ht="27.75" hidden="1" customHeight="1">
      <c r="A37" s="2"/>
      <c r="B37" s="163"/>
      <c r="C37" s="163"/>
      <c r="D37" s="163"/>
      <c r="E37" s="163"/>
      <c r="F37" s="164"/>
      <c r="G37" s="164"/>
      <c r="H37" s="164"/>
      <c r="I37" s="164"/>
      <c r="J37" s="250"/>
      <c r="K37" s="165"/>
      <c r="L37" s="217"/>
      <c r="M37" s="217"/>
      <c r="N37" s="217"/>
      <c r="O37" s="218"/>
      <c r="P37" s="166"/>
      <c r="Q37" s="167"/>
      <c r="R37" s="167"/>
      <c r="S37" s="167"/>
      <c r="T37" s="168"/>
    </row>
    <row r="38" spans="1:20" ht="27.75" hidden="1" customHeight="1">
      <c r="A38" s="2"/>
      <c r="B38" s="163"/>
      <c r="C38" s="163"/>
      <c r="D38" s="163"/>
      <c r="E38" s="163"/>
      <c r="F38" s="164"/>
      <c r="G38" s="164"/>
      <c r="H38" s="164"/>
      <c r="I38" s="164"/>
      <c r="J38" s="250"/>
      <c r="K38" s="165"/>
      <c r="L38" s="217"/>
      <c r="M38" s="217"/>
      <c r="N38" s="217"/>
      <c r="O38" s="218"/>
      <c r="P38" s="166"/>
      <c r="Q38" s="167"/>
      <c r="R38" s="167"/>
      <c r="S38" s="167"/>
      <c r="T38" s="168"/>
    </row>
    <row r="39" spans="1:20" ht="27.75" hidden="1" customHeight="1">
      <c r="A39" s="2"/>
      <c r="B39" s="163"/>
      <c r="C39" s="163"/>
      <c r="D39" s="163"/>
      <c r="E39" s="163"/>
      <c r="F39" s="164"/>
      <c r="G39" s="164"/>
      <c r="H39" s="164"/>
      <c r="I39" s="164"/>
      <c r="J39" s="250"/>
      <c r="K39" s="165"/>
      <c r="L39" s="217"/>
      <c r="M39" s="217"/>
      <c r="N39" s="217"/>
      <c r="O39" s="218"/>
      <c r="P39" s="166"/>
      <c r="Q39" s="167"/>
      <c r="R39" s="167"/>
      <c r="S39" s="167"/>
      <c r="T39" s="167"/>
    </row>
    <row r="40" spans="1:20" ht="27.75" hidden="1" customHeight="1">
      <c r="A40" s="2"/>
      <c r="B40" s="163"/>
      <c r="C40" s="163"/>
      <c r="D40" s="163"/>
      <c r="E40" s="163"/>
      <c r="F40" s="164"/>
      <c r="G40" s="164"/>
      <c r="H40" s="164"/>
      <c r="I40" s="164"/>
      <c r="J40" s="250"/>
      <c r="K40" s="165"/>
      <c r="L40" s="217"/>
      <c r="M40" s="217"/>
      <c r="N40" s="217"/>
      <c r="O40" s="218"/>
      <c r="P40" s="166"/>
      <c r="Q40" s="167"/>
      <c r="R40" s="167"/>
      <c r="S40" s="167"/>
      <c r="T40" s="167"/>
    </row>
    <row r="41" spans="1:20" ht="27.75" hidden="1" customHeight="1">
      <c r="A41" s="2"/>
      <c r="B41" s="163"/>
      <c r="C41" s="163"/>
      <c r="D41" s="163"/>
      <c r="E41" s="163"/>
      <c r="F41" s="164"/>
      <c r="G41" s="164"/>
      <c r="H41" s="164"/>
      <c r="I41" s="164"/>
      <c r="J41" s="250"/>
      <c r="K41" s="165"/>
      <c r="L41" s="217"/>
      <c r="M41" s="217"/>
      <c r="N41" s="217"/>
      <c r="O41" s="217"/>
      <c r="P41" s="166"/>
      <c r="Q41" s="167"/>
      <c r="R41" s="167"/>
      <c r="S41" s="167"/>
      <c r="T41" s="167"/>
    </row>
    <row r="42" spans="1:20" ht="27.75" hidden="1" customHeight="1">
      <c r="A42" s="2"/>
      <c r="B42" s="163"/>
      <c r="C42" s="163"/>
      <c r="D42" s="163"/>
      <c r="E42" s="163"/>
      <c r="F42" s="164"/>
      <c r="G42" s="164"/>
      <c r="H42" s="164"/>
      <c r="I42" s="164"/>
      <c r="J42" s="250"/>
      <c r="K42" s="165"/>
      <c r="L42" s="217"/>
      <c r="M42" s="217"/>
      <c r="N42" s="217"/>
      <c r="O42" s="217"/>
      <c r="P42" s="166"/>
      <c r="Q42" s="167"/>
      <c r="R42" s="167"/>
      <c r="S42" s="167"/>
      <c r="T42" s="167"/>
    </row>
    <row r="43" spans="1:20" ht="27.75" hidden="1" customHeight="1">
      <c r="A43" s="2"/>
      <c r="B43" s="163"/>
      <c r="C43" s="163"/>
      <c r="D43" s="163"/>
      <c r="E43" s="163"/>
      <c r="F43" s="164"/>
      <c r="G43" s="164"/>
      <c r="H43" s="164"/>
      <c r="I43" s="164"/>
      <c r="J43" s="250"/>
      <c r="K43" s="165"/>
      <c r="L43" s="217"/>
      <c r="M43" s="217"/>
      <c r="N43" s="217"/>
      <c r="O43" s="217"/>
      <c r="P43" s="166"/>
      <c r="Q43" s="167"/>
      <c r="R43" s="167"/>
      <c r="S43" s="167"/>
      <c r="T43" s="167"/>
    </row>
    <row r="44" spans="1:20" ht="27.75" hidden="1" customHeight="1">
      <c r="A44" s="2"/>
      <c r="B44" s="163"/>
      <c r="C44" s="163"/>
      <c r="D44" s="163"/>
      <c r="E44" s="163"/>
      <c r="F44" s="164"/>
      <c r="G44" s="164"/>
      <c r="H44" s="164"/>
      <c r="I44" s="164"/>
      <c r="J44" s="250"/>
      <c r="K44" s="165"/>
      <c r="L44" s="217"/>
      <c r="M44" s="217"/>
      <c r="N44" s="217"/>
      <c r="O44" s="217"/>
      <c r="P44" s="166"/>
      <c r="Q44" s="167"/>
      <c r="R44" s="167"/>
      <c r="S44" s="167"/>
      <c r="T44" s="167"/>
    </row>
    <row r="45" spans="1:20" ht="27.75" hidden="1" customHeight="1">
      <c r="A45" s="2"/>
      <c r="B45" s="163"/>
      <c r="C45" s="163"/>
      <c r="D45" s="163"/>
      <c r="E45" s="163"/>
      <c r="F45" s="164"/>
      <c r="G45" s="164"/>
      <c r="H45" s="164"/>
      <c r="I45" s="164"/>
      <c r="J45" s="250"/>
      <c r="K45" s="165"/>
      <c r="L45" s="217"/>
      <c r="M45" s="217"/>
      <c r="N45" s="217"/>
      <c r="O45" s="217"/>
      <c r="P45" s="166"/>
      <c r="Q45" s="167"/>
      <c r="R45" s="167"/>
      <c r="S45" s="167"/>
      <c r="T45" s="167"/>
    </row>
    <row r="46" spans="1:20" ht="27.75" hidden="1" customHeight="1">
      <c r="A46" s="2"/>
      <c r="B46" s="163"/>
      <c r="C46" s="163"/>
      <c r="D46" s="163"/>
      <c r="E46" s="163"/>
      <c r="F46" s="164"/>
      <c r="G46" s="164"/>
      <c r="H46" s="164"/>
      <c r="I46" s="164"/>
      <c r="J46" s="250"/>
      <c r="K46" s="165"/>
      <c r="L46" s="217"/>
      <c r="M46" s="217"/>
      <c r="N46" s="217"/>
      <c r="O46" s="217"/>
      <c r="P46" s="166"/>
      <c r="Q46" s="167"/>
      <c r="R46" s="167"/>
      <c r="S46" s="167"/>
      <c r="T46" s="167"/>
    </row>
    <row r="47" spans="1:20" ht="27.75" hidden="1" customHeight="1">
      <c r="A47" s="2"/>
      <c r="B47" s="163"/>
      <c r="C47" s="163"/>
      <c r="D47" s="163"/>
      <c r="E47" s="163"/>
      <c r="F47" s="164"/>
      <c r="G47" s="164"/>
      <c r="H47" s="164"/>
      <c r="I47" s="164"/>
      <c r="J47" s="250"/>
      <c r="K47" s="165"/>
      <c r="L47" s="217"/>
      <c r="M47" s="217"/>
      <c r="N47" s="217"/>
      <c r="O47" s="217"/>
      <c r="P47" s="166"/>
      <c r="Q47" s="167"/>
      <c r="R47" s="167"/>
      <c r="S47" s="167"/>
      <c r="T47" s="167"/>
    </row>
    <row r="48" spans="1:20" ht="27.75" hidden="1" customHeight="1">
      <c r="A48" s="2"/>
      <c r="B48" s="163"/>
      <c r="C48" s="163"/>
      <c r="D48" s="163"/>
      <c r="E48" s="163"/>
      <c r="F48" s="164"/>
      <c r="G48" s="164"/>
      <c r="H48" s="164"/>
      <c r="I48" s="164"/>
      <c r="J48" s="250"/>
      <c r="K48" s="165"/>
      <c r="L48" s="217"/>
      <c r="M48" s="217"/>
      <c r="N48" s="217"/>
      <c r="O48" s="217"/>
      <c r="P48" s="166"/>
      <c r="Q48" s="167"/>
      <c r="R48" s="167"/>
      <c r="S48" s="167"/>
      <c r="T48" s="167"/>
    </row>
    <row r="49" spans="1:20" ht="27.75" hidden="1" customHeight="1">
      <c r="A49" s="2"/>
      <c r="B49" s="163"/>
      <c r="C49" s="163"/>
      <c r="D49" s="163"/>
      <c r="E49" s="163"/>
      <c r="F49" s="164"/>
      <c r="G49" s="164"/>
      <c r="H49" s="164"/>
      <c r="I49" s="164"/>
      <c r="J49" s="250"/>
      <c r="K49" s="165"/>
      <c r="L49" s="217"/>
      <c r="M49" s="217"/>
      <c r="N49" s="217"/>
      <c r="O49" s="217"/>
      <c r="P49" s="166"/>
      <c r="Q49" s="167"/>
      <c r="R49" s="167"/>
      <c r="S49" s="167"/>
      <c r="T49" s="167"/>
    </row>
    <row r="50" spans="1:20" ht="27.75" hidden="1" customHeight="1">
      <c r="A50" s="2"/>
      <c r="B50" s="163"/>
      <c r="C50" s="163"/>
      <c r="D50" s="163"/>
      <c r="E50" s="163"/>
      <c r="F50" s="164"/>
      <c r="G50" s="164"/>
      <c r="H50" s="164"/>
      <c r="I50" s="164"/>
      <c r="J50" s="250"/>
      <c r="K50" s="165"/>
      <c r="L50" s="217"/>
      <c r="M50" s="217"/>
      <c r="N50" s="217"/>
      <c r="O50" s="217"/>
      <c r="P50" s="166"/>
      <c r="Q50" s="167"/>
      <c r="R50" s="167"/>
      <c r="S50" s="167"/>
      <c r="T50" s="167"/>
    </row>
    <row r="51" spans="1:20" ht="27.75" hidden="1" customHeight="1">
      <c r="A51" s="2"/>
      <c r="B51" s="163"/>
      <c r="C51" s="163"/>
      <c r="D51" s="163"/>
      <c r="E51" s="163"/>
      <c r="F51" s="164"/>
      <c r="G51" s="164"/>
      <c r="H51" s="164"/>
      <c r="I51" s="164"/>
      <c r="J51" s="250"/>
      <c r="K51" s="165"/>
      <c r="L51" s="217"/>
      <c r="M51" s="217"/>
      <c r="N51" s="217"/>
      <c r="O51" s="217"/>
      <c r="P51" s="166"/>
      <c r="Q51" s="167"/>
      <c r="R51" s="167"/>
      <c r="S51" s="167"/>
      <c r="T51" s="167"/>
    </row>
    <row r="52" spans="1:20" ht="27.75" hidden="1" customHeight="1">
      <c r="A52" s="2"/>
      <c r="B52" s="163"/>
      <c r="C52" s="163"/>
      <c r="D52" s="163"/>
      <c r="E52" s="163"/>
      <c r="F52" s="164"/>
      <c r="G52" s="164"/>
      <c r="H52" s="164"/>
      <c r="I52" s="164"/>
      <c r="J52" s="250"/>
      <c r="K52" s="165"/>
      <c r="L52" s="217"/>
      <c r="M52" s="217"/>
      <c r="N52" s="217"/>
      <c r="O52" s="217"/>
      <c r="P52" s="166"/>
      <c r="Q52" s="166"/>
      <c r="R52" s="166"/>
      <c r="S52" s="166"/>
      <c r="T52" s="166"/>
    </row>
    <row r="53" spans="1:20" ht="27.75" hidden="1" customHeight="1">
      <c r="A53" s="2"/>
      <c r="B53" s="163"/>
      <c r="C53" s="163"/>
      <c r="D53" s="163"/>
      <c r="E53" s="163"/>
      <c r="F53" s="164"/>
      <c r="G53" s="164"/>
      <c r="H53" s="164"/>
      <c r="I53" s="164"/>
      <c r="J53" s="250"/>
      <c r="K53" s="165"/>
      <c r="L53" s="217"/>
      <c r="M53" s="217"/>
      <c r="N53" s="217"/>
      <c r="O53" s="217"/>
      <c r="P53" s="166"/>
      <c r="Q53" s="166"/>
      <c r="R53" s="166"/>
      <c r="S53" s="166"/>
      <c r="T53" s="166"/>
    </row>
    <row r="54" spans="1:20" ht="27.75" hidden="1" customHeight="1">
      <c r="A54" s="2"/>
      <c r="B54" s="163"/>
      <c r="C54" s="163"/>
      <c r="D54" s="163"/>
      <c r="E54" s="163"/>
      <c r="F54" s="164"/>
      <c r="G54" s="164"/>
      <c r="H54" s="164"/>
      <c r="I54" s="164"/>
      <c r="J54" s="250"/>
      <c r="K54" s="165"/>
      <c r="L54" s="217"/>
      <c r="M54" s="217"/>
      <c r="N54" s="217"/>
      <c r="O54" s="217"/>
      <c r="P54" s="166"/>
      <c r="Q54" s="166"/>
      <c r="R54" s="166"/>
      <c r="S54" s="166"/>
      <c r="T54" s="166"/>
    </row>
    <row r="55" spans="1:20" ht="27.75" hidden="1" customHeight="1">
      <c r="A55" s="2"/>
      <c r="B55" s="163"/>
      <c r="C55" s="163"/>
      <c r="D55" s="163"/>
      <c r="E55" s="163"/>
      <c r="F55" s="164"/>
      <c r="G55" s="164"/>
      <c r="H55" s="164"/>
      <c r="I55" s="164"/>
      <c r="J55" s="250"/>
      <c r="K55" s="165"/>
      <c r="L55" s="217"/>
      <c r="M55" s="217"/>
      <c r="N55" s="217"/>
      <c r="O55" s="217"/>
      <c r="P55" s="166"/>
      <c r="Q55" s="166"/>
      <c r="R55" s="166"/>
      <c r="S55" s="166"/>
      <c r="T55" s="166"/>
    </row>
    <row r="56" spans="1:20" ht="27.75" hidden="1" customHeight="1">
      <c r="A56" s="2"/>
      <c r="B56" s="163"/>
      <c r="C56" s="163"/>
      <c r="D56" s="163"/>
      <c r="E56" s="163"/>
      <c r="F56" s="164"/>
      <c r="G56" s="164"/>
      <c r="H56" s="164"/>
      <c r="I56" s="164"/>
      <c r="J56" s="250"/>
      <c r="K56" s="165"/>
      <c r="L56" s="217"/>
      <c r="M56" s="217"/>
      <c r="N56" s="217"/>
      <c r="O56" s="217"/>
      <c r="P56" s="166"/>
      <c r="Q56" s="166"/>
      <c r="R56" s="166"/>
      <c r="S56" s="166"/>
      <c r="T56" s="166"/>
    </row>
    <row r="57" spans="1:20" ht="27.75" hidden="1" customHeight="1">
      <c r="A57" s="2"/>
      <c r="B57" s="163"/>
      <c r="C57" s="163"/>
      <c r="D57" s="163"/>
      <c r="E57" s="163"/>
      <c r="F57" s="164"/>
      <c r="G57" s="164"/>
      <c r="H57" s="164"/>
      <c r="I57" s="164"/>
      <c r="J57" s="250"/>
      <c r="K57" s="165"/>
      <c r="L57" s="217"/>
      <c r="M57" s="217"/>
      <c r="N57" s="217"/>
      <c r="O57" s="217"/>
      <c r="P57" s="166"/>
      <c r="Q57" s="166"/>
      <c r="R57" s="166"/>
      <c r="S57" s="166"/>
      <c r="T57" s="166"/>
    </row>
    <row r="58" spans="1:20" ht="27.75" hidden="1" customHeight="1">
      <c r="A58" s="2"/>
      <c r="B58" s="163"/>
      <c r="C58" s="163"/>
      <c r="D58" s="163"/>
      <c r="E58" s="163"/>
      <c r="F58" s="164"/>
      <c r="G58" s="164"/>
      <c r="H58" s="164"/>
      <c r="I58" s="164"/>
      <c r="J58" s="250"/>
      <c r="K58" s="165"/>
      <c r="L58" s="217"/>
      <c r="M58" s="217"/>
      <c r="N58" s="217"/>
      <c r="O58" s="217"/>
      <c r="P58" s="166"/>
      <c r="Q58" s="166"/>
      <c r="R58" s="166"/>
      <c r="S58" s="166"/>
      <c r="T58" s="166"/>
    </row>
    <row r="59" spans="1:20" ht="27.75" hidden="1" customHeight="1">
      <c r="A59" s="2"/>
      <c r="B59" s="163"/>
      <c r="C59" s="163"/>
      <c r="D59" s="163"/>
      <c r="E59" s="163"/>
      <c r="F59" s="164"/>
      <c r="G59" s="164"/>
      <c r="H59" s="164"/>
      <c r="I59" s="164"/>
      <c r="J59" s="250"/>
      <c r="K59" s="165"/>
      <c r="L59" s="217"/>
      <c r="M59" s="217"/>
      <c r="N59" s="217"/>
      <c r="O59" s="217"/>
      <c r="P59" s="166"/>
      <c r="Q59" s="166"/>
      <c r="R59" s="166"/>
      <c r="S59" s="166"/>
      <c r="T59" s="166"/>
    </row>
    <row r="60" spans="1:20" ht="27.75" hidden="1" customHeight="1">
      <c r="A60" s="2"/>
      <c r="B60" s="163"/>
      <c r="C60" s="163"/>
      <c r="D60" s="163"/>
      <c r="E60" s="163"/>
      <c r="F60" s="164"/>
      <c r="G60" s="164"/>
      <c r="H60" s="164"/>
      <c r="I60" s="164"/>
      <c r="J60" s="250"/>
      <c r="K60" s="165"/>
      <c r="L60" s="217"/>
      <c r="M60" s="217"/>
      <c r="N60" s="217"/>
      <c r="O60" s="217"/>
      <c r="P60" s="166"/>
      <c r="Q60" s="166"/>
      <c r="R60" s="166"/>
      <c r="S60" s="166"/>
      <c r="T60" s="166"/>
    </row>
    <row r="61" spans="1:20" ht="27.75" hidden="1" customHeight="1">
      <c r="A61" s="2"/>
      <c r="B61" s="163"/>
      <c r="C61" s="163"/>
      <c r="D61" s="163"/>
      <c r="E61" s="163"/>
      <c r="F61" s="164"/>
      <c r="G61" s="164"/>
      <c r="H61" s="164"/>
      <c r="I61" s="164"/>
      <c r="J61" s="250"/>
      <c r="K61" s="165"/>
      <c r="L61" s="217"/>
      <c r="M61" s="217"/>
      <c r="N61" s="217"/>
      <c r="O61" s="217"/>
      <c r="P61" s="166"/>
      <c r="Q61" s="166"/>
      <c r="R61" s="166"/>
      <c r="S61" s="166"/>
      <c r="T61" s="166"/>
    </row>
    <row r="62" spans="1:20" ht="27.75" hidden="1" customHeight="1">
      <c r="A62" s="2"/>
      <c r="B62" s="163"/>
      <c r="C62" s="163"/>
      <c r="D62" s="163"/>
      <c r="E62" s="163"/>
      <c r="F62" s="164"/>
      <c r="G62" s="164"/>
      <c r="H62" s="164"/>
      <c r="I62" s="164"/>
      <c r="J62" s="250"/>
      <c r="K62" s="165"/>
      <c r="L62" s="217"/>
      <c r="M62" s="217"/>
      <c r="N62" s="217"/>
      <c r="O62" s="217"/>
      <c r="P62" s="166"/>
      <c r="Q62" s="166"/>
      <c r="R62" s="166"/>
      <c r="S62" s="166"/>
      <c r="T62" s="166"/>
    </row>
    <row r="63" spans="1:20" ht="27.75" hidden="1" customHeight="1">
      <c r="A63" s="2"/>
      <c r="B63" s="163"/>
      <c r="C63" s="163"/>
      <c r="D63" s="163"/>
      <c r="E63" s="163"/>
      <c r="F63" s="164"/>
      <c r="G63" s="164"/>
      <c r="H63" s="164"/>
      <c r="I63" s="164"/>
      <c r="J63" s="250"/>
      <c r="K63" s="165"/>
      <c r="L63" s="217"/>
      <c r="M63" s="217"/>
      <c r="N63" s="217"/>
      <c r="O63" s="217"/>
      <c r="P63" s="166"/>
      <c r="Q63" s="166"/>
      <c r="R63" s="166"/>
      <c r="S63" s="166"/>
      <c r="T63" s="166"/>
    </row>
    <row r="64" spans="1:20" ht="27.75" hidden="1" customHeight="1">
      <c r="A64" s="2"/>
      <c r="B64" s="163"/>
      <c r="C64" s="163"/>
      <c r="D64" s="163"/>
      <c r="E64" s="163"/>
      <c r="F64" s="144"/>
      <c r="G64" s="144"/>
      <c r="H64" s="144"/>
      <c r="I64" s="144"/>
      <c r="J64" s="251"/>
      <c r="K64" s="145"/>
      <c r="L64" s="219"/>
      <c r="M64" s="219"/>
      <c r="N64" s="219"/>
      <c r="O64" s="219"/>
      <c r="P64" s="146"/>
      <c r="Q64" s="146"/>
      <c r="R64" s="146"/>
      <c r="S64" s="146"/>
      <c r="T64" s="146"/>
    </row>
    <row r="65" spans="1:20" ht="27.75" hidden="1" customHeight="1">
      <c r="A65" s="2"/>
      <c r="B65" s="163"/>
      <c r="C65" s="163"/>
      <c r="D65" s="163"/>
      <c r="E65" s="163"/>
      <c r="F65" s="144"/>
      <c r="G65" s="144"/>
      <c r="H65" s="144"/>
      <c r="I65" s="144"/>
      <c r="J65" s="251"/>
      <c r="K65" s="145"/>
      <c r="L65" s="219"/>
      <c r="M65" s="219"/>
      <c r="N65" s="219"/>
      <c r="O65" s="219"/>
      <c r="P65" s="146"/>
      <c r="Q65" s="146"/>
      <c r="R65" s="146"/>
      <c r="S65" s="146"/>
      <c r="T65" s="146"/>
    </row>
    <row r="66" spans="1:20" ht="27.75" hidden="1" customHeight="1">
      <c r="A66" s="2"/>
      <c r="B66" s="163"/>
      <c r="C66" s="163"/>
      <c r="D66" s="163"/>
      <c r="E66" s="163"/>
      <c r="F66" s="144"/>
      <c r="G66" s="144"/>
      <c r="H66" s="144"/>
      <c r="I66" s="144"/>
      <c r="J66" s="252"/>
      <c r="K66" s="145"/>
      <c r="L66" s="219"/>
      <c r="M66" s="219"/>
      <c r="N66" s="219"/>
      <c r="O66" s="219"/>
      <c r="P66" s="146"/>
      <c r="Q66" s="146"/>
      <c r="R66" s="146"/>
      <c r="S66" s="146"/>
      <c r="T66" s="146"/>
    </row>
    <row r="67" spans="1:20" ht="27.75" hidden="1" customHeight="1">
      <c r="A67" s="2"/>
      <c r="B67" s="163"/>
      <c r="C67" s="163"/>
      <c r="D67" s="163"/>
      <c r="E67" s="163"/>
      <c r="F67" s="144"/>
      <c r="G67" s="144"/>
      <c r="H67" s="144"/>
      <c r="I67" s="144"/>
      <c r="J67" s="252"/>
      <c r="K67" s="145"/>
      <c r="L67" s="219"/>
      <c r="M67" s="219"/>
      <c r="N67" s="219"/>
      <c r="O67" s="219"/>
      <c r="P67" s="146"/>
      <c r="Q67" s="146"/>
      <c r="R67" s="146"/>
      <c r="S67" s="146"/>
      <c r="T67" s="146"/>
    </row>
    <row r="68" spans="1:20" ht="27.75" hidden="1" customHeight="1">
      <c r="A68" s="2"/>
      <c r="B68" s="163"/>
      <c r="C68" s="163"/>
      <c r="D68" s="163"/>
      <c r="E68" s="163"/>
      <c r="F68" s="144"/>
      <c r="G68" s="144"/>
      <c r="H68" s="144"/>
      <c r="I68" s="144"/>
      <c r="J68" s="252"/>
      <c r="K68" s="145"/>
      <c r="L68" s="219"/>
      <c r="M68" s="219"/>
      <c r="N68" s="219"/>
      <c r="O68" s="219"/>
      <c r="P68" s="146"/>
      <c r="Q68" s="146"/>
      <c r="R68" s="146"/>
      <c r="S68" s="146"/>
      <c r="T68" s="146"/>
    </row>
    <row r="69" spans="1:20" ht="27.75" hidden="1" customHeight="1">
      <c r="A69" s="2"/>
      <c r="B69" s="163"/>
      <c r="C69" s="163"/>
      <c r="D69" s="163"/>
      <c r="E69" s="163"/>
      <c r="F69" s="144"/>
      <c r="G69" s="144"/>
      <c r="H69" s="144"/>
      <c r="I69" s="144"/>
      <c r="J69" s="252"/>
      <c r="K69" s="145"/>
      <c r="L69" s="219"/>
      <c r="M69" s="219"/>
      <c r="N69" s="219"/>
      <c r="O69" s="219"/>
      <c r="P69" s="146"/>
      <c r="Q69" s="146"/>
      <c r="R69" s="146"/>
      <c r="S69" s="146"/>
      <c r="T69" s="146"/>
    </row>
    <row r="70" spans="1:20" ht="27.75" hidden="1" customHeight="1">
      <c r="A70" s="2"/>
      <c r="B70" s="163"/>
      <c r="C70" s="163"/>
      <c r="D70" s="163"/>
      <c r="E70" s="163"/>
      <c r="F70" s="144"/>
      <c r="G70" s="144"/>
      <c r="H70" s="144"/>
      <c r="I70" s="144"/>
      <c r="J70" s="252"/>
      <c r="K70" s="145"/>
      <c r="L70" s="219"/>
      <c r="M70" s="219"/>
      <c r="N70" s="219"/>
      <c r="O70" s="219"/>
      <c r="P70" s="146"/>
      <c r="Q70" s="146"/>
      <c r="R70" s="146"/>
      <c r="S70" s="146"/>
      <c r="T70" s="146"/>
    </row>
    <row r="71" spans="1:20" ht="27.75" hidden="1" customHeight="1">
      <c r="A71" s="2"/>
      <c r="B71" s="163"/>
      <c r="C71" s="163"/>
      <c r="D71" s="163"/>
      <c r="E71" s="163"/>
      <c r="F71" s="144"/>
      <c r="G71" s="144"/>
      <c r="H71" s="144"/>
      <c r="I71" s="144"/>
      <c r="J71" s="252"/>
      <c r="K71" s="145"/>
      <c r="L71" s="219"/>
      <c r="M71" s="219"/>
      <c r="N71" s="219"/>
      <c r="O71" s="219"/>
      <c r="P71" s="146"/>
      <c r="Q71" s="146"/>
      <c r="R71" s="146"/>
      <c r="S71" s="146"/>
      <c r="T71" s="146"/>
    </row>
    <row r="72" spans="1:20" ht="27.75" hidden="1" customHeight="1">
      <c r="A72" s="2"/>
      <c r="B72" s="163"/>
      <c r="C72" s="163"/>
      <c r="D72" s="163"/>
      <c r="E72" s="163"/>
      <c r="F72" s="144"/>
      <c r="G72" s="144"/>
      <c r="H72" s="144"/>
      <c r="I72" s="144"/>
      <c r="J72" s="252"/>
      <c r="K72" s="145"/>
      <c r="L72" s="219"/>
      <c r="M72" s="219"/>
      <c r="N72" s="219"/>
      <c r="O72" s="219"/>
      <c r="P72" s="146"/>
      <c r="Q72" s="146"/>
      <c r="R72" s="146"/>
      <c r="S72" s="146"/>
      <c r="T72" s="146"/>
    </row>
    <row r="73" spans="1:20" ht="27.75" hidden="1" customHeight="1">
      <c r="A73" s="2"/>
      <c r="B73" s="163"/>
      <c r="C73" s="163"/>
      <c r="D73" s="163"/>
      <c r="E73" s="163"/>
      <c r="F73" s="144"/>
      <c r="G73" s="144"/>
      <c r="H73" s="144"/>
      <c r="I73" s="144"/>
      <c r="J73" s="252"/>
      <c r="K73" s="145"/>
      <c r="L73" s="219"/>
      <c r="M73" s="219"/>
      <c r="N73" s="219"/>
      <c r="O73" s="219"/>
      <c r="P73" s="146"/>
      <c r="Q73" s="146"/>
      <c r="R73" s="146"/>
      <c r="S73" s="146"/>
      <c r="T73" s="146"/>
    </row>
    <row r="74" spans="1:20" ht="27.75" hidden="1" customHeight="1">
      <c r="A74" s="2"/>
      <c r="B74" s="163"/>
      <c r="C74" s="163"/>
      <c r="D74" s="163"/>
      <c r="E74" s="163"/>
      <c r="F74" s="144"/>
      <c r="G74" s="144"/>
      <c r="H74" s="144"/>
      <c r="I74" s="144"/>
      <c r="J74" s="252"/>
      <c r="K74" s="145"/>
      <c r="L74" s="219"/>
      <c r="M74" s="219"/>
      <c r="N74" s="219"/>
      <c r="O74" s="219"/>
      <c r="P74" s="146"/>
      <c r="Q74" s="146"/>
      <c r="R74" s="146"/>
      <c r="S74" s="146"/>
      <c r="T74" s="146"/>
    </row>
    <row r="75" spans="1:20" ht="27.75" hidden="1" customHeight="1">
      <c r="A75" s="2"/>
      <c r="B75" s="163"/>
      <c r="C75" s="163"/>
      <c r="D75" s="163"/>
      <c r="E75" s="163"/>
      <c r="F75" s="144"/>
      <c r="G75" s="144"/>
      <c r="H75" s="144"/>
      <c r="I75" s="144"/>
      <c r="J75" s="252"/>
      <c r="K75" s="145"/>
      <c r="L75" s="219"/>
      <c r="M75" s="219"/>
      <c r="N75" s="219"/>
      <c r="O75" s="219"/>
      <c r="P75" s="146"/>
      <c r="Q75" s="146"/>
      <c r="R75" s="146"/>
      <c r="S75" s="146"/>
      <c r="T75" s="146"/>
    </row>
    <row r="76" spans="1:20" ht="27.75" hidden="1" customHeight="1">
      <c r="A76" s="2"/>
      <c r="B76" s="163"/>
      <c r="C76" s="163"/>
      <c r="D76" s="163"/>
      <c r="E76" s="163"/>
      <c r="F76" s="144"/>
      <c r="G76" s="144"/>
      <c r="H76" s="144"/>
      <c r="I76" s="144"/>
      <c r="J76" s="252"/>
      <c r="K76" s="145"/>
      <c r="L76" s="219"/>
      <c r="M76" s="219"/>
      <c r="N76" s="219"/>
      <c r="O76" s="219"/>
      <c r="P76" s="146"/>
      <c r="Q76" s="146"/>
      <c r="R76" s="146"/>
      <c r="S76" s="146"/>
      <c r="T76" s="146"/>
    </row>
    <row r="77" spans="1:20" ht="27.75" hidden="1" customHeight="1">
      <c r="A77" s="2"/>
      <c r="B77" s="163"/>
      <c r="C77" s="163"/>
      <c r="D77" s="163"/>
      <c r="E77" s="163"/>
      <c r="F77" s="144"/>
      <c r="G77" s="144"/>
      <c r="H77" s="144"/>
      <c r="I77" s="144"/>
      <c r="J77" s="252"/>
      <c r="K77" s="145"/>
      <c r="L77" s="219"/>
      <c r="M77" s="219"/>
      <c r="N77" s="219"/>
      <c r="O77" s="219"/>
      <c r="P77" s="146"/>
      <c r="Q77" s="146"/>
      <c r="R77" s="146"/>
      <c r="S77" s="146"/>
      <c r="T77" s="146"/>
    </row>
    <row r="78" spans="1:20" ht="27.75" hidden="1" customHeight="1">
      <c r="A78" s="2"/>
      <c r="B78" s="163"/>
      <c r="C78" s="163"/>
      <c r="D78" s="163"/>
      <c r="E78" s="163"/>
      <c r="F78" s="144"/>
      <c r="G78" s="144"/>
      <c r="H78" s="144"/>
      <c r="I78" s="144"/>
      <c r="J78" s="252"/>
      <c r="K78" s="145"/>
      <c r="L78" s="219"/>
      <c r="M78" s="219"/>
      <c r="N78" s="219"/>
      <c r="O78" s="219"/>
      <c r="P78" s="146"/>
      <c r="Q78" s="146"/>
      <c r="R78" s="146"/>
      <c r="S78" s="146"/>
      <c r="T78" s="146"/>
    </row>
    <row r="79" spans="1:20" ht="27.75" hidden="1" customHeight="1">
      <c r="A79" s="2"/>
      <c r="B79" s="163"/>
      <c r="C79" s="163"/>
      <c r="D79" s="163"/>
      <c r="E79" s="163"/>
      <c r="F79" s="144"/>
      <c r="G79" s="144"/>
      <c r="H79" s="144"/>
      <c r="I79" s="144"/>
      <c r="J79" s="252"/>
      <c r="K79" s="145"/>
      <c r="L79" s="219"/>
      <c r="M79" s="219"/>
      <c r="N79" s="219"/>
      <c r="O79" s="219"/>
      <c r="P79" s="146"/>
      <c r="Q79" s="146"/>
      <c r="R79" s="146"/>
      <c r="S79" s="146"/>
      <c r="T79" s="146"/>
    </row>
    <row r="80" spans="1:20" ht="27.75" hidden="1" customHeight="1">
      <c r="A80" s="2"/>
      <c r="B80" s="163"/>
      <c r="C80" s="163"/>
      <c r="D80" s="163"/>
      <c r="E80" s="163"/>
      <c r="F80" s="144"/>
      <c r="G80" s="144"/>
      <c r="H80" s="144"/>
      <c r="I80" s="144"/>
      <c r="J80" s="252"/>
      <c r="K80" s="145"/>
      <c r="L80" s="219"/>
      <c r="M80" s="219"/>
      <c r="N80" s="219"/>
      <c r="O80" s="219"/>
      <c r="P80" s="146"/>
      <c r="Q80" s="146"/>
      <c r="R80" s="146"/>
      <c r="S80" s="146"/>
      <c r="T80" s="146"/>
    </row>
    <row r="81" spans="1:20" ht="27.75" hidden="1" customHeight="1">
      <c r="A81" s="2"/>
      <c r="B81" s="163"/>
      <c r="C81" s="163"/>
      <c r="D81" s="163"/>
      <c r="E81" s="163"/>
      <c r="F81" s="144"/>
      <c r="G81" s="144"/>
      <c r="H81" s="144"/>
      <c r="I81" s="144"/>
      <c r="J81" s="252"/>
      <c r="K81" s="145"/>
      <c r="L81" s="219"/>
      <c r="M81" s="219"/>
      <c r="N81" s="219"/>
      <c r="O81" s="219"/>
      <c r="P81" s="146"/>
      <c r="Q81" s="146"/>
      <c r="R81" s="146"/>
      <c r="S81" s="146"/>
      <c r="T81" s="146"/>
    </row>
    <row r="82" spans="1:20" ht="27.75" hidden="1" customHeight="1">
      <c r="A82" s="2"/>
      <c r="B82" s="163"/>
      <c r="C82" s="163"/>
      <c r="D82" s="163"/>
      <c r="E82" s="163"/>
      <c r="F82" s="144"/>
      <c r="G82" s="144"/>
      <c r="H82" s="144"/>
      <c r="I82" s="144"/>
      <c r="J82" s="252"/>
      <c r="K82" s="145"/>
      <c r="L82" s="145"/>
      <c r="M82" s="145"/>
      <c r="N82" s="145"/>
      <c r="O82" s="145"/>
      <c r="P82" s="146"/>
      <c r="Q82" s="146"/>
      <c r="R82" s="146"/>
      <c r="S82" s="146"/>
      <c r="T82" s="146"/>
    </row>
    <row r="83" spans="1:20" ht="27.75" hidden="1" customHeight="1">
      <c r="A83" s="2"/>
      <c r="B83" s="163"/>
      <c r="C83" s="163"/>
      <c r="D83" s="163"/>
      <c r="E83" s="163"/>
      <c r="F83" s="144"/>
      <c r="G83" s="144"/>
      <c r="H83" s="144"/>
      <c r="I83" s="144"/>
      <c r="J83" s="252"/>
      <c r="K83" s="145"/>
      <c r="L83" s="145"/>
      <c r="M83" s="145"/>
      <c r="N83" s="145"/>
      <c r="O83" s="145"/>
      <c r="P83" s="146"/>
      <c r="Q83" s="146"/>
      <c r="R83" s="146"/>
      <c r="S83" s="146"/>
      <c r="T83" s="146"/>
    </row>
    <row r="84" spans="1:20" ht="27.75" hidden="1" customHeight="1">
      <c r="A84" s="2"/>
      <c r="B84" s="163"/>
      <c r="C84" s="163"/>
      <c r="D84" s="163"/>
      <c r="E84" s="163"/>
      <c r="F84" s="144"/>
      <c r="G84" s="144"/>
      <c r="H84" s="144"/>
      <c r="I84" s="144"/>
      <c r="J84" s="252"/>
      <c r="K84" s="145"/>
      <c r="L84" s="145"/>
      <c r="M84" s="145"/>
      <c r="N84" s="145"/>
      <c r="O84" s="145"/>
      <c r="P84" s="146"/>
      <c r="Q84" s="146"/>
      <c r="R84" s="146"/>
      <c r="S84" s="146"/>
      <c r="T84" s="146"/>
    </row>
    <row r="85" spans="1:20" ht="27.75" hidden="1" customHeight="1">
      <c r="A85" s="2"/>
      <c r="B85" s="163"/>
      <c r="C85" s="163"/>
      <c r="D85" s="163"/>
      <c r="E85" s="163"/>
      <c r="F85" s="144"/>
      <c r="G85" s="144"/>
      <c r="H85" s="144"/>
      <c r="I85" s="144"/>
      <c r="J85" s="252"/>
      <c r="K85" s="145"/>
      <c r="L85" s="145"/>
      <c r="M85" s="145"/>
      <c r="N85" s="145"/>
      <c r="O85" s="145"/>
      <c r="P85" s="146"/>
      <c r="Q85" s="146"/>
      <c r="R85" s="146"/>
      <c r="S85" s="146"/>
      <c r="T85" s="146"/>
    </row>
    <row r="86" spans="1:20" ht="27.75" hidden="1" customHeight="1">
      <c r="A86" s="2"/>
      <c r="B86" s="163"/>
      <c r="C86" s="163"/>
      <c r="D86" s="163"/>
      <c r="E86" s="163"/>
      <c r="F86" s="144"/>
      <c r="G86" s="144"/>
      <c r="H86" s="144"/>
      <c r="I86" s="144"/>
      <c r="J86" s="252"/>
      <c r="K86" s="145"/>
      <c r="L86" s="145"/>
      <c r="M86" s="145"/>
      <c r="N86" s="145"/>
      <c r="O86" s="145"/>
      <c r="P86" s="146"/>
      <c r="Q86" s="146"/>
      <c r="R86" s="146"/>
      <c r="S86" s="146"/>
      <c r="T86" s="146"/>
    </row>
    <row r="87" spans="1:20" ht="27.75" hidden="1" customHeight="1">
      <c r="A87" s="2"/>
      <c r="B87" s="163"/>
      <c r="C87" s="163"/>
      <c r="D87" s="163"/>
      <c r="E87" s="163"/>
      <c r="F87" s="144"/>
      <c r="G87" s="144"/>
      <c r="H87" s="144"/>
      <c r="I87" s="144"/>
      <c r="J87" s="252"/>
      <c r="K87" s="145"/>
      <c r="L87" s="145"/>
      <c r="M87" s="145"/>
      <c r="N87" s="145"/>
      <c r="O87" s="145"/>
      <c r="P87" s="146"/>
      <c r="Q87" s="146"/>
      <c r="R87" s="146"/>
      <c r="S87" s="146"/>
      <c r="T87" s="146"/>
    </row>
    <row r="88" spans="1:20" ht="27.75" hidden="1" customHeight="1">
      <c r="A88" s="2"/>
      <c r="B88" s="163"/>
      <c r="C88" s="163"/>
      <c r="D88" s="163"/>
      <c r="E88" s="163"/>
      <c r="F88" s="144"/>
      <c r="G88" s="144"/>
      <c r="H88" s="144"/>
      <c r="I88" s="144"/>
      <c r="J88" s="252"/>
      <c r="K88" s="145"/>
      <c r="L88" s="145"/>
      <c r="M88" s="145"/>
      <c r="N88" s="145"/>
      <c r="O88" s="145"/>
      <c r="P88" s="146"/>
      <c r="Q88" s="146"/>
      <c r="R88" s="146"/>
      <c r="S88" s="146"/>
      <c r="T88" s="146"/>
    </row>
    <row r="89" spans="1:20" ht="27.75" hidden="1" customHeight="1">
      <c r="A89" s="2"/>
      <c r="B89" s="163"/>
      <c r="C89" s="163"/>
      <c r="D89" s="163"/>
      <c r="E89" s="163"/>
      <c r="F89" s="144"/>
      <c r="G89" s="144"/>
      <c r="H89" s="144"/>
      <c r="I89" s="144"/>
      <c r="J89" s="252"/>
      <c r="K89" s="145"/>
      <c r="L89" s="145"/>
      <c r="M89" s="145"/>
      <c r="N89" s="145"/>
      <c r="O89" s="145"/>
      <c r="P89" s="146"/>
      <c r="Q89" s="146"/>
      <c r="R89" s="146"/>
      <c r="S89" s="146"/>
      <c r="T89" s="146"/>
    </row>
    <row r="90" spans="1:20" ht="27.75" hidden="1" customHeight="1">
      <c r="A90" s="2"/>
      <c r="B90" s="163"/>
      <c r="C90" s="163"/>
      <c r="D90" s="163"/>
      <c r="E90" s="163"/>
      <c r="F90" s="144"/>
      <c r="G90" s="144"/>
      <c r="H90" s="144"/>
      <c r="I90" s="144"/>
      <c r="J90" s="252"/>
      <c r="K90" s="145"/>
      <c r="L90" s="145"/>
      <c r="M90" s="145"/>
      <c r="N90" s="145"/>
      <c r="O90" s="145"/>
      <c r="P90" s="146"/>
      <c r="Q90" s="146"/>
      <c r="R90" s="146"/>
      <c r="S90" s="146"/>
      <c r="T90" s="146"/>
    </row>
    <row r="91" spans="1:20" ht="27.75" hidden="1" customHeight="1">
      <c r="A91" s="2"/>
      <c r="B91" s="163"/>
      <c r="C91" s="163"/>
      <c r="D91" s="163"/>
      <c r="E91" s="163"/>
      <c r="F91" s="144"/>
      <c r="G91" s="144"/>
      <c r="H91" s="144"/>
      <c r="I91" s="144"/>
      <c r="J91" s="252"/>
      <c r="K91" s="145"/>
      <c r="L91" s="145"/>
      <c r="M91" s="145"/>
      <c r="N91" s="145"/>
      <c r="O91" s="145"/>
      <c r="P91" s="146"/>
      <c r="Q91" s="146"/>
      <c r="R91" s="146"/>
      <c r="S91" s="146"/>
      <c r="T91" s="146"/>
    </row>
    <row r="92" spans="1:20" ht="27.75" hidden="1" customHeight="1">
      <c r="A92" s="2"/>
      <c r="B92" s="163"/>
      <c r="C92" s="163"/>
      <c r="D92" s="163"/>
      <c r="E92" s="163"/>
      <c r="F92" s="144"/>
      <c r="G92" s="144"/>
      <c r="H92" s="144"/>
      <c r="I92" s="144"/>
      <c r="J92" s="252"/>
      <c r="K92" s="145"/>
      <c r="L92" s="145"/>
      <c r="M92" s="145"/>
      <c r="N92" s="145"/>
      <c r="O92" s="145"/>
      <c r="P92" s="146"/>
      <c r="Q92" s="146"/>
      <c r="R92" s="146"/>
      <c r="S92" s="146"/>
      <c r="T92" s="146"/>
    </row>
    <row r="93" spans="1:20" ht="27.75" hidden="1" customHeight="1">
      <c r="A93" s="2"/>
      <c r="B93" s="163"/>
      <c r="C93" s="163"/>
      <c r="D93" s="163"/>
      <c r="E93" s="163"/>
      <c r="F93" s="144"/>
      <c r="G93" s="144"/>
      <c r="H93" s="144"/>
      <c r="I93" s="144"/>
      <c r="J93" s="252"/>
      <c r="K93" s="145"/>
      <c r="L93" s="145"/>
      <c r="M93" s="145"/>
      <c r="N93" s="145"/>
      <c r="O93" s="145"/>
      <c r="P93" s="146"/>
      <c r="Q93" s="146"/>
      <c r="R93" s="146"/>
      <c r="S93" s="146"/>
      <c r="T93" s="146"/>
    </row>
    <row r="94" spans="1:20" ht="27.75" hidden="1" customHeight="1">
      <c r="A94" s="2"/>
      <c r="B94" s="163"/>
      <c r="C94" s="163"/>
      <c r="D94" s="163"/>
      <c r="E94" s="163"/>
      <c r="F94" s="144"/>
      <c r="G94" s="144"/>
      <c r="H94" s="144"/>
      <c r="I94" s="144"/>
      <c r="J94" s="252"/>
      <c r="K94" s="145"/>
      <c r="L94" s="145"/>
      <c r="M94" s="145"/>
      <c r="N94" s="145"/>
      <c r="O94" s="145"/>
      <c r="P94" s="146"/>
      <c r="Q94" s="146"/>
      <c r="R94" s="146"/>
      <c r="S94" s="146"/>
      <c r="T94" s="146"/>
    </row>
    <row r="95" spans="1:20" ht="27.75" hidden="1" customHeight="1">
      <c r="A95" s="2"/>
      <c r="B95" s="163"/>
      <c r="C95" s="163"/>
      <c r="D95" s="163"/>
      <c r="E95" s="163"/>
      <c r="F95" s="144"/>
      <c r="G95" s="144"/>
      <c r="H95" s="144"/>
      <c r="I95" s="144"/>
      <c r="J95" s="252"/>
      <c r="K95" s="145"/>
      <c r="L95" s="145"/>
      <c r="M95" s="145"/>
      <c r="N95" s="145"/>
      <c r="O95" s="145"/>
      <c r="P95" s="146"/>
      <c r="Q95" s="146"/>
      <c r="R95" s="146"/>
      <c r="S95" s="146"/>
      <c r="T95" s="146"/>
    </row>
    <row r="96" spans="1:20" ht="27.75" hidden="1" customHeight="1">
      <c r="A96" s="2"/>
      <c r="B96" s="163"/>
      <c r="C96" s="163"/>
      <c r="D96" s="163"/>
      <c r="E96" s="163"/>
      <c r="F96" s="144"/>
      <c r="G96" s="144"/>
      <c r="H96" s="144"/>
      <c r="I96" s="144"/>
      <c r="J96" s="252"/>
      <c r="K96" s="145"/>
      <c r="L96" s="145"/>
      <c r="M96" s="145"/>
      <c r="N96" s="145"/>
      <c r="O96" s="145"/>
      <c r="P96" s="146"/>
      <c r="Q96" s="146"/>
      <c r="R96" s="146"/>
      <c r="S96" s="146"/>
      <c r="T96" s="146"/>
    </row>
    <row r="97" spans="1:20" ht="27.75" hidden="1" customHeight="1">
      <c r="A97" s="2"/>
      <c r="B97" s="163"/>
      <c r="C97" s="163"/>
      <c r="D97" s="163"/>
      <c r="E97" s="163"/>
      <c r="F97" s="144"/>
      <c r="G97" s="144"/>
      <c r="H97" s="144"/>
      <c r="I97" s="144"/>
      <c r="J97" s="252"/>
      <c r="K97" s="145"/>
      <c r="L97" s="145"/>
      <c r="M97" s="145"/>
      <c r="N97" s="145"/>
      <c r="O97" s="145"/>
      <c r="P97" s="146"/>
      <c r="Q97" s="146"/>
      <c r="R97" s="146"/>
      <c r="S97" s="146"/>
      <c r="T97" s="146"/>
    </row>
    <row r="98" spans="1:20" ht="27.75" hidden="1" customHeight="1">
      <c r="A98" s="2"/>
      <c r="B98" s="163"/>
      <c r="C98" s="163"/>
      <c r="D98" s="163"/>
      <c r="E98" s="163"/>
      <c r="F98" s="144"/>
      <c r="G98" s="144"/>
      <c r="H98" s="144"/>
      <c r="I98" s="144"/>
      <c r="J98" s="252"/>
      <c r="K98" s="145"/>
      <c r="L98" s="145"/>
      <c r="M98" s="145"/>
      <c r="N98" s="145"/>
      <c r="O98" s="145"/>
      <c r="P98" s="146"/>
      <c r="Q98" s="146"/>
      <c r="R98" s="146"/>
      <c r="S98" s="146"/>
      <c r="T98" s="146"/>
    </row>
    <row r="99" spans="1:20" ht="27.75" hidden="1" customHeight="1">
      <c r="A99" s="2"/>
      <c r="B99" s="163"/>
      <c r="C99" s="163"/>
      <c r="D99" s="163"/>
      <c r="E99" s="163"/>
      <c r="F99" s="144"/>
      <c r="G99" s="144"/>
      <c r="H99" s="144"/>
      <c r="I99" s="144"/>
      <c r="J99" s="252"/>
      <c r="K99" s="145"/>
      <c r="L99" s="145"/>
      <c r="M99" s="145"/>
      <c r="N99" s="145"/>
      <c r="O99" s="145"/>
      <c r="P99" s="146"/>
      <c r="Q99" s="146"/>
      <c r="R99" s="146"/>
      <c r="S99" s="146"/>
      <c r="T99" s="146"/>
    </row>
    <row r="100" spans="1:20" ht="27.75" hidden="1" customHeight="1">
      <c r="A100" s="2"/>
      <c r="B100" s="163"/>
      <c r="C100" s="163"/>
      <c r="D100" s="163"/>
      <c r="E100" s="163"/>
      <c r="F100" s="144"/>
      <c r="G100" s="144"/>
      <c r="H100" s="144"/>
      <c r="I100" s="144"/>
      <c r="J100" s="252"/>
      <c r="K100" s="145"/>
      <c r="L100" s="145"/>
      <c r="M100" s="145"/>
      <c r="N100" s="145"/>
      <c r="O100" s="145"/>
      <c r="P100" s="146"/>
      <c r="Q100" s="146"/>
      <c r="R100" s="146"/>
      <c r="S100" s="146"/>
      <c r="T100" s="146"/>
    </row>
    <row r="101" spans="1:20" ht="27.75" hidden="1" customHeight="1">
      <c r="A101" s="2"/>
      <c r="B101" s="163"/>
      <c r="C101" s="163"/>
      <c r="D101" s="163"/>
      <c r="E101" s="163"/>
      <c r="F101" s="144"/>
      <c r="G101" s="144"/>
      <c r="H101" s="144"/>
      <c r="I101" s="144"/>
      <c r="J101" s="252"/>
      <c r="K101" s="145"/>
      <c r="L101" s="145"/>
      <c r="M101" s="145"/>
      <c r="N101" s="145"/>
      <c r="O101" s="145"/>
      <c r="P101" s="146"/>
      <c r="Q101" s="146"/>
      <c r="R101" s="146"/>
      <c r="S101" s="146"/>
      <c r="T101" s="146"/>
    </row>
    <row r="102" spans="1:20" ht="27.75" hidden="1" customHeight="1">
      <c r="A102" s="2"/>
      <c r="B102" s="163"/>
      <c r="C102" s="163"/>
      <c r="D102" s="163"/>
      <c r="E102" s="163"/>
      <c r="F102" s="144"/>
      <c r="G102" s="144"/>
      <c r="H102" s="144"/>
      <c r="I102" s="144"/>
      <c r="J102" s="252"/>
      <c r="K102" s="145"/>
      <c r="L102" s="145"/>
      <c r="M102" s="145"/>
      <c r="N102" s="145"/>
      <c r="O102" s="145"/>
      <c r="P102" s="146"/>
      <c r="Q102" s="146"/>
      <c r="R102" s="146"/>
      <c r="S102" s="146"/>
      <c r="T102" s="146"/>
    </row>
    <row r="103" spans="1:20" ht="27.75" hidden="1" customHeight="1">
      <c r="A103" s="2"/>
      <c r="B103" s="163"/>
      <c r="C103" s="163"/>
      <c r="D103" s="163"/>
      <c r="E103" s="163"/>
      <c r="F103" s="144"/>
      <c r="G103" s="144"/>
      <c r="H103" s="144"/>
      <c r="I103" s="144"/>
      <c r="J103" s="252"/>
      <c r="K103" s="145"/>
      <c r="L103" s="145"/>
      <c r="M103" s="145"/>
      <c r="N103" s="145"/>
      <c r="O103" s="145"/>
      <c r="P103" s="146"/>
      <c r="Q103" s="146"/>
      <c r="R103" s="146"/>
      <c r="S103" s="146"/>
      <c r="T103" s="146"/>
    </row>
    <row r="104" spans="1:20" ht="27.75" hidden="1" customHeight="1">
      <c r="A104" s="2"/>
      <c r="B104" s="163"/>
      <c r="C104" s="163"/>
      <c r="D104" s="163"/>
      <c r="E104" s="163"/>
      <c r="F104" s="144"/>
      <c r="G104" s="144"/>
      <c r="H104" s="144"/>
      <c r="I104" s="144"/>
      <c r="J104" s="252"/>
      <c r="K104" s="145"/>
      <c r="L104" s="145"/>
      <c r="M104" s="145"/>
      <c r="N104" s="145"/>
      <c r="O104" s="145"/>
      <c r="P104" s="146"/>
      <c r="Q104" s="146"/>
      <c r="R104" s="146"/>
      <c r="S104" s="146"/>
      <c r="T104" s="146"/>
    </row>
    <row r="105" spans="1:20" ht="27.75" hidden="1" customHeight="1">
      <c r="A105" s="2"/>
      <c r="B105" s="163"/>
      <c r="C105" s="163"/>
      <c r="D105" s="163"/>
      <c r="E105" s="163"/>
      <c r="F105" s="144"/>
      <c r="G105" s="144"/>
      <c r="H105" s="144"/>
      <c r="I105" s="144"/>
      <c r="J105" s="252"/>
      <c r="K105" s="145"/>
      <c r="L105" s="145"/>
      <c r="M105" s="145"/>
      <c r="N105" s="145"/>
      <c r="O105" s="145"/>
      <c r="P105" s="146"/>
      <c r="Q105" s="146"/>
      <c r="R105" s="146"/>
      <c r="S105" s="146"/>
      <c r="T105" s="146"/>
    </row>
    <row r="106" spans="1:20" ht="27.75" hidden="1" customHeight="1">
      <c r="A106" s="2"/>
      <c r="B106" s="163"/>
      <c r="C106" s="163"/>
      <c r="D106" s="163"/>
      <c r="E106" s="163"/>
      <c r="F106" s="144"/>
      <c r="G106" s="144"/>
      <c r="H106" s="144"/>
      <c r="I106" s="144"/>
      <c r="J106" s="252"/>
      <c r="K106" s="145"/>
      <c r="L106" s="145"/>
      <c r="M106" s="145"/>
      <c r="N106" s="145"/>
      <c r="O106" s="145"/>
      <c r="P106" s="146"/>
      <c r="Q106" s="146"/>
      <c r="R106" s="146"/>
      <c r="S106" s="146"/>
      <c r="T106" s="146"/>
    </row>
    <row r="107" spans="1:20" ht="27.75" hidden="1" customHeight="1">
      <c r="A107" s="2"/>
      <c r="B107" s="163"/>
      <c r="C107" s="163"/>
      <c r="D107" s="163"/>
      <c r="E107" s="163"/>
      <c r="F107" s="144"/>
      <c r="G107" s="144"/>
      <c r="H107" s="144"/>
      <c r="I107" s="144"/>
      <c r="J107" s="252"/>
      <c r="K107" s="145"/>
      <c r="L107" s="145"/>
      <c r="M107" s="145"/>
      <c r="N107" s="145"/>
      <c r="O107" s="145"/>
      <c r="P107" s="146"/>
      <c r="Q107" s="146"/>
      <c r="R107" s="146"/>
      <c r="S107" s="146"/>
      <c r="T107" s="146"/>
    </row>
    <row r="108" spans="1:20" ht="27.75" hidden="1" customHeight="1">
      <c r="A108" s="2"/>
      <c r="B108" s="163"/>
      <c r="C108" s="163"/>
      <c r="D108" s="163"/>
      <c r="E108" s="163"/>
      <c r="F108" s="144"/>
      <c r="G108" s="144"/>
      <c r="H108" s="144"/>
      <c r="I108" s="144"/>
      <c r="J108" s="252"/>
      <c r="K108" s="145"/>
      <c r="L108" s="145"/>
      <c r="M108" s="145"/>
      <c r="N108" s="145"/>
      <c r="O108" s="145"/>
      <c r="P108" s="146"/>
      <c r="Q108" s="146"/>
      <c r="R108" s="146"/>
      <c r="S108" s="146"/>
      <c r="T108" s="146"/>
    </row>
    <row r="109" spans="1:20" ht="27.75" hidden="1" customHeight="1">
      <c r="A109" s="2"/>
      <c r="B109" s="163"/>
      <c r="C109" s="163"/>
      <c r="D109" s="163"/>
      <c r="E109" s="163"/>
      <c r="F109" s="144"/>
      <c r="G109" s="144"/>
      <c r="H109" s="144"/>
      <c r="I109" s="144"/>
      <c r="J109" s="252"/>
      <c r="K109" s="145"/>
      <c r="L109" s="145"/>
      <c r="M109" s="145"/>
      <c r="N109" s="145"/>
      <c r="O109" s="145"/>
      <c r="P109" s="146"/>
      <c r="Q109" s="146"/>
      <c r="R109" s="146"/>
      <c r="S109" s="146"/>
      <c r="T109" s="146"/>
    </row>
    <row r="110" spans="1:20" ht="27.75" hidden="1" customHeight="1">
      <c r="A110" s="2"/>
      <c r="B110" s="163"/>
      <c r="C110" s="163"/>
      <c r="D110" s="163"/>
      <c r="E110" s="163"/>
      <c r="F110" s="144"/>
      <c r="G110" s="144"/>
      <c r="H110" s="144"/>
      <c r="I110" s="144"/>
      <c r="J110" s="252"/>
      <c r="K110" s="145"/>
      <c r="L110" s="145"/>
      <c r="M110" s="145"/>
      <c r="N110" s="145"/>
      <c r="O110" s="145"/>
      <c r="P110" s="146"/>
      <c r="Q110" s="146"/>
      <c r="R110" s="146"/>
      <c r="S110" s="146"/>
      <c r="T110" s="146"/>
    </row>
    <row r="111" spans="1:20" ht="27.75" hidden="1" customHeight="1">
      <c r="A111" s="2"/>
      <c r="B111" s="163"/>
      <c r="C111" s="163"/>
      <c r="D111" s="163"/>
      <c r="E111" s="163"/>
      <c r="F111" s="144"/>
      <c r="G111" s="144"/>
      <c r="H111" s="144"/>
      <c r="I111" s="144"/>
      <c r="J111" s="252"/>
      <c r="K111" s="145"/>
      <c r="L111" s="145"/>
      <c r="M111" s="145"/>
      <c r="N111" s="145"/>
      <c r="O111" s="145"/>
      <c r="P111" s="146"/>
      <c r="Q111" s="146"/>
      <c r="R111" s="146"/>
      <c r="S111" s="146"/>
      <c r="T111" s="146"/>
    </row>
    <row r="112" spans="1:20" ht="27.75" hidden="1" customHeight="1">
      <c r="A112" s="2"/>
      <c r="B112" s="163"/>
      <c r="C112" s="163"/>
      <c r="D112" s="163"/>
      <c r="E112" s="163"/>
      <c r="F112" s="144"/>
      <c r="G112" s="144"/>
      <c r="H112" s="144"/>
      <c r="I112" s="144"/>
      <c r="J112" s="252"/>
      <c r="K112" s="145"/>
      <c r="L112" s="145"/>
      <c r="M112" s="145"/>
      <c r="N112" s="145"/>
      <c r="O112" s="145"/>
      <c r="P112" s="146"/>
      <c r="Q112" s="146"/>
      <c r="R112" s="146"/>
      <c r="S112" s="146"/>
      <c r="T112" s="146"/>
    </row>
    <row r="113" spans="1:20" ht="27.75" hidden="1" customHeight="1">
      <c r="A113" s="2"/>
      <c r="B113" s="163"/>
      <c r="C113" s="163"/>
      <c r="D113" s="163"/>
      <c r="E113" s="163"/>
      <c r="F113" s="144"/>
      <c r="G113" s="144"/>
      <c r="H113" s="144"/>
      <c r="I113" s="144"/>
      <c r="J113" s="252"/>
      <c r="K113" s="145"/>
      <c r="L113" s="145"/>
      <c r="M113" s="145"/>
      <c r="N113" s="145"/>
      <c r="O113" s="145"/>
      <c r="P113" s="146"/>
      <c r="Q113" s="146"/>
      <c r="R113" s="146"/>
      <c r="S113" s="146"/>
      <c r="T113" s="146"/>
    </row>
    <row r="114" spans="1:20" ht="27.75" hidden="1" customHeight="1">
      <c r="A114" s="2"/>
      <c r="B114" s="163"/>
      <c r="C114" s="163"/>
      <c r="D114" s="163"/>
      <c r="E114" s="163"/>
      <c r="F114" s="144"/>
      <c r="G114" s="144"/>
      <c r="H114" s="144"/>
      <c r="I114" s="144"/>
      <c r="J114" s="252"/>
      <c r="K114" s="145"/>
      <c r="L114" s="145"/>
      <c r="M114" s="145"/>
      <c r="N114" s="145"/>
      <c r="O114" s="145"/>
      <c r="P114" s="146"/>
      <c r="Q114" s="146"/>
      <c r="R114" s="146"/>
      <c r="S114" s="146"/>
      <c r="T114" s="146"/>
    </row>
    <row r="115" spans="1:20" ht="27.75" hidden="1" customHeight="1">
      <c r="A115" s="2"/>
      <c r="B115" s="163"/>
      <c r="C115" s="163"/>
      <c r="D115" s="163"/>
      <c r="E115" s="163"/>
      <c r="F115" s="144"/>
      <c r="G115" s="144"/>
      <c r="H115" s="144"/>
      <c r="I115" s="144"/>
      <c r="J115" s="252"/>
      <c r="K115" s="145"/>
      <c r="L115" s="145"/>
      <c r="M115" s="145"/>
      <c r="N115" s="145"/>
      <c r="O115" s="145"/>
      <c r="P115" s="146"/>
      <c r="Q115" s="146"/>
      <c r="R115" s="146"/>
      <c r="S115" s="146"/>
      <c r="T115" s="146"/>
    </row>
    <row r="116" spans="1:20" ht="27.75" hidden="1" customHeight="1">
      <c r="A116" s="2"/>
      <c r="B116" s="163"/>
      <c r="C116" s="163"/>
      <c r="D116" s="163"/>
      <c r="E116" s="163"/>
      <c r="F116" s="144"/>
      <c r="G116" s="144"/>
      <c r="H116" s="144"/>
      <c r="I116" s="144"/>
      <c r="J116" s="252"/>
      <c r="K116" s="145"/>
      <c r="L116" s="145"/>
      <c r="M116" s="145"/>
      <c r="N116" s="145"/>
      <c r="O116" s="145"/>
      <c r="P116" s="146"/>
      <c r="Q116" s="146"/>
      <c r="R116" s="146"/>
      <c r="S116" s="146"/>
      <c r="T116" s="146"/>
    </row>
    <row r="117" spans="1:20" ht="27.75" hidden="1" customHeight="1">
      <c r="A117" s="2"/>
      <c r="B117" s="163"/>
      <c r="C117" s="163"/>
      <c r="D117" s="163"/>
      <c r="E117" s="163"/>
      <c r="F117" s="144"/>
      <c r="G117" s="144"/>
      <c r="H117" s="144"/>
      <c r="I117" s="144"/>
      <c r="J117" s="252"/>
      <c r="K117" s="145"/>
      <c r="L117" s="145"/>
      <c r="M117" s="145"/>
      <c r="N117" s="145"/>
      <c r="O117" s="145"/>
      <c r="P117" s="146"/>
      <c r="Q117" s="146"/>
      <c r="R117" s="146"/>
      <c r="S117" s="146"/>
      <c r="T117" s="146"/>
    </row>
    <row r="118" spans="1:20" ht="27.75" hidden="1" customHeight="1">
      <c r="A118" s="2"/>
      <c r="B118" s="163"/>
      <c r="C118" s="163"/>
      <c r="D118" s="163"/>
      <c r="E118" s="163"/>
      <c r="F118" s="144"/>
      <c r="G118" s="144"/>
      <c r="H118" s="144"/>
      <c r="I118" s="144"/>
      <c r="J118" s="252"/>
      <c r="K118" s="145"/>
      <c r="L118" s="145"/>
      <c r="M118" s="145"/>
      <c r="N118" s="145"/>
      <c r="O118" s="145"/>
      <c r="P118" s="146"/>
      <c r="Q118" s="146"/>
      <c r="R118" s="146"/>
      <c r="S118" s="146"/>
      <c r="T118" s="146"/>
    </row>
    <row r="119" spans="1:20" ht="27.75" hidden="1" customHeight="1">
      <c r="A119" s="2"/>
      <c r="B119" s="163"/>
      <c r="C119" s="163"/>
      <c r="D119" s="163"/>
      <c r="E119" s="163"/>
      <c r="F119" s="144"/>
      <c r="G119" s="144"/>
      <c r="H119" s="144"/>
      <c r="I119" s="144"/>
      <c r="J119" s="252"/>
      <c r="K119" s="145"/>
      <c r="L119" s="145"/>
      <c r="M119" s="145"/>
      <c r="N119" s="145"/>
      <c r="O119" s="145"/>
      <c r="P119" s="146"/>
      <c r="Q119" s="146"/>
      <c r="R119" s="146"/>
      <c r="S119" s="146"/>
      <c r="T119" s="146"/>
    </row>
    <row r="120" spans="1:20" ht="27.75" hidden="1" customHeight="1">
      <c r="A120" s="2"/>
      <c r="B120" s="163"/>
      <c r="C120" s="163"/>
      <c r="D120" s="163"/>
      <c r="E120" s="163"/>
      <c r="F120" s="144"/>
      <c r="G120" s="144"/>
      <c r="H120" s="144"/>
      <c r="I120" s="144"/>
      <c r="J120" s="252"/>
      <c r="K120" s="145"/>
      <c r="L120" s="145"/>
      <c r="M120" s="145"/>
      <c r="N120" s="145"/>
      <c r="O120" s="145"/>
      <c r="P120" s="146"/>
      <c r="Q120" s="146"/>
      <c r="R120" s="146"/>
      <c r="S120" s="146"/>
      <c r="T120" s="146"/>
    </row>
    <row r="121" spans="1:20" ht="27.75" hidden="1" customHeight="1">
      <c r="A121" s="2"/>
      <c r="B121" s="2"/>
      <c r="C121" s="2"/>
      <c r="D121" s="2"/>
      <c r="E121" s="2"/>
      <c r="F121" s="144"/>
      <c r="G121" s="144"/>
      <c r="H121" s="144"/>
      <c r="I121" s="144"/>
      <c r="J121" s="252"/>
      <c r="K121" s="145"/>
      <c r="L121" s="145"/>
      <c r="M121" s="145"/>
      <c r="N121" s="145"/>
      <c r="O121" s="145"/>
      <c r="P121" s="146"/>
      <c r="Q121" s="146"/>
      <c r="R121" s="146"/>
      <c r="S121" s="146"/>
      <c r="T121" s="146"/>
    </row>
    <row r="122" spans="1:20" ht="27.75" hidden="1" customHeight="1">
      <c r="A122" s="2"/>
      <c r="B122" s="2"/>
      <c r="C122" s="2"/>
      <c r="D122" s="2"/>
      <c r="E122" s="2"/>
      <c r="F122" s="144"/>
      <c r="G122" s="144"/>
      <c r="H122" s="144"/>
      <c r="I122" s="144"/>
      <c r="J122" s="252"/>
      <c r="K122" s="145"/>
      <c r="L122" s="145"/>
      <c r="M122" s="145"/>
      <c r="N122" s="145"/>
      <c r="O122" s="145"/>
      <c r="P122" s="146"/>
      <c r="Q122" s="146"/>
      <c r="R122" s="146"/>
      <c r="S122" s="146"/>
      <c r="T122" s="146"/>
    </row>
    <row r="123" spans="1:20" ht="27.75" hidden="1" customHeight="1">
      <c r="A123" s="2"/>
      <c r="B123" s="2"/>
      <c r="C123" s="2"/>
      <c r="D123" s="2"/>
      <c r="E123" s="2"/>
      <c r="F123" s="144"/>
      <c r="G123" s="144"/>
      <c r="H123" s="144"/>
      <c r="I123" s="144"/>
      <c r="J123" s="252"/>
      <c r="K123" s="145"/>
      <c r="L123" s="145"/>
      <c r="M123" s="145"/>
      <c r="N123" s="145"/>
      <c r="O123" s="145"/>
      <c r="P123" s="146"/>
      <c r="Q123" s="146"/>
      <c r="R123" s="146"/>
      <c r="S123" s="146"/>
      <c r="T123" s="146"/>
    </row>
    <row r="124" spans="1:20" ht="27.75" hidden="1" customHeight="1">
      <c r="A124" s="2"/>
      <c r="B124" s="2"/>
      <c r="C124" s="2"/>
      <c r="D124" s="2"/>
      <c r="E124" s="2"/>
      <c r="F124" s="144"/>
      <c r="G124" s="144"/>
      <c r="H124" s="144"/>
      <c r="I124" s="144"/>
      <c r="J124" s="252"/>
      <c r="K124" s="145"/>
      <c r="L124" s="145"/>
      <c r="M124" s="145"/>
      <c r="N124" s="145"/>
      <c r="O124" s="145"/>
      <c r="P124" s="146"/>
      <c r="Q124" s="146"/>
      <c r="R124" s="146"/>
      <c r="S124" s="146"/>
      <c r="T124" s="146"/>
    </row>
    <row r="125" spans="1:20" ht="27.75" hidden="1" customHeight="1">
      <c r="A125" s="2"/>
      <c r="B125" s="2"/>
      <c r="C125" s="2"/>
      <c r="D125" s="2"/>
      <c r="E125" s="2"/>
      <c r="F125" s="144"/>
      <c r="G125" s="144"/>
      <c r="H125" s="144"/>
      <c r="I125" s="144"/>
      <c r="J125" s="252"/>
      <c r="K125" s="145"/>
      <c r="L125" s="145"/>
      <c r="M125" s="145"/>
      <c r="N125" s="145"/>
      <c r="O125" s="145"/>
      <c r="P125" s="146"/>
      <c r="Q125" s="146"/>
      <c r="R125" s="146"/>
      <c r="S125" s="146"/>
      <c r="T125" s="146"/>
    </row>
    <row r="126" spans="1:20" ht="27.75" hidden="1" customHeight="1">
      <c r="A126" s="2"/>
      <c r="B126" s="2"/>
      <c r="C126" s="2"/>
      <c r="D126" s="2"/>
      <c r="E126" s="2"/>
      <c r="F126" s="144"/>
      <c r="G126" s="144"/>
      <c r="H126" s="144"/>
      <c r="I126" s="144"/>
      <c r="J126" s="252"/>
      <c r="K126" s="145"/>
      <c r="L126" s="145"/>
      <c r="M126" s="145"/>
      <c r="N126" s="145"/>
      <c r="O126" s="145"/>
      <c r="P126" s="146"/>
      <c r="Q126" s="146"/>
      <c r="R126" s="146"/>
      <c r="S126" s="146"/>
      <c r="T126" s="146"/>
    </row>
    <row r="127" spans="1:20" ht="27.75" hidden="1" customHeight="1">
      <c r="A127" s="2"/>
      <c r="B127" s="2"/>
      <c r="C127" s="2"/>
      <c r="D127" s="2"/>
      <c r="E127" s="2"/>
      <c r="F127" s="144"/>
      <c r="G127" s="144"/>
      <c r="H127" s="144"/>
      <c r="I127" s="144"/>
      <c r="J127" s="252"/>
      <c r="K127" s="145"/>
      <c r="L127" s="145"/>
      <c r="M127" s="145"/>
      <c r="N127" s="145"/>
      <c r="O127" s="145"/>
      <c r="P127" s="146"/>
      <c r="Q127" s="146"/>
      <c r="R127" s="146"/>
      <c r="S127" s="146"/>
      <c r="T127" s="146"/>
    </row>
    <row r="128" spans="1:20" ht="27.75" hidden="1" customHeight="1">
      <c r="A128" s="2"/>
      <c r="B128" s="2"/>
      <c r="C128" s="2"/>
      <c r="D128" s="2"/>
      <c r="E128" s="2"/>
      <c r="F128" s="144"/>
      <c r="G128" s="144"/>
      <c r="H128" s="144"/>
      <c r="I128" s="144"/>
      <c r="J128" s="252"/>
      <c r="K128" s="145"/>
      <c r="L128" s="145"/>
      <c r="M128" s="145"/>
      <c r="N128" s="145"/>
      <c r="O128" s="145"/>
      <c r="P128" s="146"/>
      <c r="Q128" s="146"/>
      <c r="R128" s="146"/>
      <c r="S128" s="146"/>
      <c r="T128" s="146"/>
    </row>
    <row r="129" spans="1:20" ht="27.75" hidden="1" customHeight="1">
      <c r="A129" s="2"/>
      <c r="B129" s="2"/>
      <c r="C129" s="2"/>
      <c r="D129" s="2"/>
      <c r="E129" s="2"/>
      <c r="F129" s="144"/>
      <c r="G129" s="144"/>
      <c r="H129" s="144"/>
      <c r="I129" s="144"/>
      <c r="J129" s="252"/>
      <c r="K129" s="145"/>
      <c r="L129" s="145"/>
      <c r="M129" s="145"/>
      <c r="N129" s="145"/>
      <c r="O129" s="145"/>
      <c r="P129" s="146"/>
      <c r="Q129" s="146"/>
      <c r="R129" s="146"/>
      <c r="S129" s="146"/>
      <c r="T129" s="146"/>
    </row>
    <row r="130" spans="1:20" ht="27.75" hidden="1" customHeight="1">
      <c r="A130" s="2"/>
      <c r="B130" s="2"/>
      <c r="C130" s="2"/>
      <c r="D130" s="2"/>
      <c r="E130" s="2"/>
      <c r="F130" s="144"/>
      <c r="G130" s="144"/>
      <c r="H130" s="144"/>
      <c r="I130" s="144"/>
      <c r="J130" s="252"/>
      <c r="K130" s="145"/>
      <c r="L130" s="145"/>
      <c r="M130" s="145"/>
      <c r="N130" s="145"/>
      <c r="O130" s="145"/>
      <c r="P130" s="146"/>
      <c r="Q130" s="146"/>
      <c r="R130" s="146"/>
      <c r="S130" s="146"/>
      <c r="T130" s="146"/>
    </row>
    <row r="131" spans="1:20" ht="27.75" hidden="1" customHeight="1">
      <c r="A131" s="2"/>
      <c r="B131" s="2"/>
      <c r="C131" s="2"/>
      <c r="D131" s="2"/>
      <c r="E131" s="2"/>
      <c r="F131" s="144"/>
      <c r="G131" s="144"/>
      <c r="H131" s="144"/>
      <c r="I131" s="144"/>
      <c r="J131" s="252"/>
      <c r="K131" s="145"/>
      <c r="L131" s="145"/>
      <c r="M131" s="145"/>
      <c r="N131" s="145"/>
      <c r="O131" s="145"/>
      <c r="P131" s="146"/>
      <c r="Q131" s="146"/>
      <c r="R131" s="146"/>
      <c r="S131" s="146"/>
      <c r="T131" s="146"/>
    </row>
    <row r="132" spans="1:20" ht="27.75" hidden="1" customHeight="1">
      <c r="A132" s="2"/>
      <c r="B132" s="2"/>
      <c r="C132" s="2"/>
      <c r="D132" s="2"/>
      <c r="E132" s="2"/>
      <c r="F132" s="144"/>
      <c r="G132" s="144"/>
      <c r="H132" s="144"/>
      <c r="I132" s="144"/>
      <c r="J132" s="252"/>
      <c r="K132" s="145"/>
      <c r="L132" s="145"/>
      <c r="M132" s="145"/>
      <c r="N132" s="145"/>
      <c r="O132" s="145"/>
      <c r="P132" s="146"/>
      <c r="Q132" s="146"/>
      <c r="R132" s="146"/>
      <c r="S132" s="146"/>
      <c r="T132" s="146"/>
    </row>
    <row r="133" spans="1:20" ht="27.75" hidden="1" customHeight="1">
      <c r="A133" s="2"/>
      <c r="B133" s="2"/>
      <c r="C133" s="2"/>
      <c r="D133" s="2"/>
      <c r="E133" s="2"/>
      <c r="F133" s="144"/>
      <c r="G133" s="144"/>
      <c r="H133" s="144"/>
      <c r="I133" s="144"/>
      <c r="J133" s="252"/>
      <c r="K133" s="145"/>
      <c r="L133" s="145"/>
      <c r="M133" s="145"/>
      <c r="N133" s="145"/>
      <c r="O133" s="145"/>
      <c r="P133" s="146"/>
      <c r="Q133" s="146"/>
      <c r="R133" s="146"/>
      <c r="S133" s="146"/>
      <c r="T133" s="146"/>
    </row>
    <row r="134" spans="1:20" ht="27.75" hidden="1" customHeight="1">
      <c r="A134" s="2"/>
      <c r="B134" s="2"/>
      <c r="C134" s="2"/>
      <c r="D134" s="2"/>
      <c r="E134" s="2"/>
      <c r="F134" s="144"/>
      <c r="G134" s="144"/>
      <c r="H134" s="144"/>
      <c r="I134" s="144"/>
      <c r="J134" s="252"/>
      <c r="K134" s="145"/>
      <c r="L134" s="145"/>
      <c r="M134" s="145"/>
      <c r="N134" s="145"/>
      <c r="O134" s="145"/>
      <c r="P134" s="146"/>
      <c r="Q134" s="146"/>
      <c r="R134" s="146"/>
      <c r="S134" s="146"/>
      <c r="T134" s="146"/>
    </row>
    <row r="135" spans="1:20" ht="27.75" hidden="1" customHeight="1">
      <c r="A135" s="2"/>
      <c r="B135" s="2"/>
      <c r="C135" s="2"/>
      <c r="D135" s="2"/>
      <c r="E135" s="2"/>
      <c r="F135" s="144"/>
      <c r="G135" s="144"/>
      <c r="H135" s="144"/>
      <c r="I135" s="144"/>
      <c r="J135" s="252"/>
      <c r="K135" s="145"/>
      <c r="L135" s="145"/>
      <c r="M135" s="145"/>
      <c r="N135" s="145"/>
      <c r="O135" s="145"/>
      <c r="P135" s="146"/>
      <c r="Q135" s="146"/>
      <c r="R135" s="146"/>
      <c r="S135" s="146"/>
      <c r="T135" s="146"/>
    </row>
    <row r="136" spans="1:20" ht="27.75" hidden="1" customHeight="1">
      <c r="A136" s="2"/>
      <c r="B136" s="2"/>
      <c r="C136" s="2"/>
      <c r="D136" s="2"/>
      <c r="E136" s="2"/>
      <c r="F136" s="144"/>
      <c r="G136" s="144"/>
      <c r="H136" s="144"/>
      <c r="I136" s="144"/>
      <c r="J136" s="252"/>
      <c r="K136" s="145"/>
      <c r="L136" s="145"/>
      <c r="M136" s="145"/>
      <c r="N136" s="145"/>
      <c r="O136" s="145"/>
      <c r="P136" s="146"/>
      <c r="Q136" s="146"/>
      <c r="R136" s="146"/>
      <c r="S136" s="146"/>
      <c r="T136" s="146"/>
    </row>
    <row r="137" spans="1:20" ht="27.75" hidden="1" customHeight="1">
      <c r="A137" s="2"/>
      <c r="B137" s="2"/>
      <c r="C137" s="2"/>
      <c r="D137" s="2"/>
      <c r="E137" s="2"/>
      <c r="F137" s="144"/>
      <c r="G137" s="144"/>
      <c r="H137" s="144"/>
      <c r="I137" s="144"/>
      <c r="J137" s="252"/>
      <c r="K137" s="145"/>
      <c r="L137" s="145"/>
      <c r="M137" s="145"/>
      <c r="N137" s="145"/>
      <c r="O137" s="145"/>
      <c r="P137" s="146"/>
      <c r="Q137" s="146"/>
      <c r="R137" s="146"/>
      <c r="S137" s="146"/>
      <c r="T137" s="146"/>
    </row>
    <row r="138" spans="1:20" ht="27.75" hidden="1" customHeight="1">
      <c r="A138" s="2"/>
      <c r="B138" s="2"/>
      <c r="C138" s="2"/>
      <c r="D138" s="2"/>
      <c r="E138" s="2"/>
      <c r="F138" s="144"/>
      <c r="G138" s="144"/>
      <c r="H138" s="144"/>
      <c r="I138" s="144"/>
      <c r="J138" s="252"/>
      <c r="K138" s="145"/>
      <c r="L138" s="145"/>
      <c r="M138" s="145"/>
      <c r="N138" s="145"/>
      <c r="O138" s="145"/>
      <c r="P138" s="146"/>
      <c r="Q138" s="146"/>
      <c r="R138" s="146"/>
      <c r="S138" s="146"/>
      <c r="T138" s="146"/>
    </row>
    <row r="139" spans="1:20" ht="27.75" hidden="1" customHeight="1">
      <c r="A139" s="2"/>
      <c r="B139" s="2"/>
      <c r="C139" s="2"/>
      <c r="D139" s="2"/>
      <c r="E139" s="2"/>
      <c r="F139" s="144"/>
      <c r="G139" s="144"/>
      <c r="H139" s="144"/>
      <c r="I139" s="144"/>
      <c r="J139" s="252"/>
      <c r="K139" s="145"/>
      <c r="L139" s="145"/>
      <c r="M139" s="145"/>
      <c r="N139" s="145"/>
      <c r="O139" s="145"/>
      <c r="P139" s="146"/>
      <c r="Q139" s="146"/>
      <c r="R139" s="146"/>
      <c r="S139" s="146"/>
      <c r="T139" s="146"/>
    </row>
    <row r="140" spans="1:20" ht="27.75" hidden="1" customHeight="1">
      <c r="A140" s="2"/>
      <c r="B140" s="2"/>
      <c r="C140" s="2"/>
      <c r="D140" s="2"/>
      <c r="E140" s="2"/>
      <c r="F140" s="144"/>
      <c r="G140" s="144"/>
      <c r="H140" s="144"/>
      <c r="I140" s="144"/>
      <c r="J140" s="252"/>
      <c r="K140" s="145"/>
      <c r="L140" s="145"/>
      <c r="M140" s="145"/>
      <c r="N140" s="145"/>
      <c r="O140" s="145"/>
      <c r="P140" s="146"/>
      <c r="Q140" s="146"/>
      <c r="R140" s="146"/>
      <c r="S140" s="146"/>
      <c r="T140" s="146"/>
    </row>
    <row r="141" spans="1:20" ht="27.75" hidden="1" customHeight="1">
      <c r="A141" s="2"/>
      <c r="B141" s="2"/>
      <c r="C141" s="2"/>
      <c r="D141" s="2"/>
      <c r="E141" s="2"/>
      <c r="F141" s="144"/>
      <c r="G141" s="144"/>
      <c r="H141" s="144"/>
      <c r="I141" s="144"/>
      <c r="J141" s="252"/>
      <c r="K141" s="145"/>
      <c r="L141" s="145"/>
      <c r="M141" s="145"/>
      <c r="N141" s="145"/>
      <c r="O141" s="145"/>
      <c r="P141" s="146"/>
      <c r="Q141" s="146"/>
      <c r="R141" s="146"/>
      <c r="S141" s="146"/>
      <c r="T141" s="146"/>
    </row>
    <row r="142" spans="1:20" ht="27.75" hidden="1" customHeight="1">
      <c r="A142" s="2"/>
      <c r="B142" s="2"/>
      <c r="C142" s="2"/>
      <c r="D142" s="2"/>
      <c r="E142" s="2"/>
      <c r="F142" s="144"/>
      <c r="G142" s="144"/>
      <c r="H142" s="144"/>
      <c r="I142" s="144"/>
      <c r="J142" s="252"/>
      <c r="K142" s="145"/>
      <c r="L142" s="145"/>
      <c r="M142" s="145"/>
      <c r="N142" s="145"/>
      <c r="O142" s="145"/>
      <c r="P142" s="146"/>
      <c r="Q142" s="146"/>
      <c r="R142" s="146"/>
      <c r="S142" s="146"/>
      <c r="T142" s="146"/>
    </row>
    <row r="143" spans="1:20" ht="27.75" hidden="1" customHeight="1">
      <c r="A143" s="2"/>
      <c r="B143" s="2"/>
      <c r="C143" s="2"/>
      <c r="D143" s="2"/>
      <c r="E143" s="2"/>
      <c r="F143" s="144"/>
      <c r="G143" s="144"/>
      <c r="H143" s="144"/>
      <c r="I143" s="144"/>
      <c r="J143" s="252"/>
      <c r="K143" s="145"/>
      <c r="L143" s="145"/>
      <c r="M143" s="145"/>
      <c r="N143" s="145"/>
      <c r="O143" s="145"/>
      <c r="P143" s="146"/>
      <c r="Q143" s="146"/>
      <c r="R143" s="146"/>
      <c r="S143" s="146"/>
      <c r="T143" s="146"/>
    </row>
    <row r="144" spans="1:20" ht="27.75" hidden="1" customHeight="1">
      <c r="A144" s="2"/>
      <c r="B144" s="2"/>
      <c r="C144" s="2"/>
      <c r="D144" s="2"/>
      <c r="E144" s="2"/>
      <c r="F144" s="144"/>
      <c r="G144" s="144"/>
      <c r="H144" s="144"/>
      <c r="I144" s="144"/>
      <c r="J144" s="252"/>
      <c r="K144" s="145"/>
      <c r="L144" s="145"/>
      <c r="M144" s="145"/>
      <c r="N144" s="145"/>
      <c r="O144" s="145"/>
      <c r="P144" s="146"/>
      <c r="Q144" s="146"/>
      <c r="R144" s="146"/>
      <c r="S144" s="146"/>
      <c r="T144" s="146"/>
    </row>
    <row r="145" spans="1:20" ht="27.75" hidden="1" customHeight="1">
      <c r="A145" s="2"/>
      <c r="B145" s="2"/>
      <c r="C145" s="2"/>
      <c r="D145" s="2"/>
      <c r="E145" s="2"/>
      <c r="F145" s="144"/>
      <c r="G145" s="144"/>
      <c r="H145" s="144"/>
      <c r="I145" s="144"/>
      <c r="J145" s="252"/>
      <c r="K145" s="145"/>
      <c r="L145" s="145"/>
      <c r="M145" s="145"/>
      <c r="N145" s="145"/>
      <c r="O145" s="145"/>
      <c r="P145" s="146"/>
      <c r="Q145" s="146"/>
      <c r="R145" s="146"/>
      <c r="S145" s="146"/>
      <c r="T145" s="146"/>
    </row>
    <row r="146" spans="1:20" ht="27.75" hidden="1" customHeight="1">
      <c r="A146" s="2"/>
      <c r="B146" s="2"/>
      <c r="C146" s="2"/>
      <c r="D146" s="2"/>
      <c r="E146" s="2"/>
      <c r="F146" s="144"/>
      <c r="G146" s="144"/>
      <c r="H146" s="144"/>
      <c r="I146" s="144"/>
      <c r="J146" s="252"/>
      <c r="K146" s="145"/>
      <c r="L146" s="145"/>
      <c r="M146" s="145"/>
      <c r="N146" s="145"/>
      <c r="O146" s="145"/>
      <c r="P146" s="146"/>
      <c r="Q146" s="146"/>
      <c r="R146" s="146"/>
      <c r="S146" s="146"/>
      <c r="T146" s="146"/>
    </row>
    <row r="147" spans="1:20" ht="27.75" hidden="1" customHeight="1">
      <c r="A147" s="2"/>
      <c r="B147" s="2"/>
      <c r="C147" s="2"/>
      <c r="D147" s="2"/>
      <c r="E147" s="2"/>
      <c r="F147" s="144"/>
      <c r="G147" s="144"/>
      <c r="H147" s="144"/>
      <c r="I147" s="144"/>
      <c r="J147" s="252"/>
      <c r="K147" s="145"/>
      <c r="L147" s="145"/>
      <c r="M147" s="145"/>
      <c r="N147" s="145"/>
      <c r="O147" s="145"/>
      <c r="P147" s="146"/>
      <c r="Q147" s="146"/>
      <c r="R147" s="146"/>
      <c r="S147" s="146"/>
      <c r="T147" s="146"/>
    </row>
    <row r="148" spans="1:20" ht="27.75" hidden="1" customHeight="1">
      <c r="A148" s="2"/>
      <c r="B148" s="2"/>
      <c r="C148" s="2"/>
      <c r="D148" s="2"/>
      <c r="E148" s="2"/>
      <c r="F148" s="144"/>
      <c r="G148" s="144"/>
      <c r="H148" s="144"/>
      <c r="I148" s="144"/>
      <c r="J148" s="252"/>
      <c r="K148" s="145"/>
      <c r="L148" s="145"/>
      <c r="M148" s="145"/>
      <c r="N148" s="145"/>
      <c r="O148" s="145"/>
      <c r="P148" s="146"/>
      <c r="Q148" s="146"/>
      <c r="R148" s="146"/>
      <c r="S148" s="146"/>
      <c r="T148" s="146"/>
    </row>
    <row r="149" spans="1:20" ht="27.75" hidden="1" customHeight="1">
      <c r="A149" s="2"/>
      <c r="B149" s="2"/>
      <c r="C149" s="2"/>
      <c r="D149" s="2"/>
      <c r="E149" s="2"/>
      <c r="F149" s="144"/>
      <c r="G149" s="144"/>
      <c r="H149" s="144"/>
      <c r="I149" s="144"/>
      <c r="J149" s="252"/>
      <c r="K149" s="145"/>
      <c r="L149" s="145"/>
      <c r="M149" s="145"/>
      <c r="N149" s="145"/>
      <c r="O149" s="145"/>
      <c r="P149" s="146"/>
      <c r="Q149" s="146"/>
      <c r="R149" s="146"/>
      <c r="S149" s="146"/>
      <c r="T149" s="146"/>
    </row>
    <row r="150" spans="1:20" ht="27.75" hidden="1" customHeight="1">
      <c r="A150" s="2"/>
      <c r="B150" s="2"/>
      <c r="C150" s="2"/>
      <c r="D150" s="2"/>
      <c r="E150" s="2"/>
      <c r="F150" s="144"/>
      <c r="G150" s="144"/>
      <c r="H150" s="144"/>
      <c r="I150" s="144"/>
      <c r="J150" s="252"/>
      <c r="K150" s="145"/>
      <c r="L150" s="145"/>
      <c r="M150" s="145"/>
      <c r="N150" s="145"/>
      <c r="O150" s="145"/>
      <c r="P150" s="146"/>
      <c r="Q150" s="146"/>
      <c r="R150" s="146"/>
      <c r="S150" s="146"/>
      <c r="T150" s="146"/>
    </row>
  </sheetData>
  <sheetProtection sheet="1" objects="1" scenarios="1"/>
  <mergeCells count="1">
    <mergeCell ref="B1:T1"/>
  </mergeCells>
  <pageMargins left="0.25" right="0.25" top="0.75" bottom="0.75" header="0.3" footer="0.3"/>
  <pageSetup paperSize="9" fitToHeight="0" orientation="landscape"/>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57FF966-6509-45DD-92A3-B7BB557D7E3D}">
  <sheetPr>
    <tabColor rgb="FFFFC000"/>
  </sheetPr>
  <dimension ref="A1:AL136"/>
  <sheetViews>
    <sheetView workbookViewId="0">
      <pane ySplit="2" topLeftCell="B3" activePane="bottomLeft" state="frozen"/>
      <selection pane="bottomLeft" activeCell="C11" sqref="C11"/>
    </sheetView>
  </sheetViews>
  <sheetFormatPr defaultColWidth="9.140625" defaultRowHeight="24.75" customHeight="1" zeroHeight="1"/>
  <cols>
    <col min="1" max="1" width="10" style="7" customWidth="1"/>
    <col min="2" max="2" width="30.5703125" style="7" customWidth="1"/>
    <col min="3" max="3" width="36.140625" style="7" customWidth="1"/>
    <col min="4" max="4" width="9.28515625" style="7" customWidth="1"/>
    <col min="5" max="5" width="8.5703125" style="7" customWidth="1"/>
    <col min="6" max="6" width="8" style="7" customWidth="1"/>
    <col min="7" max="7" width="10.140625" style="7" customWidth="1"/>
    <col min="8" max="8" width="15.7109375" style="7" customWidth="1"/>
    <col min="9" max="9" width="16.42578125" style="7" customWidth="1"/>
    <col min="10" max="10" width="20.85546875" style="7" customWidth="1"/>
    <col min="11" max="11" width="11.85546875" style="7" customWidth="1"/>
    <col min="12" max="12" width="12.5703125" style="7" customWidth="1"/>
    <col min="13" max="13" width="21.7109375" style="7" customWidth="1"/>
    <col min="14" max="26" width="9.140625" style="7" customWidth="1"/>
    <col min="27" max="27" width="21.140625" style="7" customWidth="1"/>
    <col min="28" max="28" width="18.85546875" style="7" customWidth="1"/>
    <col min="29" max="29" width="16.85546875" style="7" customWidth="1"/>
    <col min="30" max="30" width="17.7109375" style="7" customWidth="1"/>
    <col min="31" max="31" width="14.5703125" style="7" customWidth="1"/>
    <col min="32" max="32" width="14.42578125" style="7" customWidth="1"/>
    <col min="33" max="33" width="20.85546875" style="7" customWidth="1"/>
    <col min="34" max="34" width="22.140625" style="7" customWidth="1"/>
    <col min="35" max="35" width="17" style="7" customWidth="1"/>
    <col min="36" max="36" width="9.7109375" style="7" customWidth="1"/>
    <col min="37" max="38" width="11.42578125" style="7" customWidth="1"/>
    <col min="39" max="39" width="9.140625" style="7" customWidth="1"/>
    <col min="40" max="16384" width="9.140625" style="7"/>
  </cols>
  <sheetData>
    <row r="1" spans="1:38" ht="24.75" customHeight="1">
      <c r="A1" s="325" t="s">
        <v>61</v>
      </c>
      <c r="B1" s="326"/>
      <c r="C1" s="326"/>
      <c r="D1" s="326"/>
      <c r="E1" s="326"/>
      <c r="F1" s="326"/>
      <c r="G1" s="326"/>
      <c r="H1" s="326"/>
      <c r="I1" s="326"/>
      <c r="J1" s="326"/>
      <c r="K1" s="326"/>
      <c r="L1" s="326"/>
      <c r="M1" s="326"/>
      <c r="N1" s="24"/>
      <c r="O1" s="24"/>
      <c r="P1" s="24"/>
      <c r="Q1" s="24"/>
      <c r="R1" s="24"/>
      <c r="S1" s="24"/>
      <c r="T1" s="24"/>
      <c r="U1" s="24"/>
      <c r="V1" s="24"/>
      <c r="W1" s="24"/>
      <c r="X1" s="24"/>
      <c r="Y1" s="24"/>
      <c r="Z1" s="24"/>
      <c r="AA1" s="24"/>
      <c r="AB1" s="24"/>
      <c r="AC1" s="24"/>
      <c r="AD1" s="24"/>
      <c r="AE1" s="24"/>
      <c r="AF1" s="24"/>
      <c r="AG1" s="24"/>
      <c r="AH1" s="24"/>
      <c r="AI1" s="24"/>
      <c r="AJ1" s="24"/>
      <c r="AK1" s="24"/>
      <c r="AL1" s="24"/>
    </row>
    <row r="2" spans="1:38" ht="24.75" customHeight="1">
      <c r="A2" s="37" t="s">
        <v>62</v>
      </c>
      <c r="B2" s="37" t="s">
        <v>45</v>
      </c>
      <c r="C2" s="37" t="s">
        <v>63</v>
      </c>
      <c r="D2" s="36" t="s">
        <v>64</v>
      </c>
      <c r="E2" s="37" t="s">
        <v>65</v>
      </c>
      <c r="F2" s="35" t="s">
        <v>66</v>
      </c>
      <c r="G2" s="37" t="s">
        <v>67</v>
      </c>
      <c r="H2" s="37" t="s">
        <v>68</v>
      </c>
      <c r="I2" s="37" t="s">
        <v>69</v>
      </c>
      <c r="J2" s="38" t="s">
        <v>70</v>
      </c>
      <c r="K2" s="37" t="s">
        <v>71</v>
      </c>
      <c r="L2" s="37" t="s">
        <v>72</v>
      </c>
      <c r="M2" s="39" t="s">
        <v>73</v>
      </c>
      <c r="N2" s="24"/>
      <c r="O2" s="24"/>
      <c r="P2" s="24"/>
      <c r="Q2" s="24"/>
      <c r="R2" s="24"/>
      <c r="S2" s="24"/>
      <c r="T2" s="24"/>
      <c r="U2" s="24"/>
      <c r="V2" s="24"/>
      <c r="W2" s="24"/>
      <c r="X2" s="24"/>
      <c r="Y2" s="24"/>
      <c r="Z2" s="24"/>
      <c r="AA2" s="24" t="s">
        <v>45</v>
      </c>
      <c r="AB2" s="24" t="s">
        <v>29</v>
      </c>
      <c r="AC2" s="24" t="s">
        <v>64</v>
      </c>
      <c r="AD2" s="18" t="s">
        <v>65</v>
      </c>
      <c r="AE2" s="24" t="s">
        <v>66</v>
      </c>
      <c r="AF2" s="18" t="s">
        <v>74</v>
      </c>
      <c r="AG2" s="18" t="s">
        <v>68</v>
      </c>
      <c r="AH2" s="18" t="s">
        <v>69</v>
      </c>
      <c r="AI2" s="18" t="s">
        <v>70</v>
      </c>
      <c r="AJ2" s="24" t="s">
        <v>71</v>
      </c>
      <c r="AK2" s="18" t="s">
        <v>75</v>
      </c>
      <c r="AL2" s="18" t="s">
        <v>73</v>
      </c>
    </row>
    <row r="3" spans="1:38" ht="24.75" customHeight="1">
      <c r="A3" s="58" t="str">
        <f>IF(B3="", "", ROW()-2)</f>
        <v/>
      </c>
      <c r="B3" s="59" t="str">
        <f>IF(REGISTRATION!B8="", "", REGISTRATION!B8)</f>
        <v/>
      </c>
      <c r="C3" s="59" t="str">
        <f>IF(B3="", "", _xlfn.XLOOKUP(B3, REGISTRATION!B:B, REGISTRATION!C:C, ""))</f>
        <v/>
      </c>
      <c r="D3" s="55">
        <f>IFERROR(INDEX('DAY 1 SCORES'!$E$4:$E$123, MATCH(B3, 'DAY 1 SCORES'!$B$4:$B$123, 0)), "")</f>
        <v>0</v>
      </c>
      <c r="E3" s="55">
        <f>SUMIF('DAY 1 SCORES'!$B$4:$B$123, B3, 'DAY 1 SCORES'!$F$4:$F$123)</f>
        <v>0</v>
      </c>
      <c r="F3" s="56">
        <f>IFERROR(INDEX('DAY 2 SCORES'!$E$4:$E$123, MATCH(B3, 'DAY 2 SCORES'!$B$4:$B$123, 0)), "")</f>
        <v>0</v>
      </c>
      <c r="G3" s="56">
        <f>SUMIF('DAY 2 SCORES'!$B$4:$B$123, B3, 'DAY 2 SCORES'!$F$4:$F$123)</f>
        <v>0</v>
      </c>
      <c r="H3" s="55">
        <f>SUMIF('DAY 1 SCORES'!$B$4:$B$123, B3, 'DAY 1 SCORES'!$D$4:$D$123)</f>
        <v>0</v>
      </c>
      <c r="I3" s="55">
        <f>SUMIF('DAY 2 SCORES'!$B$4:$B$123, B3, 'DAY 2 SCORES'!$D$4:$D$123)</f>
        <v>0</v>
      </c>
      <c r="J3" s="55">
        <f>H3+I3</f>
        <v>0</v>
      </c>
      <c r="K3" s="56">
        <f>SUMIF('DAY 1 SCORES'!$B$4:$B$123, B3, 'DAY 1 SCORES'!$H$4:$H$123)</f>
        <v>14400</v>
      </c>
      <c r="L3" s="56">
        <f>SUMIF('DAY 2 SCORES'!$B$4:$B$123, B3, 'DAY 2 SCORES'!$H$4:$H$123)</f>
        <v>14400</v>
      </c>
      <c r="M3" s="54">
        <f>IF(OR(B3="", B3=0), 999, SUM(K3:L3))</f>
        <v>999</v>
      </c>
      <c r="N3" s="24"/>
      <c r="O3" s="24"/>
      <c r="P3" s="24"/>
      <c r="Q3" s="24"/>
      <c r="R3" s="24"/>
      <c r="S3" s="24"/>
      <c r="T3" s="24"/>
      <c r="U3" s="24"/>
      <c r="V3" s="24"/>
      <c r="W3" s="24"/>
      <c r="X3" s="24"/>
      <c r="Y3" s="24"/>
      <c r="Z3" s="24"/>
      <c r="AA3" s="24" t="str">
        <f>REGISTRATION!B2</f>
        <v/>
      </c>
      <c r="AB3" s="24" t="str">
        <f>REGISTRATION!C2</f>
        <v/>
      </c>
      <c r="AC3" s="24">
        <f>'DAY 1 SCORES'!E4</f>
        <v>0</v>
      </c>
      <c r="AD3" s="24">
        <f>SUMIF('DAY 1 SCORES'!$B$4:$B$123, AA3, 'DAY 1 SCORES'!$F$4:$F$123)</f>
        <v>0</v>
      </c>
      <c r="AE3" s="24">
        <f>IFERROR(INDEX('DAY 2 SCORES'!$E$4:$E$123, MATCH(AA3, 'DAY 2 SCORES'!$B$4:$B$123, 0)), "")</f>
        <v>0</v>
      </c>
      <c r="AF3" s="24">
        <f>SUMIF('DAY 2 SCORES'!$B$4:$B$123, AA3, 'DAY 2 SCORES'!$F$4:$F$123)</f>
        <v>0</v>
      </c>
      <c r="AG3" s="24">
        <f>SUMIF('DAY 1 SCORES'!$B$4:$B$123, AA3, 'DAY 1 SCORES'!$D$4:$D$123)</f>
        <v>0</v>
      </c>
      <c r="AH3" s="24">
        <f>SUMIF('DAY 2 SCORES'!$B$4:$B$123, AA3, 'DAY 2 SCORES'!$D$4:$D$123)</f>
        <v>0</v>
      </c>
      <c r="AI3" s="24">
        <f>SUM(AG3:AH3)</f>
        <v>0</v>
      </c>
      <c r="AJ3" s="24">
        <f>SUMIF('DAY 1 SCORES'!$B$4:$B$123, AA3, 'DAY 1 SCORES'!$H$4:$H$123)</f>
        <v>14400</v>
      </c>
      <c r="AK3" s="24">
        <f>SUMIF('DAY 2 SCORES'!$B$4:$B$123, AA3, 'DAY 2 SCORES'!$H$4:$H$123)</f>
        <v>14400</v>
      </c>
      <c r="AL3" s="24">
        <f>SUM(AJ3:AK3)</f>
        <v>28800</v>
      </c>
    </row>
    <row r="4" spans="1:38" ht="24.75" customHeight="1">
      <c r="A4" s="58" t="str">
        <f>IF(B4="", "", ROW()-2)</f>
        <v/>
      </c>
      <c r="B4" s="59" t="str">
        <f>IF(REGISTRATION!B6="", "", REGISTRATION!B6)</f>
        <v/>
      </c>
      <c r="C4" s="59" t="str">
        <f>IF(B4="", "", _xlfn.XLOOKUP(B4, REGISTRATION!B:B, REGISTRATION!C:C, ""))</f>
        <v/>
      </c>
      <c r="D4" s="55">
        <f>IFERROR(INDEX('DAY 1 SCORES'!$E$4:$E$123, MATCH(B4, 'DAY 1 SCORES'!$B$4:$B$123, 0)), "")</f>
        <v>0</v>
      </c>
      <c r="E4" s="55">
        <f>SUMIF('DAY 1 SCORES'!$B$4:$B$123, B4, 'DAY 1 SCORES'!$F$4:$F$123)</f>
        <v>0</v>
      </c>
      <c r="F4" s="56">
        <f>IFERROR(INDEX('DAY 2 SCORES'!$E$4:$E$123, MATCH(B4, 'DAY 2 SCORES'!$B$4:$B$123, 0)), "")</f>
        <v>0</v>
      </c>
      <c r="G4" s="56">
        <f>SUMIF('DAY 2 SCORES'!$B$4:$B$123, B4, 'DAY 2 SCORES'!$F$4:$F$123)</f>
        <v>0</v>
      </c>
      <c r="H4" s="55">
        <f>SUMIF('DAY 1 SCORES'!$B$4:$B$123, B4, 'DAY 1 SCORES'!$D$4:$D$123)</f>
        <v>0</v>
      </c>
      <c r="I4" s="55">
        <f>SUMIF('DAY 2 SCORES'!$B$4:$B$123, B4, 'DAY 2 SCORES'!$D$4:$D$123)</f>
        <v>0</v>
      </c>
      <c r="J4" s="55">
        <f>H4+I4</f>
        <v>0</v>
      </c>
      <c r="K4" s="56">
        <f>SUMIF('DAY 1 SCORES'!$B$4:$B$123, B4, 'DAY 1 SCORES'!$H$4:$H$123)</f>
        <v>14400</v>
      </c>
      <c r="L4" s="56">
        <f>SUMIF('DAY 2 SCORES'!$B$4:$B$123, B4, 'DAY 2 SCORES'!$H$4:$H$123)</f>
        <v>14400</v>
      </c>
      <c r="M4" s="54">
        <f>IF(OR(B4="", B4=0), 999, SUM(K4:L4))</f>
        <v>999</v>
      </c>
      <c r="N4" s="24"/>
      <c r="O4" s="24"/>
      <c r="P4" s="24"/>
      <c r="Q4" s="24"/>
      <c r="R4" s="24"/>
      <c r="S4" s="24"/>
      <c r="T4" s="24"/>
      <c r="U4" s="24"/>
      <c r="V4" s="24"/>
      <c r="W4" s="24"/>
      <c r="X4" s="24"/>
      <c r="Y4" s="24"/>
      <c r="Z4" s="24"/>
      <c r="AA4" s="24" t="str">
        <f>REGISTRATION!B3</f>
        <v/>
      </c>
      <c r="AB4" s="24" t="str">
        <f>REGISTRATION!C3</f>
        <v/>
      </c>
      <c r="AC4" s="24">
        <f>'DAY 1 SCORES'!E5</f>
        <v>0</v>
      </c>
      <c r="AD4" s="24">
        <f>'DAY 1 SCORES'!F5</f>
        <v>0</v>
      </c>
      <c r="AE4" s="24">
        <f>'DAY 2 SCORES'!E5</f>
        <v>0</v>
      </c>
      <c r="AF4" s="24">
        <f>'DAY 2 SCORES'!F5</f>
        <v>0</v>
      </c>
      <c r="AG4" s="24">
        <f>'DAY 1 SCORES'!G5</f>
        <v>0</v>
      </c>
      <c r="AH4" s="24">
        <f>'DAY 2 SCORES'!G5</f>
        <v>0</v>
      </c>
      <c r="AI4" s="24">
        <f t="shared" ref="AI4:AI67" si="0">SUM(AG4:AH4)</f>
        <v>0</v>
      </c>
      <c r="AJ4" s="24">
        <f>'DAY 1 SCORES'!H5</f>
        <v>120</v>
      </c>
      <c r="AK4" s="24">
        <f>'DAY 2 SCORES'!H5</f>
        <v>120</v>
      </c>
      <c r="AL4" s="24">
        <f t="shared" ref="AL4:AL67" si="1">SUM(AJ4:AK4)</f>
        <v>240</v>
      </c>
    </row>
    <row r="5" spans="1:38" ht="24.75" customHeight="1">
      <c r="A5" s="58" t="str">
        <f>IF(B5="", "", ROW()-2)</f>
        <v/>
      </c>
      <c r="B5" s="59" t="str">
        <f>IF(REGISTRATION!B5="", "", REGISTRATION!B5)</f>
        <v/>
      </c>
      <c r="C5" s="59" t="str">
        <f>IF(B5="", "", _xlfn.XLOOKUP(B5, REGISTRATION!B:B, REGISTRATION!C:C, ""))</f>
        <v/>
      </c>
      <c r="D5" s="55">
        <f>IFERROR(INDEX('DAY 1 SCORES'!$E$4:$E$123, MATCH(B5, 'DAY 1 SCORES'!$B$4:$B$123, 0)), "")</f>
        <v>0</v>
      </c>
      <c r="E5" s="55">
        <f>SUMIF('DAY 1 SCORES'!$B$4:$B$123, B5, 'DAY 1 SCORES'!$F$4:$F$123)</f>
        <v>0</v>
      </c>
      <c r="F5" s="56">
        <f>IFERROR(INDEX('DAY 2 SCORES'!$E$4:$E$123, MATCH(B5, 'DAY 2 SCORES'!$B$4:$B$123, 0)), "")</f>
        <v>0</v>
      </c>
      <c r="G5" s="56">
        <f>SUMIF('DAY 2 SCORES'!$B$4:$B$123, B5, 'DAY 2 SCORES'!$F$4:$F$123)</f>
        <v>0</v>
      </c>
      <c r="H5" s="55">
        <f>SUMIF('DAY 1 SCORES'!$B$4:$B$123, B5, 'DAY 1 SCORES'!$D$4:$D$123)</f>
        <v>0</v>
      </c>
      <c r="I5" s="55">
        <f>SUMIF('DAY 2 SCORES'!$B$4:$B$123, B5, 'DAY 2 SCORES'!$D$4:$D$123)</f>
        <v>0</v>
      </c>
      <c r="J5" s="55">
        <f>H5+I5</f>
        <v>0</v>
      </c>
      <c r="K5" s="56">
        <f>SUMIF('DAY 1 SCORES'!$B$4:$B$123, B5, 'DAY 1 SCORES'!$H$4:$H$123)</f>
        <v>14400</v>
      </c>
      <c r="L5" s="56">
        <f>SUMIF('DAY 2 SCORES'!$B$4:$B$123, B5, 'DAY 2 SCORES'!$H$4:$H$123)</f>
        <v>14400</v>
      </c>
      <c r="M5" s="54">
        <f>IF(OR(B5="", B5=0), 999, SUM(K5:L5))</f>
        <v>999</v>
      </c>
      <c r="N5" s="24"/>
      <c r="O5" s="24"/>
      <c r="P5" s="24"/>
      <c r="Q5" s="24"/>
      <c r="R5" s="24"/>
      <c r="S5" s="24"/>
      <c r="T5" s="24"/>
      <c r="U5" s="24"/>
      <c r="V5" s="24"/>
      <c r="W5" s="24"/>
      <c r="X5" s="24"/>
      <c r="Y5" s="24"/>
      <c r="Z5" s="24"/>
      <c r="AA5" s="24" t="str">
        <f>REGISTRATION!B4</f>
        <v/>
      </c>
      <c r="AB5" s="24" t="str">
        <f>REGISTRATION!C4</f>
        <v/>
      </c>
      <c r="AC5" s="24">
        <f>'DAY 1 SCORES'!E6</f>
        <v>0</v>
      </c>
      <c r="AD5" s="24">
        <f>'DAY 1 SCORES'!F6</f>
        <v>0</v>
      </c>
      <c r="AE5" s="24">
        <f>'DAY 2 SCORES'!E6</f>
        <v>0</v>
      </c>
      <c r="AF5" s="24">
        <f>'DAY 2 SCORES'!F6</f>
        <v>0</v>
      </c>
      <c r="AG5" s="24">
        <f>'DAY 1 SCORES'!G6</f>
        <v>0</v>
      </c>
      <c r="AH5" s="24">
        <f>'DAY 2 SCORES'!G6</f>
        <v>0</v>
      </c>
      <c r="AI5" s="24">
        <f t="shared" si="0"/>
        <v>0</v>
      </c>
      <c r="AJ5" s="24">
        <f>'DAY 1 SCORES'!H6</f>
        <v>120</v>
      </c>
      <c r="AK5" s="24">
        <f>'DAY 2 SCORES'!H6</f>
        <v>120</v>
      </c>
      <c r="AL5" s="24">
        <f t="shared" si="1"/>
        <v>240</v>
      </c>
    </row>
    <row r="6" spans="1:38" ht="24.75" customHeight="1">
      <c r="A6" s="58" t="str">
        <f>IF(B6="", "", ROW()-2)</f>
        <v/>
      </c>
      <c r="B6" s="59" t="str">
        <f>IF(REGISTRATION!B9="", "", REGISTRATION!B9)</f>
        <v/>
      </c>
      <c r="C6" s="59" t="str">
        <f>IF(B6="", "", _xlfn.XLOOKUP(B6, REGISTRATION!B:B, REGISTRATION!C:C, ""))</f>
        <v/>
      </c>
      <c r="D6" s="55">
        <f>IFERROR(INDEX('DAY 1 SCORES'!$E$4:$E$123, MATCH(B6, 'DAY 1 SCORES'!$B$4:$B$123, 0)), "")</f>
        <v>0</v>
      </c>
      <c r="E6" s="55">
        <f>SUMIF('DAY 1 SCORES'!$B$4:$B$123, B6, 'DAY 1 SCORES'!$F$4:$F$123)</f>
        <v>0</v>
      </c>
      <c r="F6" s="56">
        <f>IFERROR(INDEX('DAY 2 SCORES'!$E$4:$E$123, MATCH(B6, 'DAY 2 SCORES'!$B$4:$B$123, 0)), "")</f>
        <v>0</v>
      </c>
      <c r="G6" s="56">
        <f>SUMIF('DAY 2 SCORES'!$B$4:$B$123, B6, 'DAY 2 SCORES'!$F$4:$F$123)</f>
        <v>0</v>
      </c>
      <c r="H6" s="55">
        <f>SUMIF('DAY 1 SCORES'!$B$4:$B$123, B6, 'DAY 1 SCORES'!$D$4:$D$123)</f>
        <v>0</v>
      </c>
      <c r="I6" s="55">
        <f>SUMIF('DAY 2 SCORES'!$B$4:$B$123, B6, 'DAY 2 SCORES'!$D$4:$D$123)</f>
        <v>0</v>
      </c>
      <c r="J6" s="55">
        <f>H6+I6</f>
        <v>0</v>
      </c>
      <c r="K6" s="56">
        <f>SUMIF('DAY 1 SCORES'!$B$4:$B$123, B6, 'DAY 1 SCORES'!$H$4:$H$123)</f>
        <v>14400</v>
      </c>
      <c r="L6" s="56">
        <f>SUMIF('DAY 2 SCORES'!$B$4:$B$123, B6, 'DAY 2 SCORES'!$H$4:$H$123)</f>
        <v>14400</v>
      </c>
      <c r="M6" s="54">
        <f>IF(OR(B6="", B6=0), 999, SUM(K6:L6))</f>
        <v>999</v>
      </c>
      <c r="N6" s="24"/>
      <c r="O6" s="24"/>
      <c r="P6" s="24"/>
      <c r="Q6" s="24"/>
      <c r="R6" s="24"/>
      <c r="S6" s="24"/>
      <c r="T6" s="24"/>
      <c r="U6" s="24"/>
      <c r="V6" s="24"/>
      <c r="W6" s="24"/>
      <c r="X6" s="24"/>
      <c r="Y6" s="24"/>
      <c r="Z6" s="24"/>
      <c r="AA6" s="24" t="str">
        <f>REGISTRATION!B5</f>
        <v/>
      </c>
      <c r="AB6" s="24" t="str">
        <f>REGISTRATION!C5</f>
        <v/>
      </c>
      <c r="AC6" s="24">
        <f>'DAY 1 SCORES'!E7</f>
        <v>0</v>
      </c>
      <c r="AD6" s="24">
        <f>'DAY 1 SCORES'!F7</f>
        <v>0</v>
      </c>
      <c r="AE6" s="24">
        <f>'DAY 2 SCORES'!E7</f>
        <v>0</v>
      </c>
      <c r="AF6" s="24">
        <f>'DAY 2 SCORES'!F7</f>
        <v>0</v>
      </c>
      <c r="AG6" s="24">
        <f>'DAY 1 SCORES'!G7</f>
        <v>0</v>
      </c>
      <c r="AH6" s="24">
        <f>'DAY 2 SCORES'!G7</f>
        <v>0</v>
      </c>
      <c r="AI6" s="24">
        <f t="shared" si="0"/>
        <v>0</v>
      </c>
      <c r="AJ6" s="24">
        <f>'DAY 1 SCORES'!H7</f>
        <v>120</v>
      </c>
      <c r="AK6" s="24">
        <f>'DAY 2 SCORES'!H7</f>
        <v>120</v>
      </c>
      <c r="AL6" s="24">
        <f t="shared" si="1"/>
        <v>240</v>
      </c>
    </row>
    <row r="7" spans="1:38" ht="24.75" customHeight="1">
      <c r="A7" s="58" t="str">
        <f>IF(B7="", "", ROW()-2)</f>
        <v/>
      </c>
      <c r="B7" s="59" t="str">
        <f>IF(REGISTRATION!B3="", "", REGISTRATION!B3)</f>
        <v/>
      </c>
      <c r="C7" s="59" t="str">
        <f>IF(B7="", "", _xlfn.XLOOKUP(B7, REGISTRATION!B:B, REGISTRATION!C:C, ""))</f>
        <v/>
      </c>
      <c r="D7" s="55">
        <f>IFERROR(INDEX('DAY 1 SCORES'!$E$4:$E$123, MATCH(B7, 'DAY 1 SCORES'!$B$4:$B$123, 0)), "")</f>
        <v>0</v>
      </c>
      <c r="E7" s="55">
        <f>SUMIF('DAY 1 SCORES'!$B$4:$B$123, B7, 'DAY 1 SCORES'!$F$4:$F$123)</f>
        <v>0</v>
      </c>
      <c r="F7" s="56">
        <f>IFERROR(INDEX('DAY 2 SCORES'!$E$4:$E$123, MATCH(B7, 'DAY 2 SCORES'!$B$4:$B$123, 0)), "")</f>
        <v>0</v>
      </c>
      <c r="G7" s="56">
        <f>SUMIF('DAY 2 SCORES'!$B$4:$B$123, B7, 'DAY 2 SCORES'!$F$4:$F$123)</f>
        <v>0</v>
      </c>
      <c r="H7" s="55">
        <f>SUMIF('DAY 1 SCORES'!$B$4:$B$123, B7, 'DAY 1 SCORES'!$D$4:$D$123)</f>
        <v>0</v>
      </c>
      <c r="I7" s="55">
        <f>SUMIF('DAY 2 SCORES'!$B$4:$B$123, B7, 'DAY 2 SCORES'!$D$4:$D$123)</f>
        <v>0</v>
      </c>
      <c r="J7" s="55">
        <f>H7+I7</f>
        <v>0</v>
      </c>
      <c r="K7" s="56">
        <f>SUMIF('DAY 1 SCORES'!$B$4:$B$123, B7, 'DAY 1 SCORES'!$H$4:$H$123)</f>
        <v>14400</v>
      </c>
      <c r="L7" s="56">
        <f>SUMIF('DAY 2 SCORES'!$B$4:$B$123, B7, 'DAY 2 SCORES'!$H$4:$H$123)</f>
        <v>14400</v>
      </c>
      <c r="M7" s="54">
        <f>IF(OR(B7="", B7=0), 999, SUM(K7:L7))</f>
        <v>999</v>
      </c>
      <c r="N7" s="24"/>
      <c r="O7" s="24"/>
      <c r="P7" s="24"/>
      <c r="Q7" s="24"/>
      <c r="R7" s="24"/>
      <c r="S7" s="24"/>
      <c r="T7" s="24"/>
      <c r="U7" s="24"/>
      <c r="V7" s="24"/>
      <c r="W7" s="24"/>
      <c r="X7" s="24"/>
      <c r="Y7" s="24"/>
      <c r="Z7" s="24"/>
      <c r="AA7" s="24" t="str">
        <f>REGISTRATION!B6</f>
        <v/>
      </c>
      <c r="AB7" s="24" t="str">
        <f>REGISTRATION!C6</f>
        <v/>
      </c>
      <c r="AC7" s="24">
        <f>'DAY 1 SCORES'!E8</f>
        <v>0</v>
      </c>
      <c r="AD7" s="24">
        <f>'DAY 1 SCORES'!F8</f>
        <v>0</v>
      </c>
      <c r="AE7" s="24">
        <f>'DAY 2 SCORES'!E8</f>
        <v>0</v>
      </c>
      <c r="AF7" s="24">
        <f>'DAY 2 SCORES'!F8</f>
        <v>0</v>
      </c>
      <c r="AG7" s="24">
        <f>'DAY 1 SCORES'!G8</f>
        <v>0</v>
      </c>
      <c r="AH7" s="24">
        <f>'DAY 2 SCORES'!G8</f>
        <v>0</v>
      </c>
      <c r="AI7" s="24">
        <f t="shared" si="0"/>
        <v>0</v>
      </c>
      <c r="AJ7" s="24">
        <f>'DAY 1 SCORES'!H8</f>
        <v>120</v>
      </c>
      <c r="AK7" s="24">
        <f>'DAY 2 SCORES'!H8</f>
        <v>120</v>
      </c>
      <c r="AL7" s="24">
        <f t="shared" si="1"/>
        <v>240</v>
      </c>
    </row>
    <row r="8" spans="1:38" ht="24.75" customHeight="1">
      <c r="A8" s="58" t="str">
        <f>IF(B8="", "", ROW()-2)</f>
        <v/>
      </c>
      <c r="B8" s="59" t="str">
        <f>IF(REGISTRATION!B7="", "", REGISTRATION!B7)</f>
        <v/>
      </c>
      <c r="C8" s="59" t="str">
        <f>IF(B8="", "", _xlfn.XLOOKUP(B8, REGISTRATION!B:B, REGISTRATION!C:C, ""))</f>
        <v/>
      </c>
      <c r="D8" s="55">
        <f>IFERROR(INDEX('DAY 1 SCORES'!$E$4:$E$123, MATCH(B8, 'DAY 1 SCORES'!$B$4:$B$123, 0)), "")</f>
        <v>0</v>
      </c>
      <c r="E8" s="55">
        <f>SUMIF('DAY 1 SCORES'!$B$4:$B$123, B8, 'DAY 1 SCORES'!$F$4:$F$123)</f>
        <v>0</v>
      </c>
      <c r="F8" s="56">
        <f>IFERROR(INDEX('DAY 2 SCORES'!$E$4:$E$123, MATCH(B8, 'DAY 2 SCORES'!$B$4:$B$123, 0)), "")</f>
        <v>0</v>
      </c>
      <c r="G8" s="56">
        <f>SUMIF('DAY 2 SCORES'!$B$4:$B$123, B8, 'DAY 2 SCORES'!$F$4:$F$123)</f>
        <v>0</v>
      </c>
      <c r="H8" s="55">
        <f>SUMIF('DAY 1 SCORES'!$B$4:$B$123, B8, 'DAY 1 SCORES'!$D$4:$D$123)</f>
        <v>0</v>
      </c>
      <c r="I8" s="55">
        <f>SUMIF('DAY 2 SCORES'!$B$4:$B$123, B8, 'DAY 2 SCORES'!$D$4:$D$123)</f>
        <v>0</v>
      </c>
      <c r="J8" s="55">
        <f>H8+I8</f>
        <v>0</v>
      </c>
      <c r="K8" s="56">
        <f>SUMIF('DAY 1 SCORES'!$B$4:$B$123, B8, 'DAY 1 SCORES'!$H$4:$H$123)</f>
        <v>14400</v>
      </c>
      <c r="L8" s="56">
        <f>SUMIF('DAY 2 SCORES'!$B$4:$B$123, B8, 'DAY 2 SCORES'!$H$4:$H$123)</f>
        <v>14400</v>
      </c>
      <c r="M8" s="54">
        <f>IF(OR(B8="", B8=0), 999, SUM(K8:L8))</f>
        <v>999</v>
      </c>
      <c r="N8" s="24"/>
      <c r="O8" s="24"/>
      <c r="P8" s="24"/>
      <c r="Q8" s="24"/>
      <c r="R8" s="24"/>
      <c r="S8" s="24"/>
      <c r="T8" s="24"/>
      <c r="U8" s="24"/>
      <c r="V8" s="24"/>
      <c r="W8" s="24"/>
      <c r="X8" s="24"/>
      <c r="Y8" s="24"/>
      <c r="Z8" s="24"/>
      <c r="AA8" s="24" t="str">
        <f>REGISTRATION!B7</f>
        <v/>
      </c>
      <c r="AB8" s="24" t="str">
        <f>REGISTRATION!C7</f>
        <v/>
      </c>
      <c r="AC8" s="24">
        <f>'DAY 1 SCORES'!E9</f>
        <v>0</v>
      </c>
      <c r="AD8" s="24">
        <f>'DAY 1 SCORES'!F9</f>
        <v>0</v>
      </c>
      <c r="AE8" s="24">
        <f>'DAY 2 SCORES'!E9</f>
        <v>0</v>
      </c>
      <c r="AF8" s="24">
        <f>'DAY 2 SCORES'!F9</f>
        <v>0</v>
      </c>
      <c r="AG8" s="24">
        <f>'DAY 1 SCORES'!G9</f>
        <v>0</v>
      </c>
      <c r="AH8" s="24">
        <f>'DAY 2 SCORES'!G9</f>
        <v>0</v>
      </c>
      <c r="AI8" s="24">
        <f t="shared" si="0"/>
        <v>0</v>
      </c>
      <c r="AJ8" s="24">
        <f>'DAY 1 SCORES'!H9</f>
        <v>120</v>
      </c>
      <c r="AK8" s="24">
        <f>'DAY 2 SCORES'!H9</f>
        <v>120</v>
      </c>
      <c r="AL8" s="24">
        <f t="shared" si="1"/>
        <v>240</v>
      </c>
    </row>
    <row r="9" spans="1:38" ht="24.75" customHeight="1">
      <c r="A9" s="58" t="str">
        <f>IF(B9="", "", ROW()-2)</f>
        <v/>
      </c>
      <c r="B9" s="59" t="str">
        <f>IF(REGISTRATION!B2="", "", REGISTRATION!B2)</f>
        <v/>
      </c>
      <c r="C9" s="59" t="str">
        <f>IF(B9="", "", _xlfn.XLOOKUP(B9, REGISTRATION!B:B, REGISTRATION!C:C, ""))</f>
        <v/>
      </c>
      <c r="D9" s="55">
        <f>IFERROR(INDEX('DAY 1 SCORES'!$E$4:$E$123, MATCH(B9, 'DAY 1 SCORES'!$B$4:$B$123, 0)), "")</f>
        <v>0</v>
      </c>
      <c r="E9" s="55">
        <f>SUMIF('DAY 1 SCORES'!$B$4:$B$123, B9, 'DAY 1 SCORES'!$F$4:$F$123)</f>
        <v>0</v>
      </c>
      <c r="F9" s="56">
        <f>IFERROR(INDEX('DAY 2 SCORES'!$E$4:$E$123, MATCH(B9, 'DAY 2 SCORES'!$B$4:$B$123, 0)), "")</f>
        <v>0</v>
      </c>
      <c r="G9" s="56">
        <f>SUMIF('DAY 2 SCORES'!$B$4:$B$123, B9, 'DAY 2 SCORES'!$F$4:$F$123)</f>
        <v>0</v>
      </c>
      <c r="H9" s="55">
        <f>SUMIF('DAY 1 SCORES'!$B$4:$B$123, B9, 'DAY 1 SCORES'!$D$4:$D$123)</f>
        <v>0</v>
      </c>
      <c r="I9" s="55">
        <f>SUMIF('DAY 2 SCORES'!$B$4:$B$123, B9, 'DAY 2 SCORES'!$D$4:$D$123)</f>
        <v>0</v>
      </c>
      <c r="J9" s="55">
        <f>H9+I9</f>
        <v>0</v>
      </c>
      <c r="K9" s="56">
        <f>SUMIF('DAY 1 SCORES'!$B$4:$B$123, B9, 'DAY 1 SCORES'!$H$4:$H$123)</f>
        <v>14400</v>
      </c>
      <c r="L9" s="56">
        <f>SUMIF('DAY 2 SCORES'!$B$4:$B$123, B9, 'DAY 2 SCORES'!$H$4:$H$123)</f>
        <v>14400</v>
      </c>
      <c r="M9" s="54">
        <f>IF(OR(B9="", B9=0), 999, SUM(K9:L9))</f>
        <v>999</v>
      </c>
      <c r="N9" s="24"/>
      <c r="O9" s="24"/>
      <c r="P9" s="24"/>
      <c r="Q9" s="24"/>
      <c r="R9" s="24"/>
      <c r="S9" s="24"/>
      <c r="T9" s="24"/>
      <c r="U9" s="24"/>
      <c r="V9" s="24"/>
      <c r="W9" s="24"/>
      <c r="X9" s="24"/>
      <c r="Y9" s="24"/>
      <c r="Z9" s="24"/>
      <c r="AA9" s="24" t="str">
        <f>REGISTRATION!B8</f>
        <v/>
      </c>
      <c r="AB9" s="24" t="str">
        <f>REGISTRATION!C8</f>
        <v/>
      </c>
      <c r="AC9" s="24">
        <f>'DAY 1 SCORES'!E10</f>
        <v>0</v>
      </c>
      <c r="AD9" s="24">
        <f>'DAY 1 SCORES'!F10</f>
        <v>0</v>
      </c>
      <c r="AE9" s="24">
        <f>'DAY 2 SCORES'!E10</f>
        <v>0</v>
      </c>
      <c r="AF9" s="24">
        <f>'DAY 2 SCORES'!F10</f>
        <v>0</v>
      </c>
      <c r="AG9" s="24">
        <f>'DAY 1 SCORES'!G10</f>
        <v>0</v>
      </c>
      <c r="AH9" s="24">
        <f>'DAY 2 SCORES'!G10</f>
        <v>0</v>
      </c>
      <c r="AI9" s="24">
        <f t="shared" si="0"/>
        <v>0</v>
      </c>
      <c r="AJ9" s="24">
        <f>'DAY 1 SCORES'!H10</f>
        <v>120</v>
      </c>
      <c r="AK9" s="24">
        <f>'DAY 2 SCORES'!H10</f>
        <v>120</v>
      </c>
      <c r="AL9" s="24">
        <f t="shared" si="1"/>
        <v>240</v>
      </c>
    </row>
    <row r="10" spans="1:38" ht="24.75" customHeight="1">
      <c r="A10" s="58" t="str">
        <f>IF(B10="", "", ROW()-2)</f>
        <v/>
      </c>
      <c r="B10" s="59" t="str">
        <f>IF(REGISTRATION!B4="", "", REGISTRATION!B4)</f>
        <v/>
      </c>
      <c r="C10" s="59" t="str">
        <f>IF(B10="", "", _xlfn.XLOOKUP(B10, REGISTRATION!B:B, REGISTRATION!C:C, ""))</f>
        <v/>
      </c>
      <c r="D10" s="55">
        <f>IFERROR(INDEX('DAY 1 SCORES'!$E$4:$E$123, MATCH(B10, 'DAY 1 SCORES'!$B$4:$B$123, 0)), "")</f>
        <v>0</v>
      </c>
      <c r="E10" s="55">
        <f>SUMIF('DAY 1 SCORES'!$B$4:$B$123, B10, 'DAY 1 SCORES'!$F$4:$F$123)</f>
        <v>0</v>
      </c>
      <c r="F10" s="56">
        <f>IFERROR(INDEX('DAY 2 SCORES'!$E$4:$E$123, MATCH(B10, 'DAY 2 SCORES'!$B$4:$B$123, 0)), "")</f>
        <v>0</v>
      </c>
      <c r="G10" s="56">
        <f>SUMIF('DAY 2 SCORES'!$B$4:$B$123, B10, 'DAY 2 SCORES'!$F$4:$F$123)</f>
        <v>0</v>
      </c>
      <c r="H10" s="55">
        <f>SUMIF('DAY 1 SCORES'!$B$4:$B$123, B10, 'DAY 1 SCORES'!$D$4:$D$123)</f>
        <v>0</v>
      </c>
      <c r="I10" s="55">
        <f>SUMIF('DAY 2 SCORES'!$B$4:$B$123, B10, 'DAY 2 SCORES'!$D$4:$D$123)</f>
        <v>0</v>
      </c>
      <c r="J10" s="55">
        <f>H10+I10</f>
        <v>0</v>
      </c>
      <c r="K10" s="56">
        <f>SUMIF('DAY 1 SCORES'!$B$4:$B$123, B10, 'DAY 1 SCORES'!$H$4:$H$123)</f>
        <v>14400</v>
      </c>
      <c r="L10" s="56">
        <f>SUMIF('DAY 2 SCORES'!$B$4:$B$123, B10, 'DAY 2 SCORES'!$H$4:$H$123)</f>
        <v>14400</v>
      </c>
      <c r="M10" s="54">
        <f>IF(OR(B10="", B10=0), 999, SUM(K10:L10))</f>
        <v>999</v>
      </c>
      <c r="N10" s="24"/>
      <c r="O10" s="24"/>
      <c r="P10" s="24"/>
      <c r="Q10" s="24"/>
      <c r="R10" s="24"/>
      <c r="S10" s="24"/>
      <c r="T10" s="24"/>
      <c r="U10" s="24"/>
      <c r="V10" s="24"/>
      <c r="W10" s="24"/>
      <c r="X10" s="24"/>
      <c r="Y10" s="24"/>
      <c r="Z10" s="24"/>
      <c r="AA10" s="24" t="str">
        <f>REGISTRATION!B9</f>
        <v/>
      </c>
      <c r="AB10" s="24" t="str">
        <f>REGISTRATION!C9</f>
        <v/>
      </c>
      <c r="AC10" s="24">
        <f>'DAY 1 SCORES'!E11</f>
        <v>0</v>
      </c>
      <c r="AD10" s="24">
        <f>'DAY 1 SCORES'!F11</f>
        <v>0</v>
      </c>
      <c r="AE10" s="24">
        <f>'DAY 2 SCORES'!E11</f>
        <v>0</v>
      </c>
      <c r="AF10" s="24">
        <f>'DAY 2 SCORES'!F11</f>
        <v>0</v>
      </c>
      <c r="AG10" s="24">
        <f>'DAY 1 SCORES'!G11</f>
        <v>0</v>
      </c>
      <c r="AH10" s="24">
        <f>'DAY 2 SCORES'!G11</f>
        <v>0</v>
      </c>
      <c r="AI10" s="24">
        <f t="shared" si="0"/>
        <v>0</v>
      </c>
      <c r="AJ10" s="24">
        <f>'DAY 1 SCORES'!H11</f>
        <v>120</v>
      </c>
      <c r="AK10" s="24">
        <f>'DAY 2 SCORES'!H11</f>
        <v>120</v>
      </c>
      <c r="AL10" s="24">
        <f t="shared" si="1"/>
        <v>240</v>
      </c>
    </row>
    <row r="11" spans="1:38" ht="24.75" customHeight="1">
      <c r="A11" s="58" t="str">
        <f>IF(B11="", "", ROW()-2)</f>
        <v/>
      </c>
      <c r="B11" s="59" t="str">
        <f>IF(REGISTRATION!B10="", "", REGISTRATION!B10)</f>
        <v/>
      </c>
      <c r="C11" s="59" t="str">
        <f>IF(B11="", "", _xlfn.XLOOKUP(B11, REGISTRATION!B:B, REGISTRATION!C:C, ""))</f>
        <v/>
      </c>
      <c r="D11" s="55">
        <f>IFERROR(INDEX('DAY 1 SCORES'!$E$4:$E$123, MATCH(B11, 'DAY 1 SCORES'!$B$4:$B$123, 0)), "")</f>
        <v>0</v>
      </c>
      <c r="E11" s="55">
        <f>SUMIF('DAY 1 SCORES'!$B$4:$B$123, B11, 'DAY 1 SCORES'!$F$4:$F$123)</f>
        <v>0</v>
      </c>
      <c r="F11" s="56">
        <f>IFERROR(INDEX('DAY 2 SCORES'!$E$4:$E$123, MATCH(B11, 'DAY 2 SCORES'!$B$4:$B$123, 0)), "")</f>
        <v>0</v>
      </c>
      <c r="G11" s="56">
        <f>SUMIF('DAY 2 SCORES'!$B$4:$B$123, B11, 'DAY 2 SCORES'!$F$4:$F$123)</f>
        <v>0</v>
      </c>
      <c r="H11" s="55">
        <f>SUMIF('DAY 1 SCORES'!$B$4:$B$123, B11, 'DAY 1 SCORES'!$D$4:$D$123)</f>
        <v>0</v>
      </c>
      <c r="I11" s="55">
        <f>SUMIF('DAY 2 SCORES'!$B$4:$B$123, B11, 'DAY 2 SCORES'!$D$4:$D$123)</f>
        <v>0</v>
      </c>
      <c r="J11" s="55">
        <f>H11+I11</f>
        <v>0</v>
      </c>
      <c r="K11" s="56">
        <f>SUMIF('DAY 1 SCORES'!$B$4:$B$123, B11, 'DAY 1 SCORES'!$H$4:$H$123)</f>
        <v>14400</v>
      </c>
      <c r="L11" s="56">
        <f>SUMIF('DAY 2 SCORES'!$B$4:$B$123, B11, 'DAY 2 SCORES'!$H$4:$H$123)</f>
        <v>14400</v>
      </c>
      <c r="M11" s="54">
        <f>IF(OR(B11="", B11=0), 999, SUM(K11:L11))</f>
        <v>999</v>
      </c>
      <c r="N11" s="24"/>
      <c r="O11" s="24"/>
      <c r="P11" s="24"/>
      <c r="Q11" s="24"/>
      <c r="R11" s="24"/>
      <c r="S11" s="24"/>
      <c r="T11" s="24"/>
      <c r="U11" s="24"/>
      <c r="V11" s="24"/>
      <c r="W11" s="24"/>
      <c r="X11" s="24"/>
      <c r="Y11" s="24"/>
      <c r="Z11" s="24"/>
      <c r="AA11" s="24" t="str">
        <f>REGISTRATION!B10</f>
        <v/>
      </c>
      <c r="AB11" s="24" t="str">
        <f>REGISTRATION!C10</f>
        <v/>
      </c>
      <c r="AC11" s="24">
        <f>'DAY 1 SCORES'!E12</f>
        <v>0</v>
      </c>
      <c r="AD11" s="24">
        <f>'DAY 1 SCORES'!F12</f>
        <v>0</v>
      </c>
      <c r="AE11" s="24">
        <f>'DAY 2 SCORES'!E12</f>
        <v>0</v>
      </c>
      <c r="AF11" s="24">
        <f>'DAY 2 SCORES'!F12</f>
        <v>0</v>
      </c>
      <c r="AG11" s="24">
        <f>'DAY 1 SCORES'!G12</f>
        <v>0</v>
      </c>
      <c r="AH11" s="24">
        <f>'DAY 2 SCORES'!G12</f>
        <v>0</v>
      </c>
      <c r="AI11" s="24">
        <f t="shared" si="0"/>
        <v>0</v>
      </c>
      <c r="AJ11" s="24">
        <f>'DAY 1 SCORES'!H12</f>
        <v>120</v>
      </c>
      <c r="AK11" s="24">
        <f>'DAY 2 SCORES'!H12</f>
        <v>120</v>
      </c>
      <c r="AL11" s="24">
        <f t="shared" si="1"/>
        <v>240</v>
      </c>
    </row>
    <row r="12" spans="1:38" ht="24.75" customHeight="1">
      <c r="A12" s="58" t="str">
        <f>IF(B12="", "", ROW()-2)</f>
        <v/>
      </c>
      <c r="B12" s="59" t="str">
        <f>IF(REGISTRATION!B11="", "", REGISTRATION!B11)</f>
        <v/>
      </c>
      <c r="C12" s="59" t="str">
        <f>IF(B12="", "", _xlfn.XLOOKUP(B12, REGISTRATION!B:B, REGISTRATION!C:C, ""))</f>
        <v/>
      </c>
      <c r="D12" s="55">
        <f>IFERROR(INDEX('DAY 1 SCORES'!$E$4:$E$123, MATCH(B12, 'DAY 1 SCORES'!$B$4:$B$123, 0)), "")</f>
        <v>0</v>
      </c>
      <c r="E12" s="55">
        <f>SUMIF('DAY 1 SCORES'!$B$4:$B$123, B12, 'DAY 1 SCORES'!$F$4:$F$123)</f>
        <v>0</v>
      </c>
      <c r="F12" s="56">
        <f>IFERROR(INDEX('DAY 2 SCORES'!$E$4:$E$123, MATCH(B12, 'DAY 2 SCORES'!$B$4:$B$123, 0)), "")</f>
        <v>0</v>
      </c>
      <c r="G12" s="56">
        <f>SUMIF('DAY 2 SCORES'!$B$4:$B$123, B12, 'DAY 2 SCORES'!$F$4:$F$123)</f>
        <v>0</v>
      </c>
      <c r="H12" s="55">
        <f>SUMIF('DAY 1 SCORES'!$B$4:$B$123, B12, 'DAY 1 SCORES'!$D$4:$D$123)</f>
        <v>0</v>
      </c>
      <c r="I12" s="55">
        <f>SUMIF('DAY 2 SCORES'!$B$4:$B$123, B12, 'DAY 2 SCORES'!$D$4:$D$123)</f>
        <v>0</v>
      </c>
      <c r="J12" s="55">
        <f>H12+I12</f>
        <v>0</v>
      </c>
      <c r="K12" s="56">
        <f>SUMIF('DAY 1 SCORES'!$B$4:$B$123, B12, 'DAY 1 SCORES'!$H$4:$H$123)</f>
        <v>14400</v>
      </c>
      <c r="L12" s="56">
        <f>SUMIF('DAY 2 SCORES'!$B$4:$B$123, B12, 'DAY 2 SCORES'!$H$4:$H$123)</f>
        <v>14400</v>
      </c>
      <c r="M12" s="54">
        <f>IF(OR(B12="", B12=0), 999, SUM(K12:L12))</f>
        <v>999</v>
      </c>
      <c r="N12" s="24"/>
      <c r="O12" s="24"/>
      <c r="P12" s="24"/>
      <c r="Q12" s="24"/>
      <c r="R12" s="24"/>
      <c r="S12" s="24"/>
      <c r="T12" s="24"/>
      <c r="U12" s="24"/>
      <c r="V12" s="24"/>
      <c r="W12" s="24"/>
      <c r="X12" s="24"/>
      <c r="Y12" s="24"/>
      <c r="Z12" s="24"/>
      <c r="AA12" s="24" t="str">
        <f>REGISTRATION!B11</f>
        <v/>
      </c>
      <c r="AB12" s="24" t="str">
        <f>REGISTRATION!C11</f>
        <v/>
      </c>
      <c r="AC12" s="24">
        <f>'DAY 1 SCORES'!E13</f>
        <v>0</v>
      </c>
      <c r="AD12" s="24">
        <f>'DAY 1 SCORES'!F13</f>
        <v>0</v>
      </c>
      <c r="AE12" s="24">
        <f>'DAY 2 SCORES'!E13</f>
        <v>0</v>
      </c>
      <c r="AF12" s="24">
        <f>'DAY 2 SCORES'!F13</f>
        <v>0</v>
      </c>
      <c r="AG12" s="24">
        <f>'DAY 1 SCORES'!G13</f>
        <v>0</v>
      </c>
      <c r="AH12" s="24">
        <f>'DAY 2 SCORES'!G13</f>
        <v>0</v>
      </c>
      <c r="AI12" s="24">
        <f t="shared" si="0"/>
        <v>0</v>
      </c>
      <c r="AJ12" s="24">
        <f>'DAY 1 SCORES'!H13</f>
        <v>120</v>
      </c>
      <c r="AK12" s="24">
        <f>'DAY 2 SCORES'!H13</f>
        <v>120</v>
      </c>
      <c r="AL12" s="24">
        <f t="shared" si="1"/>
        <v>240</v>
      </c>
    </row>
    <row r="13" spans="1:38" ht="24.75" customHeight="1">
      <c r="A13" s="58" t="str">
        <f>IF(B13="", "", ROW()-2)</f>
        <v/>
      </c>
      <c r="B13" s="59" t="str">
        <f>IF(REGISTRATION!B12="", "", REGISTRATION!B12)</f>
        <v/>
      </c>
      <c r="C13" s="59" t="str">
        <f>IF(B13="", "", _xlfn.XLOOKUP(B13, REGISTRATION!B:B, REGISTRATION!C:C, ""))</f>
        <v/>
      </c>
      <c r="D13" s="55">
        <f>IFERROR(INDEX('DAY 1 SCORES'!$E$4:$E$123, MATCH(B13, 'DAY 1 SCORES'!$B$4:$B$123, 0)), "")</f>
        <v>0</v>
      </c>
      <c r="E13" s="55">
        <f>SUMIF('DAY 1 SCORES'!$B$4:$B$123, B13, 'DAY 1 SCORES'!$F$4:$F$123)</f>
        <v>0</v>
      </c>
      <c r="F13" s="56">
        <f>IFERROR(INDEX('DAY 2 SCORES'!$E$4:$E$123, MATCH(B13, 'DAY 2 SCORES'!$B$4:$B$123, 0)), "")</f>
        <v>0</v>
      </c>
      <c r="G13" s="56">
        <f>SUMIF('DAY 2 SCORES'!$B$4:$B$123, B13, 'DAY 2 SCORES'!$F$4:$F$123)</f>
        <v>0</v>
      </c>
      <c r="H13" s="55">
        <f>SUMIF('DAY 1 SCORES'!$B$4:$B$123, B13, 'DAY 1 SCORES'!$D$4:$D$123)</f>
        <v>0</v>
      </c>
      <c r="I13" s="55">
        <f>SUMIF('DAY 2 SCORES'!$B$4:$B$123, B13, 'DAY 2 SCORES'!$D$4:$D$123)</f>
        <v>0</v>
      </c>
      <c r="J13" s="55">
        <f>H13+I13</f>
        <v>0</v>
      </c>
      <c r="K13" s="56">
        <f>SUMIF('DAY 1 SCORES'!$B$4:$B$123, B13, 'DAY 1 SCORES'!$H$4:$H$123)</f>
        <v>14400</v>
      </c>
      <c r="L13" s="56">
        <f>SUMIF('DAY 2 SCORES'!$B$4:$B$123, B13, 'DAY 2 SCORES'!$H$4:$H$123)</f>
        <v>14400</v>
      </c>
      <c r="M13" s="54">
        <f>IF(OR(B13="", B13=0), 999, SUM(K13:L13))</f>
        <v>999</v>
      </c>
      <c r="N13" s="24"/>
      <c r="O13" s="24"/>
      <c r="P13" s="24"/>
      <c r="Q13" s="24"/>
      <c r="R13" s="24"/>
      <c r="S13" s="24"/>
      <c r="T13" s="24"/>
      <c r="U13" s="24"/>
      <c r="V13" s="24"/>
      <c r="W13" s="24"/>
      <c r="X13" s="24"/>
      <c r="Y13" s="24"/>
      <c r="Z13" s="24"/>
      <c r="AA13" s="24" t="str">
        <f>REGISTRATION!B12</f>
        <v/>
      </c>
      <c r="AB13" s="24" t="str">
        <f>REGISTRATION!C12</f>
        <v/>
      </c>
      <c r="AC13" s="24">
        <f>'DAY 1 SCORES'!E14</f>
        <v>0</v>
      </c>
      <c r="AD13" s="24">
        <f>'DAY 1 SCORES'!F14</f>
        <v>0</v>
      </c>
      <c r="AE13" s="24">
        <f>'DAY 2 SCORES'!E14</f>
        <v>0</v>
      </c>
      <c r="AF13" s="24">
        <f>'DAY 2 SCORES'!F14</f>
        <v>0</v>
      </c>
      <c r="AG13" s="24">
        <f>'DAY 1 SCORES'!G14</f>
        <v>0</v>
      </c>
      <c r="AH13" s="24">
        <f>'DAY 2 SCORES'!G14</f>
        <v>0</v>
      </c>
      <c r="AI13" s="24">
        <f t="shared" si="0"/>
        <v>0</v>
      </c>
      <c r="AJ13" s="24">
        <f>'DAY 1 SCORES'!H14</f>
        <v>120</v>
      </c>
      <c r="AK13" s="24">
        <f>'DAY 2 SCORES'!H14</f>
        <v>120</v>
      </c>
      <c r="AL13" s="24">
        <f t="shared" si="1"/>
        <v>240</v>
      </c>
    </row>
    <row r="14" spans="1:38" ht="24.75" customHeight="1">
      <c r="A14" s="58" t="str">
        <f>IF(B14="", "", ROW()-2)</f>
        <v/>
      </c>
      <c r="B14" s="59" t="str">
        <f>IF(REGISTRATION!B13="", "", REGISTRATION!B13)</f>
        <v/>
      </c>
      <c r="C14" s="59" t="str">
        <f>IF(B14="", "", _xlfn.XLOOKUP(B14, REGISTRATION!B:B, REGISTRATION!C:C, ""))</f>
        <v/>
      </c>
      <c r="D14" s="55">
        <f>IFERROR(INDEX('DAY 1 SCORES'!$E$4:$E$123, MATCH(B14, 'DAY 1 SCORES'!$B$4:$B$123, 0)), "")</f>
        <v>0</v>
      </c>
      <c r="E14" s="55">
        <f>SUMIF('DAY 1 SCORES'!$B$4:$B$123, B14, 'DAY 1 SCORES'!$F$4:$F$123)</f>
        <v>0</v>
      </c>
      <c r="F14" s="56">
        <f>IFERROR(INDEX('DAY 2 SCORES'!$E$4:$E$123, MATCH(B14, 'DAY 2 SCORES'!$B$4:$B$123, 0)), "")</f>
        <v>0</v>
      </c>
      <c r="G14" s="56">
        <f>SUMIF('DAY 2 SCORES'!$B$4:$B$123, B14, 'DAY 2 SCORES'!$F$4:$F$123)</f>
        <v>0</v>
      </c>
      <c r="H14" s="55">
        <f>SUMIF('DAY 1 SCORES'!$B$4:$B$123, B14, 'DAY 1 SCORES'!$D$4:$D$123)</f>
        <v>0</v>
      </c>
      <c r="I14" s="55">
        <f>SUMIF('DAY 2 SCORES'!$B$4:$B$123, B14, 'DAY 2 SCORES'!$D$4:$D$123)</f>
        <v>0</v>
      </c>
      <c r="J14" s="55">
        <f>H14+I14</f>
        <v>0</v>
      </c>
      <c r="K14" s="56">
        <f>SUMIF('DAY 1 SCORES'!$B$4:$B$123, B14, 'DAY 1 SCORES'!$H$4:$H$123)</f>
        <v>14400</v>
      </c>
      <c r="L14" s="56">
        <f>SUMIF('DAY 2 SCORES'!$B$4:$B$123, B14, 'DAY 2 SCORES'!$H$4:$H$123)</f>
        <v>14400</v>
      </c>
      <c r="M14" s="54">
        <f>IF(OR(B14="", B14=0), 999, SUM(K14:L14))</f>
        <v>999</v>
      </c>
      <c r="N14" s="24"/>
      <c r="O14" s="24"/>
      <c r="P14" s="24"/>
      <c r="Q14" s="24"/>
      <c r="R14" s="24"/>
      <c r="S14" s="24"/>
      <c r="T14" s="24"/>
      <c r="U14" s="24"/>
      <c r="V14" s="24"/>
      <c r="W14" s="24"/>
      <c r="X14" s="24"/>
      <c r="Y14" s="24"/>
      <c r="Z14" s="24"/>
      <c r="AA14" s="24" t="str">
        <f>REGISTRATION!B13</f>
        <v/>
      </c>
      <c r="AB14" s="24" t="str">
        <f>REGISTRATION!C13</f>
        <v/>
      </c>
      <c r="AC14" s="24">
        <f>'DAY 1 SCORES'!E15</f>
        <v>0</v>
      </c>
      <c r="AD14" s="24">
        <f>'DAY 1 SCORES'!F15</f>
        <v>0</v>
      </c>
      <c r="AE14" s="24">
        <f>'DAY 2 SCORES'!E15</f>
        <v>0</v>
      </c>
      <c r="AF14" s="24">
        <f>'DAY 2 SCORES'!F15</f>
        <v>0</v>
      </c>
      <c r="AG14" s="24">
        <f>'DAY 1 SCORES'!G15</f>
        <v>0</v>
      </c>
      <c r="AH14" s="24">
        <f>'DAY 2 SCORES'!G15</f>
        <v>0</v>
      </c>
      <c r="AI14" s="24">
        <f t="shared" si="0"/>
        <v>0</v>
      </c>
      <c r="AJ14" s="24">
        <f>'DAY 1 SCORES'!H15</f>
        <v>120</v>
      </c>
      <c r="AK14" s="24">
        <f>'DAY 2 SCORES'!H15</f>
        <v>120</v>
      </c>
      <c r="AL14" s="24">
        <f t="shared" si="1"/>
        <v>240</v>
      </c>
    </row>
    <row r="15" spans="1:38" ht="24.75" customHeight="1">
      <c r="A15" s="58" t="str">
        <f>IF(B15="", "", ROW()-2)</f>
        <v/>
      </c>
      <c r="B15" s="59" t="str">
        <f>IF(REGISTRATION!B14="", "", REGISTRATION!B14)</f>
        <v/>
      </c>
      <c r="C15" s="59" t="str">
        <f>IF(B15="", "", _xlfn.XLOOKUP(B15, REGISTRATION!B:B, REGISTRATION!C:C, ""))</f>
        <v/>
      </c>
      <c r="D15" s="55">
        <f>IFERROR(INDEX('DAY 1 SCORES'!$E$4:$E$123, MATCH(B15, 'DAY 1 SCORES'!$B$4:$B$123, 0)), "")</f>
        <v>0</v>
      </c>
      <c r="E15" s="55">
        <f>SUMIF('DAY 1 SCORES'!$B$4:$B$123, B15, 'DAY 1 SCORES'!$F$4:$F$123)</f>
        <v>0</v>
      </c>
      <c r="F15" s="56">
        <f>IFERROR(INDEX('DAY 2 SCORES'!$E$4:$E$123, MATCH(B15, 'DAY 2 SCORES'!$B$4:$B$123, 0)), "")</f>
        <v>0</v>
      </c>
      <c r="G15" s="56">
        <f>SUMIF('DAY 2 SCORES'!$B$4:$B$123, B15, 'DAY 2 SCORES'!$F$4:$F$123)</f>
        <v>0</v>
      </c>
      <c r="H15" s="55">
        <f>SUMIF('DAY 1 SCORES'!$B$4:$B$123, B15, 'DAY 1 SCORES'!$D$4:$D$123)</f>
        <v>0</v>
      </c>
      <c r="I15" s="55">
        <f>SUMIF('DAY 2 SCORES'!$B$4:$B$123, B15, 'DAY 2 SCORES'!$D$4:$D$123)</f>
        <v>0</v>
      </c>
      <c r="J15" s="55">
        <f>H15+I15</f>
        <v>0</v>
      </c>
      <c r="K15" s="56">
        <f>SUMIF('DAY 1 SCORES'!$B$4:$B$123, B15, 'DAY 1 SCORES'!$H$4:$H$123)</f>
        <v>14400</v>
      </c>
      <c r="L15" s="56">
        <f>SUMIF('DAY 2 SCORES'!$B$4:$B$123, B15, 'DAY 2 SCORES'!$H$4:$H$123)</f>
        <v>14400</v>
      </c>
      <c r="M15" s="54">
        <f>IF(OR(B15="", B15=0), 999, SUM(K15:L15))</f>
        <v>999</v>
      </c>
      <c r="N15" s="24"/>
      <c r="O15" s="24"/>
      <c r="P15" s="24"/>
      <c r="Q15" s="24"/>
      <c r="R15" s="24"/>
      <c r="S15" s="24"/>
      <c r="T15" s="24"/>
      <c r="U15" s="24"/>
      <c r="V15" s="24"/>
      <c r="W15" s="24"/>
      <c r="X15" s="24"/>
      <c r="Y15" s="24"/>
      <c r="Z15" s="24"/>
      <c r="AA15" s="24" t="str">
        <f>REGISTRATION!B14</f>
        <v/>
      </c>
      <c r="AB15" s="24" t="str">
        <f>REGISTRATION!C14</f>
        <v/>
      </c>
      <c r="AC15" s="24">
        <f>'DAY 1 SCORES'!E16</f>
        <v>0</v>
      </c>
      <c r="AD15" s="24">
        <f>'DAY 1 SCORES'!F16</f>
        <v>0</v>
      </c>
      <c r="AE15" s="24">
        <f>'DAY 2 SCORES'!E16</f>
        <v>0</v>
      </c>
      <c r="AF15" s="24">
        <f>'DAY 2 SCORES'!F16</f>
        <v>0</v>
      </c>
      <c r="AG15" s="24">
        <f>'DAY 1 SCORES'!G16</f>
        <v>0</v>
      </c>
      <c r="AH15" s="24">
        <f>'DAY 2 SCORES'!G16</f>
        <v>0</v>
      </c>
      <c r="AI15" s="24">
        <f t="shared" si="0"/>
        <v>0</v>
      </c>
      <c r="AJ15" s="24">
        <f>'DAY 1 SCORES'!H16</f>
        <v>120</v>
      </c>
      <c r="AK15" s="24">
        <f>'DAY 2 SCORES'!H16</f>
        <v>120</v>
      </c>
      <c r="AL15" s="24">
        <f t="shared" si="1"/>
        <v>240</v>
      </c>
    </row>
    <row r="16" spans="1:38" ht="24.75" customHeight="1">
      <c r="A16" s="58" t="str">
        <f>IF(B16="", "", ROW()-2)</f>
        <v/>
      </c>
      <c r="B16" s="59" t="str">
        <f>IF(REGISTRATION!B15="", "", REGISTRATION!B15)</f>
        <v/>
      </c>
      <c r="C16" s="59" t="str">
        <f>IF(B16="", "", _xlfn.XLOOKUP(B16, REGISTRATION!B:B, REGISTRATION!C:C, ""))</f>
        <v/>
      </c>
      <c r="D16" s="55">
        <f>IFERROR(INDEX('DAY 1 SCORES'!$E$4:$E$123, MATCH(B16, 'DAY 1 SCORES'!$B$4:$B$123, 0)), "")</f>
        <v>0</v>
      </c>
      <c r="E16" s="55">
        <f>SUMIF('DAY 1 SCORES'!$B$4:$B$123, B16, 'DAY 1 SCORES'!$F$4:$F$123)</f>
        <v>0</v>
      </c>
      <c r="F16" s="56">
        <f>IFERROR(INDEX('DAY 2 SCORES'!$E$4:$E$123, MATCH(B16, 'DAY 2 SCORES'!$B$4:$B$123, 0)), "")</f>
        <v>0</v>
      </c>
      <c r="G16" s="56">
        <f>SUMIF('DAY 2 SCORES'!$B$4:$B$123, B16, 'DAY 2 SCORES'!$F$4:$F$123)</f>
        <v>0</v>
      </c>
      <c r="H16" s="55">
        <f>SUMIF('DAY 1 SCORES'!$B$4:$B$123, B16, 'DAY 1 SCORES'!$D$4:$D$123)</f>
        <v>0</v>
      </c>
      <c r="I16" s="55">
        <f>SUMIF('DAY 2 SCORES'!$B$4:$B$123, B16, 'DAY 2 SCORES'!$D$4:$D$123)</f>
        <v>0</v>
      </c>
      <c r="J16" s="55">
        <f>H16+I16</f>
        <v>0</v>
      </c>
      <c r="K16" s="56">
        <f>SUMIF('DAY 1 SCORES'!$B$4:$B$123, B16, 'DAY 1 SCORES'!$H$4:$H$123)</f>
        <v>14400</v>
      </c>
      <c r="L16" s="56">
        <f>SUMIF('DAY 2 SCORES'!$B$4:$B$123, B16, 'DAY 2 SCORES'!$H$4:$H$123)</f>
        <v>14400</v>
      </c>
      <c r="M16" s="54">
        <f>IF(OR(B16="", B16=0), 999, SUM(K16:L16))</f>
        <v>999</v>
      </c>
      <c r="N16" s="24"/>
      <c r="O16" s="24"/>
      <c r="P16" s="24"/>
      <c r="Q16" s="24"/>
      <c r="R16" s="24"/>
      <c r="S16" s="24"/>
      <c r="T16" s="24"/>
      <c r="U16" s="24"/>
      <c r="V16" s="24"/>
      <c r="W16" s="24"/>
      <c r="X16" s="24"/>
      <c r="Y16" s="24"/>
      <c r="Z16" s="24"/>
      <c r="AA16" s="24" t="str">
        <f>REGISTRATION!B15</f>
        <v/>
      </c>
      <c r="AB16" s="24" t="str">
        <f>REGISTRATION!C15</f>
        <v/>
      </c>
      <c r="AC16" s="24">
        <f>'DAY 1 SCORES'!E17</f>
        <v>0</v>
      </c>
      <c r="AD16" s="24">
        <f>'DAY 1 SCORES'!F17</f>
        <v>0</v>
      </c>
      <c r="AE16" s="24">
        <f>'DAY 2 SCORES'!E17</f>
        <v>0</v>
      </c>
      <c r="AF16" s="24">
        <f>'DAY 2 SCORES'!F17</f>
        <v>0</v>
      </c>
      <c r="AG16" s="24">
        <f>'DAY 1 SCORES'!G17</f>
        <v>0</v>
      </c>
      <c r="AH16" s="24">
        <f>'DAY 2 SCORES'!G17</f>
        <v>0</v>
      </c>
      <c r="AI16" s="24">
        <f t="shared" si="0"/>
        <v>0</v>
      </c>
      <c r="AJ16" s="24">
        <f>'DAY 1 SCORES'!H17</f>
        <v>120</v>
      </c>
      <c r="AK16" s="24">
        <f>'DAY 2 SCORES'!H17</f>
        <v>120</v>
      </c>
      <c r="AL16" s="24">
        <f t="shared" si="1"/>
        <v>240</v>
      </c>
    </row>
    <row r="17" spans="1:38" ht="24.75" customHeight="1">
      <c r="A17" s="58" t="str">
        <f>IF(B17="", "", ROW()-2)</f>
        <v/>
      </c>
      <c r="B17" s="59" t="str">
        <f>IF(REGISTRATION!B16="", "", REGISTRATION!B16)</f>
        <v/>
      </c>
      <c r="C17" s="59" t="str">
        <f>IF(B17="", "", _xlfn.XLOOKUP(B17, REGISTRATION!B:B, REGISTRATION!C:C, ""))</f>
        <v/>
      </c>
      <c r="D17" s="55">
        <f>IFERROR(INDEX('DAY 1 SCORES'!$E$4:$E$123, MATCH(B17, 'DAY 1 SCORES'!$B$4:$B$123, 0)), "")</f>
        <v>0</v>
      </c>
      <c r="E17" s="55">
        <f>SUMIF('DAY 1 SCORES'!$B$4:$B$123, B17, 'DAY 1 SCORES'!$F$4:$F$123)</f>
        <v>0</v>
      </c>
      <c r="F17" s="56">
        <f>IFERROR(INDEX('DAY 2 SCORES'!$E$4:$E$123, MATCH(B17, 'DAY 2 SCORES'!$B$4:$B$123, 0)), "")</f>
        <v>0</v>
      </c>
      <c r="G17" s="56">
        <f>SUMIF('DAY 2 SCORES'!$B$4:$B$123, B17, 'DAY 2 SCORES'!$F$4:$F$123)</f>
        <v>0</v>
      </c>
      <c r="H17" s="55">
        <f>SUMIF('DAY 1 SCORES'!$B$4:$B$123, B17, 'DAY 1 SCORES'!$D$4:$D$123)</f>
        <v>0</v>
      </c>
      <c r="I17" s="55">
        <f>SUMIF('DAY 2 SCORES'!$B$4:$B$123, B17, 'DAY 2 SCORES'!$D$4:$D$123)</f>
        <v>0</v>
      </c>
      <c r="J17" s="55">
        <f>H17+I17</f>
        <v>0</v>
      </c>
      <c r="K17" s="56">
        <f>SUMIF('DAY 1 SCORES'!$B$4:$B$123, B17, 'DAY 1 SCORES'!$H$4:$H$123)</f>
        <v>14400</v>
      </c>
      <c r="L17" s="56">
        <f>SUMIF('DAY 2 SCORES'!$B$4:$B$123, B17, 'DAY 2 SCORES'!$H$4:$H$123)</f>
        <v>14400</v>
      </c>
      <c r="M17" s="54">
        <f>IF(OR(B17="", B17=0), 999, SUM(K17:L17))</f>
        <v>999</v>
      </c>
      <c r="N17" s="24"/>
      <c r="O17" s="24"/>
      <c r="P17" s="24"/>
      <c r="Q17" s="24"/>
      <c r="R17" s="24"/>
      <c r="S17" s="24"/>
      <c r="T17" s="24"/>
      <c r="U17" s="24"/>
      <c r="V17" s="24"/>
      <c r="W17" s="24"/>
      <c r="X17" s="24"/>
      <c r="Y17" s="24"/>
      <c r="Z17" s="24"/>
      <c r="AA17" s="24" t="str">
        <f>REGISTRATION!B16</f>
        <v/>
      </c>
      <c r="AB17" s="24" t="str">
        <f>REGISTRATION!C16</f>
        <v/>
      </c>
      <c r="AC17" s="24">
        <f>'DAY 1 SCORES'!E18</f>
        <v>0</v>
      </c>
      <c r="AD17" s="24">
        <f>'DAY 1 SCORES'!F18</f>
        <v>0</v>
      </c>
      <c r="AE17" s="24">
        <f>'DAY 2 SCORES'!E18</f>
        <v>0</v>
      </c>
      <c r="AF17" s="24">
        <f>'DAY 2 SCORES'!F18</f>
        <v>0</v>
      </c>
      <c r="AG17" s="24">
        <f>'DAY 1 SCORES'!G18</f>
        <v>0</v>
      </c>
      <c r="AH17" s="24">
        <f>'DAY 2 SCORES'!G18</f>
        <v>0</v>
      </c>
      <c r="AI17" s="24">
        <f t="shared" si="0"/>
        <v>0</v>
      </c>
      <c r="AJ17" s="24">
        <f>'DAY 1 SCORES'!H18</f>
        <v>120</v>
      </c>
      <c r="AK17" s="24">
        <f>'DAY 2 SCORES'!H18</f>
        <v>120</v>
      </c>
      <c r="AL17" s="24">
        <f t="shared" si="1"/>
        <v>240</v>
      </c>
    </row>
    <row r="18" spans="1:38" ht="24.75" customHeight="1">
      <c r="A18" s="58" t="str">
        <f>IF(B18="", "", ROW()-2)</f>
        <v/>
      </c>
      <c r="B18" s="59" t="str">
        <f>IF(REGISTRATION!B17="", "", REGISTRATION!B17)</f>
        <v/>
      </c>
      <c r="C18" s="59" t="str">
        <f>IF(B18="", "", _xlfn.XLOOKUP(B18, REGISTRATION!B:B, REGISTRATION!C:C, ""))</f>
        <v/>
      </c>
      <c r="D18" s="55">
        <f>IFERROR(INDEX('DAY 1 SCORES'!$E$4:$E$123, MATCH(B18, 'DAY 1 SCORES'!$B$4:$B$123, 0)), "")</f>
        <v>0</v>
      </c>
      <c r="E18" s="55">
        <f>SUMIF('DAY 1 SCORES'!$B$4:$B$123, B18, 'DAY 1 SCORES'!$F$4:$F$123)</f>
        <v>0</v>
      </c>
      <c r="F18" s="56">
        <f>IFERROR(INDEX('DAY 2 SCORES'!$E$4:$E$123, MATCH(B18, 'DAY 2 SCORES'!$B$4:$B$123, 0)), "")</f>
        <v>0</v>
      </c>
      <c r="G18" s="56">
        <f>SUMIF('DAY 2 SCORES'!$B$4:$B$123, B18, 'DAY 2 SCORES'!$F$4:$F$123)</f>
        <v>0</v>
      </c>
      <c r="H18" s="55">
        <f>SUMIF('DAY 1 SCORES'!$B$4:$B$123, B18, 'DAY 1 SCORES'!$D$4:$D$123)</f>
        <v>0</v>
      </c>
      <c r="I18" s="55">
        <f>SUMIF('DAY 2 SCORES'!$B$4:$B$123, B18, 'DAY 2 SCORES'!$D$4:$D$123)</f>
        <v>0</v>
      </c>
      <c r="J18" s="55">
        <f>H18+I18</f>
        <v>0</v>
      </c>
      <c r="K18" s="56">
        <f>SUMIF('DAY 1 SCORES'!$B$4:$B$123, B18, 'DAY 1 SCORES'!$H$4:$H$123)</f>
        <v>14400</v>
      </c>
      <c r="L18" s="56">
        <f>SUMIF('DAY 2 SCORES'!$B$4:$B$123, B18, 'DAY 2 SCORES'!$H$4:$H$123)</f>
        <v>14400</v>
      </c>
      <c r="M18" s="54">
        <f>IF(OR(B18="", B18=0), 999, SUM(K18:L18))</f>
        <v>999</v>
      </c>
      <c r="N18" s="24"/>
      <c r="O18" s="24"/>
      <c r="P18" s="24"/>
      <c r="Q18" s="24"/>
      <c r="R18" s="24"/>
      <c r="S18" s="24"/>
      <c r="T18" s="24"/>
      <c r="U18" s="24"/>
      <c r="V18" s="24"/>
      <c r="W18" s="24"/>
      <c r="X18" s="24"/>
      <c r="Y18" s="24"/>
      <c r="Z18" s="24"/>
      <c r="AA18" s="24" t="str">
        <f>REGISTRATION!B17</f>
        <v/>
      </c>
      <c r="AB18" s="24" t="str">
        <f>REGISTRATION!C17</f>
        <v/>
      </c>
      <c r="AC18" s="24">
        <f>'DAY 1 SCORES'!E19</f>
        <v>0</v>
      </c>
      <c r="AD18" s="24">
        <f>'DAY 1 SCORES'!F19</f>
        <v>0</v>
      </c>
      <c r="AE18" s="24">
        <f>'DAY 2 SCORES'!E19</f>
        <v>0</v>
      </c>
      <c r="AF18" s="24">
        <f>'DAY 2 SCORES'!F19</f>
        <v>0</v>
      </c>
      <c r="AG18" s="24">
        <f>'DAY 1 SCORES'!G19</f>
        <v>0</v>
      </c>
      <c r="AH18" s="24">
        <f>'DAY 2 SCORES'!G19</f>
        <v>0</v>
      </c>
      <c r="AI18" s="24">
        <f t="shared" si="0"/>
        <v>0</v>
      </c>
      <c r="AJ18" s="24">
        <f>'DAY 1 SCORES'!H19</f>
        <v>120</v>
      </c>
      <c r="AK18" s="24">
        <f>'DAY 2 SCORES'!H19</f>
        <v>120</v>
      </c>
      <c r="AL18" s="24">
        <f t="shared" si="1"/>
        <v>240</v>
      </c>
    </row>
    <row r="19" spans="1:38" ht="24.75" customHeight="1">
      <c r="A19" s="58" t="str">
        <f>IF(B19="", "", ROW()-2)</f>
        <v/>
      </c>
      <c r="B19" s="59" t="str">
        <f>IF(REGISTRATION!B18="", "", REGISTRATION!B18)</f>
        <v/>
      </c>
      <c r="C19" s="59" t="str">
        <f>IF(B19="", "", _xlfn.XLOOKUP(B19, REGISTRATION!B:B, REGISTRATION!C:C, ""))</f>
        <v/>
      </c>
      <c r="D19" s="55">
        <f>IFERROR(INDEX('DAY 1 SCORES'!$E$4:$E$123, MATCH(B19, 'DAY 1 SCORES'!$B$4:$B$123, 0)), "")</f>
        <v>0</v>
      </c>
      <c r="E19" s="55">
        <f>SUMIF('DAY 1 SCORES'!$B$4:$B$123, B19, 'DAY 1 SCORES'!$F$4:$F$123)</f>
        <v>0</v>
      </c>
      <c r="F19" s="56">
        <f>IFERROR(INDEX('DAY 2 SCORES'!$E$4:$E$123, MATCH(B19, 'DAY 2 SCORES'!$B$4:$B$123, 0)), "")</f>
        <v>0</v>
      </c>
      <c r="G19" s="56">
        <f>SUMIF('DAY 2 SCORES'!$B$4:$B$123, B19, 'DAY 2 SCORES'!$F$4:$F$123)</f>
        <v>0</v>
      </c>
      <c r="H19" s="55">
        <f>SUMIF('DAY 1 SCORES'!$B$4:$B$123, B19, 'DAY 1 SCORES'!$D$4:$D$123)</f>
        <v>0</v>
      </c>
      <c r="I19" s="55">
        <f>SUMIF('DAY 2 SCORES'!$B$4:$B$123, B19, 'DAY 2 SCORES'!$D$4:$D$123)</f>
        <v>0</v>
      </c>
      <c r="J19" s="55">
        <f>H19+I19</f>
        <v>0</v>
      </c>
      <c r="K19" s="56">
        <f>SUMIF('DAY 1 SCORES'!$B$4:$B$123, B19, 'DAY 1 SCORES'!$H$4:$H$123)</f>
        <v>14400</v>
      </c>
      <c r="L19" s="56">
        <f>SUMIF('DAY 2 SCORES'!$B$4:$B$123, B19, 'DAY 2 SCORES'!$H$4:$H$123)</f>
        <v>14400</v>
      </c>
      <c r="M19" s="54">
        <f>IF(OR(B19="", B19=0), 999, SUM(K19:L19))</f>
        <v>999</v>
      </c>
      <c r="N19" s="24"/>
      <c r="O19" s="24"/>
      <c r="P19" s="24"/>
      <c r="Q19" s="24"/>
      <c r="R19" s="24"/>
      <c r="S19" s="24"/>
      <c r="T19" s="24"/>
      <c r="U19" s="24"/>
      <c r="V19" s="24"/>
      <c r="W19" s="24"/>
      <c r="X19" s="24"/>
      <c r="Y19" s="24"/>
      <c r="Z19" s="24"/>
      <c r="AA19" s="24" t="str">
        <f>REGISTRATION!B18</f>
        <v/>
      </c>
      <c r="AB19" s="24" t="str">
        <f>REGISTRATION!C18</f>
        <v/>
      </c>
      <c r="AC19" s="24">
        <f>'DAY 1 SCORES'!E20</f>
        <v>0</v>
      </c>
      <c r="AD19" s="24">
        <f>'DAY 1 SCORES'!F20</f>
        <v>0</v>
      </c>
      <c r="AE19" s="24">
        <f>'DAY 2 SCORES'!E20</f>
        <v>0</v>
      </c>
      <c r="AF19" s="24">
        <f>'DAY 2 SCORES'!F20</f>
        <v>0</v>
      </c>
      <c r="AG19" s="24">
        <f>'DAY 1 SCORES'!G20</f>
        <v>0</v>
      </c>
      <c r="AH19" s="24">
        <f>'DAY 2 SCORES'!G20</f>
        <v>0</v>
      </c>
      <c r="AI19" s="24">
        <f t="shared" si="0"/>
        <v>0</v>
      </c>
      <c r="AJ19" s="24">
        <f>'DAY 1 SCORES'!H20</f>
        <v>120</v>
      </c>
      <c r="AK19" s="24">
        <f>'DAY 2 SCORES'!H20</f>
        <v>120</v>
      </c>
      <c r="AL19" s="24">
        <f t="shared" si="1"/>
        <v>240</v>
      </c>
    </row>
    <row r="20" spans="1:38" ht="24.75" customHeight="1">
      <c r="A20" s="58" t="str">
        <f>IF(B20="", "", ROW()-2)</f>
        <v/>
      </c>
      <c r="B20" s="59" t="str">
        <f>IF(REGISTRATION!B19="", "", REGISTRATION!B19)</f>
        <v/>
      </c>
      <c r="C20" s="59" t="str">
        <f>IF(B20="", "", _xlfn.XLOOKUP(B20, REGISTRATION!B:B, REGISTRATION!C:C, ""))</f>
        <v/>
      </c>
      <c r="D20" s="55">
        <f>IFERROR(INDEX('DAY 1 SCORES'!$E$4:$E$123, MATCH(B20, 'DAY 1 SCORES'!$B$4:$B$123, 0)), "")</f>
        <v>0</v>
      </c>
      <c r="E20" s="55">
        <f>SUMIF('DAY 1 SCORES'!$B$4:$B$123, B20, 'DAY 1 SCORES'!$F$4:$F$123)</f>
        <v>0</v>
      </c>
      <c r="F20" s="56">
        <f>IFERROR(INDEX('DAY 2 SCORES'!$E$4:$E$123, MATCH(B20, 'DAY 2 SCORES'!$B$4:$B$123, 0)), "")</f>
        <v>0</v>
      </c>
      <c r="G20" s="56">
        <f>SUMIF('DAY 2 SCORES'!$B$4:$B$123, B20, 'DAY 2 SCORES'!$F$4:$F$123)</f>
        <v>0</v>
      </c>
      <c r="H20" s="55">
        <f>SUMIF('DAY 1 SCORES'!$B$4:$B$123, B20, 'DAY 1 SCORES'!$D$4:$D$123)</f>
        <v>0</v>
      </c>
      <c r="I20" s="55">
        <f>SUMIF('DAY 2 SCORES'!$B$4:$B$123, B20, 'DAY 2 SCORES'!$D$4:$D$123)</f>
        <v>0</v>
      </c>
      <c r="J20" s="55">
        <f>H20+I20</f>
        <v>0</v>
      </c>
      <c r="K20" s="56">
        <f>SUMIF('DAY 1 SCORES'!$B$4:$B$123, B20, 'DAY 1 SCORES'!$H$4:$H$123)</f>
        <v>14400</v>
      </c>
      <c r="L20" s="56">
        <f>SUMIF('DAY 2 SCORES'!$B$4:$B$123, B20, 'DAY 2 SCORES'!$H$4:$H$123)</f>
        <v>14400</v>
      </c>
      <c r="M20" s="54">
        <f>IF(OR(B20="", B20=0), 999, SUM(K20:L20))</f>
        <v>999</v>
      </c>
      <c r="N20" s="24"/>
      <c r="O20" s="24"/>
      <c r="P20" s="24"/>
      <c r="Q20" s="24"/>
      <c r="R20" s="24"/>
      <c r="S20" s="24"/>
      <c r="T20" s="24"/>
      <c r="U20" s="24"/>
      <c r="V20" s="24"/>
      <c r="W20" s="24"/>
      <c r="X20" s="24"/>
      <c r="Y20" s="24"/>
      <c r="Z20" s="24"/>
      <c r="AA20" s="24" t="str">
        <f>REGISTRATION!B19</f>
        <v/>
      </c>
      <c r="AB20" s="24" t="str">
        <f>REGISTRATION!C19</f>
        <v/>
      </c>
      <c r="AC20" s="24">
        <f>'DAY 1 SCORES'!E21</f>
        <v>0</v>
      </c>
      <c r="AD20" s="24">
        <f>'DAY 1 SCORES'!F21</f>
        <v>0</v>
      </c>
      <c r="AE20" s="24">
        <f>'DAY 2 SCORES'!E21</f>
        <v>0</v>
      </c>
      <c r="AF20" s="24">
        <f>'DAY 2 SCORES'!F21</f>
        <v>0</v>
      </c>
      <c r="AG20" s="24">
        <f>'DAY 1 SCORES'!G21</f>
        <v>0</v>
      </c>
      <c r="AH20" s="24">
        <f>'DAY 2 SCORES'!G21</f>
        <v>0</v>
      </c>
      <c r="AI20" s="24">
        <f t="shared" si="0"/>
        <v>0</v>
      </c>
      <c r="AJ20" s="24">
        <f>'DAY 1 SCORES'!H21</f>
        <v>120</v>
      </c>
      <c r="AK20" s="24">
        <f>'DAY 2 SCORES'!H21</f>
        <v>120</v>
      </c>
      <c r="AL20" s="24">
        <f t="shared" si="1"/>
        <v>240</v>
      </c>
    </row>
    <row r="21" spans="1:38" ht="24.75" customHeight="1">
      <c r="A21" s="58" t="str">
        <f>IF(B21="", "", ROW()-2)</f>
        <v/>
      </c>
      <c r="B21" s="59" t="str">
        <f>IF(REGISTRATION!B20="", "", REGISTRATION!B20)</f>
        <v/>
      </c>
      <c r="C21" s="59" t="str">
        <f>IF(B21="", "", _xlfn.XLOOKUP(B21, REGISTRATION!B:B, REGISTRATION!C:C, ""))</f>
        <v/>
      </c>
      <c r="D21" s="55">
        <f>IFERROR(INDEX('DAY 1 SCORES'!$E$4:$E$123, MATCH(B21, 'DAY 1 SCORES'!$B$4:$B$123, 0)), "")</f>
        <v>0</v>
      </c>
      <c r="E21" s="55">
        <f>SUMIF('DAY 1 SCORES'!$B$4:$B$123, B21, 'DAY 1 SCORES'!$F$4:$F$123)</f>
        <v>0</v>
      </c>
      <c r="F21" s="56">
        <f>IFERROR(INDEX('DAY 2 SCORES'!$E$4:$E$123, MATCH(B21, 'DAY 2 SCORES'!$B$4:$B$123, 0)), "")</f>
        <v>0</v>
      </c>
      <c r="G21" s="56">
        <f>SUMIF('DAY 2 SCORES'!$B$4:$B$123, B21, 'DAY 2 SCORES'!$F$4:$F$123)</f>
        <v>0</v>
      </c>
      <c r="H21" s="55">
        <f>SUMIF('DAY 1 SCORES'!$B$4:$B$123, B21, 'DAY 1 SCORES'!$D$4:$D$123)</f>
        <v>0</v>
      </c>
      <c r="I21" s="55">
        <f>SUMIF('DAY 2 SCORES'!$B$4:$B$123, B21, 'DAY 2 SCORES'!$D$4:$D$123)</f>
        <v>0</v>
      </c>
      <c r="J21" s="55">
        <f>H21+I21</f>
        <v>0</v>
      </c>
      <c r="K21" s="56">
        <f>SUMIF('DAY 1 SCORES'!$B$4:$B$123, B21, 'DAY 1 SCORES'!$H$4:$H$123)</f>
        <v>14400</v>
      </c>
      <c r="L21" s="56">
        <f>SUMIF('DAY 2 SCORES'!$B$4:$B$123, B21, 'DAY 2 SCORES'!$H$4:$H$123)</f>
        <v>14400</v>
      </c>
      <c r="M21" s="54">
        <f>IF(OR(B21="", B21=0), 999, SUM(K21:L21))</f>
        <v>999</v>
      </c>
      <c r="N21" s="24"/>
      <c r="O21" s="24"/>
      <c r="P21" s="24"/>
      <c r="Q21" s="24"/>
      <c r="R21" s="24"/>
      <c r="S21" s="24"/>
      <c r="T21" s="24"/>
      <c r="U21" s="24"/>
      <c r="V21" s="24"/>
      <c r="W21" s="24"/>
      <c r="X21" s="24"/>
      <c r="Y21" s="24"/>
      <c r="Z21" s="24"/>
      <c r="AA21" s="24" t="str">
        <f>REGISTRATION!B20</f>
        <v/>
      </c>
      <c r="AB21" s="24" t="str">
        <f>REGISTRATION!C20</f>
        <v/>
      </c>
      <c r="AC21" s="24">
        <f>'DAY 1 SCORES'!E22</f>
        <v>0</v>
      </c>
      <c r="AD21" s="24">
        <f>'DAY 1 SCORES'!F22</f>
        <v>0</v>
      </c>
      <c r="AE21" s="24">
        <f>'DAY 2 SCORES'!E22</f>
        <v>0</v>
      </c>
      <c r="AF21" s="24">
        <f>'DAY 2 SCORES'!F22</f>
        <v>0</v>
      </c>
      <c r="AG21" s="24">
        <f>'DAY 1 SCORES'!G22</f>
        <v>0</v>
      </c>
      <c r="AH21" s="24">
        <f>'DAY 2 SCORES'!G22</f>
        <v>0</v>
      </c>
      <c r="AI21" s="24">
        <f t="shared" si="0"/>
        <v>0</v>
      </c>
      <c r="AJ21" s="24">
        <f>'DAY 1 SCORES'!H22</f>
        <v>120</v>
      </c>
      <c r="AK21" s="24">
        <f>'DAY 2 SCORES'!H22</f>
        <v>120</v>
      </c>
      <c r="AL21" s="24">
        <f t="shared" si="1"/>
        <v>240</v>
      </c>
    </row>
    <row r="22" spans="1:38" ht="24.75" customHeight="1">
      <c r="A22" s="58" t="str">
        <f>IF(B22="", "", ROW()-2)</f>
        <v/>
      </c>
      <c r="B22" s="59" t="str">
        <f>IF(REGISTRATION!B21="", "", REGISTRATION!B21)</f>
        <v/>
      </c>
      <c r="C22" s="59" t="str">
        <f>IF(B22="", "", _xlfn.XLOOKUP(B22, REGISTRATION!B:B, REGISTRATION!C:C, ""))</f>
        <v/>
      </c>
      <c r="D22" s="55">
        <f>IFERROR(INDEX('DAY 1 SCORES'!$E$4:$E$123, MATCH(B22, 'DAY 1 SCORES'!$B$4:$B$123, 0)), "")</f>
        <v>0</v>
      </c>
      <c r="E22" s="55">
        <f>SUMIF('DAY 1 SCORES'!$B$4:$B$123, B22, 'DAY 1 SCORES'!$F$4:$F$123)</f>
        <v>0</v>
      </c>
      <c r="F22" s="56">
        <f>IFERROR(INDEX('DAY 2 SCORES'!$E$4:$E$123, MATCH(B22, 'DAY 2 SCORES'!$B$4:$B$123, 0)), "")</f>
        <v>0</v>
      </c>
      <c r="G22" s="56">
        <f>SUMIF('DAY 2 SCORES'!$B$4:$B$123, B22, 'DAY 2 SCORES'!$F$4:$F$123)</f>
        <v>0</v>
      </c>
      <c r="H22" s="55">
        <f>SUMIF('DAY 1 SCORES'!$B$4:$B$123, B22, 'DAY 1 SCORES'!$D$4:$D$123)</f>
        <v>0</v>
      </c>
      <c r="I22" s="55">
        <f>SUMIF('DAY 2 SCORES'!$B$4:$B$123, B22, 'DAY 2 SCORES'!$D$4:$D$123)</f>
        <v>0</v>
      </c>
      <c r="J22" s="55">
        <f>H22+I22</f>
        <v>0</v>
      </c>
      <c r="K22" s="56">
        <f>SUMIF('DAY 1 SCORES'!$B$4:$B$123, B22, 'DAY 1 SCORES'!$H$4:$H$123)</f>
        <v>14400</v>
      </c>
      <c r="L22" s="56">
        <f>SUMIF('DAY 2 SCORES'!$B$4:$B$123, B22, 'DAY 2 SCORES'!$H$4:$H$123)</f>
        <v>14400</v>
      </c>
      <c r="M22" s="54">
        <f>IF(OR(B22="", B22=0), 999, SUM(K22:L22))</f>
        <v>999</v>
      </c>
      <c r="N22" s="24"/>
      <c r="O22" s="24"/>
      <c r="P22" s="24"/>
      <c r="Q22" s="24"/>
      <c r="R22" s="24"/>
      <c r="S22" s="24"/>
      <c r="T22" s="24"/>
      <c r="U22" s="24"/>
      <c r="V22" s="24"/>
      <c r="W22" s="24"/>
      <c r="X22" s="24"/>
      <c r="Y22" s="24"/>
      <c r="Z22" s="24"/>
      <c r="AA22" s="24" t="str">
        <f>REGISTRATION!B21</f>
        <v/>
      </c>
      <c r="AB22" s="24" t="str">
        <f>REGISTRATION!C21</f>
        <v/>
      </c>
      <c r="AC22" s="24">
        <f>'DAY 1 SCORES'!E23</f>
        <v>0</v>
      </c>
      <c r="AD22" s="24">
        <f>'DAY 1 SCORES'!F23</f>
        <v>0</v>
      </c>
      <c r="AE22" s="24">
        <f>'DAY 2 SCORES'!E23</f>
        <v>0</v>
      </c>
      <c r="AF22" s="24">
        <f>'DAY 2 SCORES'!F23</f>
        <v>0</v>
      </c>
      <c r="AG22" s="24">
        <f>'DAY 1 SCORES'!G23</f>
        <v>0</v>
      </c>
      <c r="AH22" s="24">
        <f>'DAY 2 SCORES'!G23</f>
        <v>0</v>
      </c>
      <c r="AI22" s="24">
        <f t="shared" si="0"/>
        <v>0</v>
      </c>
      <c r="AJ22" s="24">
        <f>'DAY 1 SCORES'!H23</f>
        <v>120</v>
      </c>
      <c r="AK22" s="24">
        <f>'DAY 2 SCORES'!H23</f>
        <v>120</v>
      </c>
      <c r="AL22" s="24">
        <f t="shared" si="1"/>
        <v>240</v>
      </c>
    </row>
    <row r="23" spans="1:38" ht="24.75" customHeight="1">
      <c r="A23" s="58" t="str">
        <f>IF(B23="", "", ROW()-2)</f>
        <v/>
      </c>
      <c r="B23" s="59" t="str">
        <f>IF(REGISTRATION!B22="", "", REGISTRATION!B22)</f>
        <v/>
      </c>
      <c r="C23" s="59" t="str">
        <f>IF(B23="", "", _xlfn.XLOOKUP(B23, REGISTRATION!B:B, REGISTRATION!C:C, ""))</f>
        <v/>
      </c>
      <c r="D23" s="55">
        <f>IFERROR(INDEX('DAY 1 SCORES'!$E$4:$E$123, MATCH(B23, 'DAY 1 SCORES'!$B$4:$B$123, 0)), "")</f>
        <v>0</v>
      </c>
      <c r="E23" s="55">
        <f>SUMIF('DAY 1 SCORES'!$B$4:$B$123, B23, 'DAY 1 SCORES'!$F$4:$F$123)</f>
        <v>0</v>
      </c>
      <c r="F23" s="56">
        <f>IFERROR(INDEX('DAY 2 SCORES'!$E$4:$E$123, MATCH(B23, 'DAY 2 SCORES'!$B$4:$B$123, 0)), "")</f>
        <v>0</v>
      </c>
      <c r="G23" s="56">
        <f>SUMIF('DAY 2 SCORES'!$B$4:$B$123, B23, 'DAY 2 SCORES'!$F$4:$F$123)</f>
        <v>0</v>
      </c>
      <c r="H23" s="55">
        <f>SUMIF('DAY 1 SCORES'!$B$4:$B$123, B23, 'DAY 1 SCORES'!$D$4:$D$123)</f>
        <v>0</v>
      </c>
      <c r="I23" s="55">
        <f>SUMIF('DAY 2 SCORES'!$B$4:$B$123, B23, 'DAY 2 SCORES'!$D$4:$D$123)</f>
        <v>0</v>
      </c>
      <c r="J23" s="55">
        <f>H23+I23</f>
        <v>0</v>
      </c>
      <c r="K23" s="56">
        <f>SUMIF('DAY 1 SCORES'!$B$4:$B$123, B23, 'DAY 1 SCORES'!$H$4:$H$123)</f>
        <v>14400</v>
      </c>
      <c r="L23" s="56">
        <f>SUMIF('DAY 2 SCORES'!$B$4:$B$123, B23, 'DAY 2 SCORES'!$H$4:$H$123)</f>
        <v>14400</v>
      </c>
      <c r="M23" s="54">
        <f>IF(OR(B23="", B23=0), 999, SUM(K23:L23))</f>
        <v>999</v>
      </c>
      <c r="N23" s="24"/>
      <c r="O23" s="24"/>
      <c r="P23" s="24"/>
      <c r="Q23" s="24"/>
      <c r="R23" s="24"/>
      <c r="S23" s="24"/>
      <c r="T23" s="24"/>
      <c r="U23" s="24"/>
      <c r="V23" s="24"/>
      <c r="W23" s="24"/>
      <c r="X23" s="24"/>
      <c r="Y23" s="24"/>
      <c r="Z23" s="24"/>
      <c r="AA23" s="24" t="str">
        <f>REGISTRATION!B22</f>
        <v/>
      </c>
      <c r="AB23" s="24" t="str">
        <f>REGISTRATION!C22</f>
        <v/>
      </c>
      <c r="AC23" s="24">
        <f>'DAY 1 SCORES'!E24</f>
        <v>0</v>
      </c>
      <c r="AD23" s="24">
        <f>'DAY 1 SCORES'!F24</f>
        <v>0</v>
      </c>
      <c r="AE23" s="24">
        <f>'DAY 2 SCORES'!E24</f>
        <v>0</v>
      </c>
      <c r="AF23" s="24">
        <f>'DAY 2 SCORES'!F24</f>
        <v>0</v>
      </c>
      <c r="AG23" s="24">
        <f>'DAY 1 SCORES'!G24</f>
        <v>0</v>
      </c>
      <c r="AH23" s="24">
        <f>'DAY 2 SCORES'!G24</f>
        <v>0</v>
      </c>
      <c r="AI23" s="24">
        <f t="shared" si="0"/>
        <v>0</v>
      </c>
      <c r="AJ23" s="24">
        <f>'DAY 1 SCORES'!H24</f>
        <v>120</v>
      </c>
      <c r="AK23" s="24">
        <f>'DAY 2 SCORES'!H24</f>
        <v>120</v>
      </c>
      <c r="AL23" s="24">
        <f t="shared" si="1"/>
        <v>240</v>
      </c>
    </row>
    <row r="24" spans="1:38" ht="24.75" customHeight="1">
      <c r="A24" s="58" t="str">
        <f>IF(B24="", "", ROW()-2)</f>
        <v/>
      </c>
      <c r="B24" s="59" t="str">
        <f>IF(REGISTRATION!B23="", "", REGISTRATION!B23)</f>
        <v/>
      </c>
      <c r="C24" s="59" t="str">
        <f>IF(B24="", "", _xlfn.XLOOKUP(B24, REGISTRATION!B:B, REGISTRATION!C:C, ""))</f>
        <v/>
      </c>
      <c r="D24" s="55">
        <f>IFERROR(INDEX('DAY 1 SCORES'!$E$4:$E$123, MATCH(B24, 'DAY 1 SCORES'!$B$4:$B$123, 0)), "")</f>
        <v>0</v>
      </c>
      <c r="E24" s="55">
        <f>SUMIF('DAY 1 SCORES'!$B$4:$B$123, B24, 'DAY 1 SCORES'!$F$4:$F$123)</f>
        <v>0</v>
      </c>
      <c r="F24" s="56">
        <f>IFERROR(INDEX('DAY 2 SCORES'!$E$4:$E$123, MATCH(B24, 'DAY 2 SCORES'!$B$4:$B$123, 0)), "")</f>
        <v>0</v>
      </c>
      <c r="G24" s="56">
        <f>SUMIF('DAY 2 SCORES'!$B$4:$B$123, B24, 'DAY 2 SCORES'!$F$4:$F$123)</f>
        <v>0</v>
      </c>
      <c r="H24" s="55">
        <f>SUMIF('DAY 1 SCORES'!$B$4:$B$123, B24, 'DAY 1 SCORES'!$D$4:$D$123)</f>
        <v>0</v>
      </c>
      <c r="I24" s="55">
        <f>SUMIF('DAY 2 SCORES'!$B$4:$B$123, B24, 'DAY 2 SCORES'!$D$4:$D$123)</f>
        <v>0</v>
      </c>
      <c r="J24" s="55">
        <f>H24+I24</f>
        <v>0</v>
      </c>
      <c r="K24" s="56">
        <f>SUMIF('DAY 1 SCORES'!$B$4:$B$123, B24, 'DAY 1 SCORES'!$H$4:$H$123)</f>
        <v>14400</v>
      </c>
      <c r="L24" s="56">
        <f>SUMIF('DAY 2 SCORES'!$B$4:$B$123, B24, 'DAY 2 SCORES'!$H$4:$H$123)</f>
        <v>14400</v>
      </c>
      <c r="M24" s="54">
        <f>IF(OR(B24="", B24=0), 999, SUM(K24:L24))</f>
        <v>999</v>
      </c>
      <c r="N24" s="24"/>
      <c r="O24" s="24"/>
      <c r="P24" s="24"/>
      <c r="Q24" s="24"/>
      <c r="R24" s="24"/>
      <c r="S24" s="24"/>
      <c r="T24" s="24"/>
      <c r="U24" s="24"/>
      <c r="V24" s="24"/>
      <c r="W24" s="24"/>
      <c r="X24" s="24"/>
      <c r="Y24" s="24"/>
      <c r="Z24" s="24"/>
      <c r="AA24" s="24" t="str">
        <f>REGISTRATION!B23</f>
        <v/>
      </c>
      <c r="AB24" s="24" t="str">
        <f>REGISTRATION!C23</f>
        <v/>
      </c>
      <c r="AC24" s="24">
        <f>'DAY 1 SCORES'!E25</f>
        <v>0</v>
      </c>
      <c r="AD24" s="24">
        <f>'DAY 1 SCORES'!F25</f>
        <v>0</v>
      </c>
      <c r="AE24" s="24">
        <f>'DAY 2 SCORES'!E25</f>
        <v>0</v>
      </c>
      <c r="AF24" s="24">
        <f>'DAY 2 SCORES'!F25</f>
        <v>0</v>
      </c>
      <c r="AG24" s="24">
        <f>'DAY 1 SCORES'!G25</f>
        <v>0</v>
      </c>
      <c r="AH24" s="24">
        <f>'DAY 2 SCORES'!G25</f>
        <v>0</v>
      </c>
      <c r="AI24" s="24">
        <f t="shared" si="0"/>
        <v>0</v>
      </c>
      <c r="AJ24" s="24">
        <f>'DAY 1 SCORES'!H25</f>
        <v>120</v>
      </c>
      <c r="AK24" s="24">
        <f>'DAY 2 SCORES'!H25</f>
        <v>120</v>
      </c>
      <c r="AL24" s="24">
        <f t="shared" si="1"/>
        <v>240</v>
      </c>
    </row>
    <row r="25" spans="1:38" ht="24.75" customHeight="1">
      <c r="A25" s="58" t="str">
        <f>IF(B25="", "", ROW()-2)</f>
        <v/>
      </c>
      <c r="B25" s="59" t="str">
        <f>IF(REGISTRATION!B24="", "", REGISTRATION!B24)</f>
        <v/>
      </c>
      <c r="C25" s="59" t="str">
        <f>IF(B25="", "", _xlfn.XLOOKUP(B25, REGISTRATION!B:B, REGISTRATION!C:C, ""))</f>
        <v/>
      </c>
      <c r="D25" s="55">
        <f>IFERROR(INDEX('DAY 1 SCORES'!$E$4:$E$123, MATCH(B25, 'DAY 1 SCORES'!$B$4:$B$123, 0)), "")</f>
        <v>0</v>
      </c>
      <c r="E25" s="55">
        <f>SUMIF('DAY 1 SCORES'!$B$4:$B$123, B25, 'DAY 1 SCORES'!$F$4:$F$123)</f>
        <v>0</v>
      </c>
      <c r="F25" s="56">
        <f>IFERROR(INDEX('DAY 2 SCORES'!$E$4:$E$123, MATCH(B25, 'DAY 2 SCORES'!$B$4:$B$123, 0)), "")</f>
        <v>0</v>
      </c>
      <c r="G25" s="56">
        <f>SUMIF('DAY 2 SCORES'!$B$4:$B$123, B25, 'DAY 2 SCORES'!$F$4:$F$123)</f>
        <v>0</v>
      </c>
      <c r="H25" s="55">
        <f>SUMIF('DAY 1 SCORES'!$B$4:$B$123, B25, 'DAY 1 SCORES'!$D$4:$D$123)</f>
        <v>0</v>
      </c>
      <c r="I25" s="55">
        <f>SUMIF('DAY 2 SCORES'!$B$4:$B$123, B25, 'DAY 2 SCORES'!$D$4:$D$123)</f>
        <v>0</v>
      </c>
      <c r="J25" s="55">
        <f>H25+I25</f>
        <v>0</v>
      </c>
      <c r="K25" s="56">
        <f>SUMIF('DAY 1 SCORES'!$B$4:$B$123, B25, 'DAY 1 SCORES'!$H$4:$H$123)</f>
        <v>14400</v>
      </c>
      <c r="L25" s="56">
        <f>SUMIF('DAY 2 SCORES'!$B$4:$B$123, B25, 'DAY 2 SCORES'!$H$4:$H$123)</f>
        <v>14400</v>
      </c>
      <c r="M25" s="54">
        <f>IF(OR(B25="", B25=0), 999, SUM(K25:L25))</f>
        <v>999</v>
      </c>
      <c r="N25" s="24"/>
      <c r="O25" s="24"/>
      <c r="P25" s="24"/>
      <c r="Q25" s="24"/>
      <c r="R25" s="24"/>
      <c r="S25" s="24"/>
      <c r="T25" s="24"/>
      <c r="U25" s="24"/>
      <c r="V25" s="24"/>
      <c r="W25" s="24"/>
      <c r="X25" s="24"/>
      <c r="Y25" s="24"/>
      <c r="Z25" s="24"/>
      <c r="AA25" s="24" t="str">
        <f>REGISTRATION!B24</f>
        <v/>
      </c>
      <c r="AB25" s="24" t="str">
        <f>REGISTRATION!C24</f>
        <v/>
      </c>
      <c r="AC25" s="24">
        <f>'DAY 1 SCORES'!E26</f>
        <v>0</v>
      </c>
      <c r="AD25" s="24">
        <f>'DAY 1 SCORES'!F26</f>
        <v>0</v>
      </c>
      <c r="AE25" s="24">
        <f>'DAY 2 SCORES'!E26</f>
        <v>0</v>
      </c>
      <c r="AF25" s="24">
        <f>'DAY 2 SCORES'!F26</f>
        <v>0</v>
      </c>
      <c r="AG25" s="24">
        <f>'DAY 1 SCORES'!G26</f>
        <v>0</v>
      </c>
      <c r="AH25" s="24">
        <f>'DAY 2 SCORES'!G26</f>
        <v>0</v>
      </c>
      <c r="AI25" s="24">
        <f t="shared" si="0"/>
        <v>0</v>
      </c>
      <c r="AJ25" s="24">
        <f>'DAY 1 SCORES'!H26</f>
        <v>120</v>
      </c>
      <c r="AK25" s="24">
        <f>'DAY 2 SCORES'!H26</f>
        <v>120</v>
      </c>
      <c r="AL25" s="24">
        <f t="shared" si="1"/>
        <v>240</v>
      </c>
    </row>
    <row r="26" spans="1:38" ht="24.75" customHeight="1">
      <c r="A26" s="58" t="str">
        <f>IF(B26="", "", ROW()-2)</f>
        <v/>
      </c>
      <c r="B26" s="59" t="str">
        <f>IF(REGISTRATION!B25="", "", REGISTRATION!B25)</f>
        <v/>
      </c>
      <c r="C26" s="59" t="str">
        <f>IF(B26="", "", _xlfn.XLOOKUP(B26, REGISTRATION!B:B, REGISTRATION!C:C, ""))</f>
        <v/>
      </c>
      <c r="D26" s="55">
        <f>IFERROR(INDEX('DAY 1 SCORES'!$E$4:$E$123, MATCH(B26, 'DAY 1 SCORES'!$B$4:$B$123, 0)), "")</f>
        <v>0</v>
      </c>
      <c r="E26" s="55">
        <f>SUMIF('DAY 1 SCORES'!$B$4:$B$123, B26, 'DAY 1 SCORES'!$F$4:$F$123)</f>
        <v>0</v>
      </c>
      <c r="F26" s="56">
        <f>IFERROR(INDEX('DAY 2 SCORES'!$E$4:$E$123, MATCH(B26, 'DAY 2 SCORES'!$B$4:$B$123, 0)), "")</f>
        <v>0</v>
      </c>
      <c r="G26" s="56">
        <f>SUMIF('DAY 2 SCORES'!$B$4:$B$123, B26, 'DAY 2 SCORES'!$F$4:$F$123)</f>
        <v>0</v>
      </c>
      <c r="H26" s="55">
        <f>SUMIF('DAY 1 SCORES'!$B$4:$B$123, B26, 'DAY 1 SCORES'!$D$4:$D$123)</f>
        <v>0</v>
      </c>
      <c r="I26" s="55">
        <f>SUMIF('DAY 2 SCORES'!$B$4:$B$123, B26, 'DAY 2 SCORES'!$D$4:$D$123)</f>
        <v>0</v>
      </c>
      <c r="J26" s="55">
        <f>H26+I26</f>
        <v>0</v>
      </c>
      <c r="K26" s="56">
        <f>SUMIF('DAY 1 SCORES'!$B$4:$B$123, B26, 'DAY 1 SCORES'!$H$4:$H$123)</f>
        <v>14400</v>
      </c>
      <c r="L26" s="56">
        <f>SUMIF('DAY 2 SCORES'!$B$4:$B$123, B26, 'DAY 2 SCORES'!$H$4:$H$123)</f>
        <v>14400</v>
      </c>
      <c r="M26" s="54">
        <f>IF(OR(B26="", B26=0), 999, SUM(K26:L26))</f>
        <v>999</v>
      </c>
      <c r="N26" s="24"/>
      <c r="O26" s="24"/>
      <c r="P26" s="24"/>
      <c r="Q26" s="24"/>
      <c r="R26" s="24"/>
      <c r="S26" s="24"/>
      <c r="T26" s="24"/>
      <c r="U26" s="24"/>
      <c r="V26" s="24"/>
      <c r="W26" s="24"/>
      <c r="X26" s="24"/>
      <c r="Y26" s="24"/>
      <c r="Z26" s="24"/>
      <c r="AA26" s="24" t="str">
        <f>REGISTRATION!B25</f>
        <v/>
      </c>
      <c r="AB26" s="24" t="str">
        <f>REGISTRATION!C25</f>
        <v/>
      </c>
      <c r="AC26" s="24">
        <f>'DAY 1 SCORES'!E27</f>
        <v>0</v>
      </c>
      <c r="AD26" s="24">
        <f>'DAY 1 SCORES'!F27</f>
        <v>0</v>
      </c>
      <c r="AE26" s="24">
        <f>'DAY 2 SCORES'!E27</f>
        <v>0</v>
      </c>
      <c r="AF26" s="24">
        <f>'DAY 2 SCORES'!F27</f>
        <v>0</v>
      </c>
      <c r="AG26" s="24">
        <f>'DAY 1 SCORES'!G27</f>
        <v>0</v>
      </c>
      <c r="AH26" s="24">
        <f>'DAY 2 SCORES'!G27</f>
        <v>0</v>
      </c>
      <c r="AI26" s="24">
        <f t="shared" si="0"/>
        <v>0</v>
      </c>
      <c r="AJ26" s="24">
        <f>'DAY 1 SCORES'!H27</f>
        <v>120</v>
      </c>
      <c r="AK26" s="24">
        <f>'DAY 2 SCORES'!H27</f>
        <v>120</v>
      </c>
      <c r="AL26" s="24">
        <f t="shared" si="1"/>
        <v>240</v>
      </c>
    </row>
    <row r="27" spans="1:38" ht="24.75" customHeight="1">
      <c r="A27" s="58" t="str">
        <f>IF(B27="", "", ROW()-2)</f>
        <v/>
      </c>
      <c r="B27" s="59" t="str">
        <f>IF(REGISTRATION!B26="", "", REGISTRATION!B26)</f>
        <v/>
      </c>
      <c r="C27" s="59" t="str">
        <f>IF(B27="", "", _xlfn.XLOOKUP(B27, REGISTRATION!B:B, REGISTRATION!C:C, ""))</f>
        <v/>
      </c>
      <c r="D27" s="55">
        <f>IFERROR(INDEX('DAY 1 SCORES'!$E$4:$E$123, MATCH(B27, 'DAY 1 SCORES'!$B$4:$B$123, 0)), "")</f>
        <v>0</v>
      </c>
      <c r="E27" s="55">
        <f>SUMIF('DAY 1 SCORES'!$B$4:$B$123, B27, 'DAY 1 SCORES'!$F$4:$F$123)</f>
        <v>0</v>
      </c>
      <c r="F27" s="56">
        <f>IFERROR(INDEX('DAY 2 SCORES'!$E$4:$E$123, MATCH(B27, 'DAY 2 SCORES'!$B$4:$B$123, 0)), "")</f>
        <v>0</v>
      </c>
      <c r="G27" s="56">
        <f>SUMIF('DAY 2 SCORES'!$B$4:$B$123, B27, 'DAY 2 SCORES'!$F$4:$F$123)</f>
        <v>0</v>
      </c>
      <c r="H27" s="55">
        <f>SUMIF('DAY 1 SCORES'!$B$4:$B$123, B27, 'DAY 1 SCORES'!$D$4:$D$123)</f>
        <v>0</v>
      </c>
      <c r="I27" s="55">
        <f>SUMIF('DAY 2 SCORES'!$B$4:$B$123, B27, 'DAY 2 SCORES'!$D$4:$D$123)</f>
        <v>0</v>
      </c>
      <c r="J27" s="55">
        <f>H27+I27</f>
        <v>0</v>
      </c>
      <c r="K27" s="56">
        <f>SUMIF('DAY 1 SCORES'!$B$4:$B$123, B27, 'DAY 1 SCORES'!$H$4:$H$123)</f>
        <v>14400</v>
      </c>
      <c r="L27" s="56">
        <f>SUMIF('DAY 2 SCORES'!$B$4:$B$123, B27, 'DAY 2 SCORES'!$H$4:$H$123)</f>
        <v>14400</v>
      </c>
      <c r="M27" s="54">
        <f>IF(OR(B27="", B27=0), 999, SUM(K27:L27))</f>
        <v>999</v>
      </c>
      <c r="N27" s="24"/>
      <c r="O27" s="24"/>
      <c r="P27" s="24"/>
      <c r="Q27" s="24"/>
      <c r="R27" s="24"/>
      <c r="S27" s="24"/>
      <c r="T27" s="24"/>
      <c r="U27" s="24"/>
      <c r="V27" s="24"/>
      <c r="W27" s="24"/>
      <c r="X27" s="24"/>
      <c r="Y27" s="24"/>
      <c r="Z27" s="24"/>
      <c r="AA27" s="24" t="str">
        <f>REGISTRATION!B26</f>
        <v/>
      </c>
      <c r="AB27" s="24" t="str">
        <f>REGISTRATION!C26</f>
        <v/>
      </c>
      <c r="AC27" s="24">
        <f>'DAY 1 SCORES'!E28</f>
        <v>0</v>
      </c>
      <c r="AD27" s="24">
        <f>'DAY 1 SCORES'!F28</f>
        <v>0</v>
      </c>
      <c r="AE27" s="24">
        <f>'DAY 2 SCORES'!E28</f>
        <v>0</v>
      </c>
      <c r="AF27" s="24">
        <f>'DAY 2 SCORES'!F28</f>
        <v>0</v>
      </c>
      <c r="AG27" s="24">
        <f>'DAY 1 SCORES'!G28</f>
        <v>0</v>
      </c>
      <c r="AH27" s="24">
        <f>'DAY 2 SCORES'!G28</f>
        <v>0</v>
      </c>
      <c r="AI27" s="24">
        <f t="shared" si="0"/>
        <v>0</v>
      </c>
      <c r="AJ27" s="24">
        <f>'DAY 1 SCORES'!H28</f>
        <v>120</v>
      </c>
      <c r="AK27" s="24">
        <f>'DAY 2 SCORES'!H28</f>
        <v>120</v>
      </c>
      <c r="AL27" s="24">
        <f t="shared" si="1"/>
        <v>240</v>
      </c>
    </row>
    <row r="28" spans="1:38" ht="24.75" customHeight="1">
      <c r="A28" s="58" t="str">
        <f>IF(B28="", "", ROW()-2)</f>
        <v/>
      </c>
      <c r="B28" s="59" t="str">
        <f>IF(REGISTRATION!B27="", "", REGISTRATION!B27)</f>
        <v/>
      </c>
      <c r="C28" s="59" t="str">
        <f>IF(B28="", "", _xlfn.XLOOKUP(B28, REGISTRATION!B:B, REGISTRATION!C:C, ""))</f>
        <v/>
      </c>
      <c r="D28" s="55">
        <f>IFERROR(INDEX('DAY 1 SCORES'!$E$4:$E$123, MATCH(B28, 'DAY 1 SCORES'!$B$4:$B$123, 0)), "")</f>
        <v>0</v>
      </c>
      <c r="E28" s="55">
        <f>SUMIF('DAY 1 SCORES'!$B$4:$B$123, B28, 'DAY 1 SCORES'!$F$4:$F$123)</f>
        <v>0</v>
      </c>
      <c r="F28" s="56">
        <f>IFERROR(INDEX('DAY 2 SCORES'!$E$4:$E$123, MATCH(B28, 'DAY 2 SCORES'!$B$4:$B$123, 0)), "")</f>
        <v>0</v>
      </c>
      <c r="G28" s="56">
        <f>SUMIF('DAY 2 SCORES'!$B$4:$B$123, B28, 'DAY 2 SCORES'!$F$4:$F$123)</f>
        <v>0</v>
      </c>
      <c r="H28" s="55">
        <f>SUMIF('DAY 1 SCORES'!$B$4:$B$123, B28, 'DAY 1 SCORES'!$D$4:$D$123)</f>
        <v>0</v>
      </c>
      <c r="I28" s="55">
        <f>SUMIF('DAY 2 SCORES'!$B$4:$B$123, B28, 'DAY 2 SCORES'!$D$4:$D$123)</f>
        <v>0</v>
      </c>
      <c r="J28" s="55">
        <f>H28+I28</f>
        <v>0</v>
      </c>
      <c r="K28" s="56">
        <f>SUMIF('DAY 1 SCORES'!$B$4:$B$123, B28, 'DAY 1 SCORES'!$H$4:$H$123)</f>
        <v>14400</v>
      </c>
      <c r="L28" s="56">
        <f>SUMIF('DAY 2 SCORES'!$B$4:$B$123, B28, 'DAY 2 SCORES'!$H$4:$H$123)</f>
        <v>14400</v>
      </c>
      <c r="M28" s="54">
        <f>IF(OR(B28="", B28=0), 999, SUM(K28:L28))</f>
        <v>999</v>
      </c>
      <c r="N28" s="24"/>
      <c r="O28" s="24"/>
      <c r="P28" s="24"/>
      <c r="Q28" s="24"/>
      <c r="R28" s="24"/>
      <c r="S28" s="24"/>
      <c r="T28" s="24"/>
      <c r="U28" s="24"/>
      <c r="V28" s="24"/>
      <c r="W28" s="24"/>
      <c r="X28" s="24"/>
      <c r="Y28" s="24"/>
      <c r="Z28" s="24"/>
      <c r="AA28" s="24" t="str">
        <f>REGISTRATION!B27</f>
        <v/>
      </c>
      <c r="AB28" s="24" t="str">
        <f>REGISTRATION!C27</f>
        <v/>
      </c>
      <c r="AC28" s="24">
        <f>'DAY 1 SCORES'!E29</f>
        <v>0</v>
      </c>
      <c r="AD28" s="24">
        <f>'DAY 1 SCORES'!F29</f>
        <v>0</v>
      </c>
      <c r="AE28" s="24">
        <f>'DAY 2 SCORES'!E29</f>
        <v>0</v>
      </c>
      <c r="AF28" s="24">
        <f>'DAY 2 SCORES'!F29</f>
        <v>0</v>
      </c>
      <c r="AG28" s="24">
        <f>'DAY 1 SCORES'!G29</f>
        <v>0</v>
      </c>
      <c r="AH28" s="24">
        <f>'DAY 2 SCORES'!G29</f>
        <v>0</v>
      </c>
      <c r="AI28" s="24">
        <f t="shared" si="0"/>
        <v>0</v>
      </c>
      <c r="AJ28" s="24">
        <f>'DAY 1 SCORES'!H29</f>
        <v>120</v>
      </c>
      <c r="AK28" s="24">
        <f>'DAY 2 SCORES'!H29</f>
        <v>120</v>
      </c>
      <c r="AL28" s="24">
        <f t="shared" si="1"/>
        <v>240</v>
      </c>
    </row>
    <row r="29" spans="1:38" ht="24.75" customHeight="1">
      <c r="A29" s="58" t="str">
        <f>IF(B29="", "", ROW()-2)</f>
        <v/>
      </c>
      <c r="B29" s="59" t="str">
        <f>IF(REGISTRATION!B28="", "", REGISTRATION!B28)</f>
        <v/>
      </c>
      <c r="C29" s="59" t="str">
        <f>IF(B29="", "", _xlfn.XLOOKUP(B29, REGISTRATION!B:B, REGISTRATION!C:C, ""))</f>
        <v/>
      </c>
      <c r="D29" s="55">
        <f>IFERROR(INDEX('DAY 1 SCORES'!$E$4:$E$123, MATCH(B29, 'DAY 1 SCORES'!$B$4:$B$123, 0)), "")</f>
        <v>0</v>
      </c>
      <c r="E29" s="55">
        <f>SUMIF('DAY 1 SCORES'!$B$4:$B$123, B29, 'DAY 1 SCORES'!$F$4:$F$123)</f>
        <v>0</v>
      </c>
      <c r="F29" s="56">
        <f>IFERROR(INDEX('DAY 2 SCORES'!$E$4:$E$123, MATCH(B29, 'DAY 2 SCORES'!$B$4:$B$123, 0)), "")</f>
        <v>0</v>
      </c>
      <c r="G29" s="56">
        <f>SUMIF('DAY 2 SCORES'!$B$4:$B$123, B29, 'DAY 2 SCORES'!$F$4:$F$123)</f>
        <v>0</v>
      </c>
      <c r="H29" s="55">
        <f>SUMIF('DAY 1 SCORES'!$B$4:$B$123, B29, 'DAY 1 SCORES'!$D$4:$D$123)</f>
        <v>0</v>
      </c>
      <c r="I29" s="55">
        <f>SUMIF('DAY 2 SCORES'!$B$4:$B$123, B29, 'DAY 2 SCORES'!$D$4:$D$123)</f>
        <v>0</v>
      </c>
      <c r="J29" s="55">
        <f>H29+I29</f>
        <v>0</v>
      </c>
      <c r="K29" s="56">
        <f>SUMIF('DAY 1 SCORES'!$B$4:$B$123, B29, 'DAY 1 SCORES'!$H$4:$H$123)</f>
        <v>14400</v>
      </c>
      <c r="L29" s="56">
        <f>SUMIF('DAY 2 SCORES'!$B$4:$B$123, B29, 'DAY 2 SCORES'!$H$4:$H$123)</f>
        <v>14400</v>
      </c>
      <c r="M29" s="54">
        <f>IF(OR(B29="", B29=0), 999, SUM(K29:L29))</f>
        <v>999</v>
      </c>
      <c r="N29" s="24"/>
      <c r="O29" s="24"/>
      <c r="P29" s="24"/>
      <c r="Q29" s="24"/>
      <c r="R29" s="24"/>
      <c r="S29" s="24"/>
      <c r="T29" s="24"/>
      <c r="U29" s="24"/>
      <c r="V29" s="24"/>
      <c r="W29" s="24"/>
      <c r="X29" s="24"/>
      <c r="Y29" s="24"/>
      <c r="Z29" s="24"/>
      <c r="AA29" s="24" t="str">
        <f>REGISTRATION!B28</f>
        <v/>
      </c>
      <c r="AB29" s="24" t="str">
        <f>REGISTRATION!C28</f>
        <v/>
      </c>
      <c r="AC29" s="24">
        <f>'DAY 1 SCORES'!E30</f>
        <v>0</v>
      </c>
      <c r="AD29" s="24">
        <f>'DAY 1 SCORES'!F30</f>
        <v>0</v>
      </c>
      <c r="AE29" s="24">
        <f>'DAY 2 SCORES'!E30</f>
        <v>0</v>
      </c>
      <c r="AF29" s="24">
        <f>'DAY 2 SCORES'!F30</f>
        <v>0</v>
      </c>
      <c r="AG29" s="24">
        <f>'DAY 1 SCORES'!G30</f>
        <v>0</v>
      </c>
      <c r="AH29" s="24">
        <f>'DAY 2 SCORES'!G30</f>
        <v>0</v>
      </c>
      <c r="AI29" s="24">
        <f t="shared" si="0"/>
        <v>0</v>
      </c>
      <c r="AJ29" s="24">
        <f>'DAY 1 SCORES'!H30</f>
        <v>120</v>
      </c>
      <c r="AK29" s="24">
        <f>'DAY 2 SCORES'!H30</f>
        <v>120</v>
      </c>
      <c r="AL29" s="24">
        <f t="shared" si="1"/>
        <v>240</v>
      </c>
    </row>
    <row r="30" spans="1:38" ht="24.75" customHeight="1">
      <c r="A30" s="58" t="str">
        <f>IF(B30="", "", ROW()-2)</f>
        <v/>
      </c>
      <c r="B30" s="59" t="str">
        <f>IF(REGISTRATION!B29="", "", REGISTRATION!B29)</f>
        <v/>
      </c>
      <c r="C30" s="59" t="str">
        <f>IF(B30="", "", _xlfn.XLOOKUP(B30, REGISTRATION!B:B, REGISTRATION!C:C, ""))</f>
        <v/>
      </c>
      <c r="D30" s="55">
        <f>IFERROR(INDEX('DAY 1 SCORES'!$E$4:$E$123, MATCH(B30, 'DAY 1 SCORES'!$B$4:$B$123, 0)), "")</f>
        <v>0</v>
      </c>
      <c r="E30" s="55">
        <f>SUMIF('DAY 1 SCORES'!$B$4:$B$123, B30, 'DAY 1 SCORES'!$F$4:$F$123)</f>
        <v>0</v>
      </c>
      <c r="F30" s="56">
        <f>IFERROR(INDEX('DAY 2 SCORES'!$E$4:$E$123, MATCH(B30, 'DAY 2 SCORES'!$B$4:$B$123, 0)), "")</f>
        <v>0</v>
      </c>
      <c r="G30" s="56">
        <f>SUMIF('DAY 2 SCORES'!$B$4:$B$123, B30, 'DAY 2 SCORES'!$F$4:$F$123)</f>
        <v>0</v>
      </c>
      <c r="H30" s="55">
        <f>SUMIF('DAY 1 SCORES'!$B$4:$B$123, B30, 'DAY 1 SCORES'!$D$4:$D$123)</f>
        <v>0</v>
      </c>
      <c r="I30" s="55">
        <f>SUMIF('DAY 2 SCORES'!$B$4:$B$123, B30, 'DAY 2 SCORES'!$D$4:$D$123)</f>
        <v>0</v>
      </c>
      <c r="J30" s="55">
        <f>H30+I30</f>
        <v>0</v>
      </c>
      <c r="K30" s="56">
        <f>SUMIF('DAY 1 SCORES'!$B$4:$B$123, B30, 'DAY 1 SCORES'!$H$4:$H$123)</f>
        <v>14400</v>
      </c>
      <c r="L30" s="56">
        <f>SUMIF('DAY 2 SCORES'!$B$4:$B$123, B30, 'DAY 2 SCORES'!$H$4:$H$123)</f>
        <v>14400</v>
      </c>
      <c r="M30" s="54">
        <f>IF(OR(B30="", B30=0), 999, SUM(K30:L30))</f>
        <v>999</v>
      </c>
      <c r="N30" s="24"/>
      <c r="O30" s="24"/>
      <c r="P30" s="24"/>
      <c r="Q30" s="24"/>
      <c r="R30" s="24"/>
      <c r="S30" s="24"/>
      <c r="T30" s="24"/>
      <c r="U30" s="24"/>
      <c r="V30" s="24"/>
      <c r="W30" s="24"/>
      <c r="X30" s="24"/>
      <c r="Y30" s="24"/>
      <c r="Z30" s="24"/>
      <c r="AA30" s="24" t="str">
        <f>REGISTRATION!B29</f>
        <v/>
      </c>
      <c r="AB30" s="24" t="str">
        <f>REGISTRATION!C29</f>
        <v/>
      </c>
      <c r="AC30" s="24">
        <f>'DAY 1 SCORES'!E31</f>
        <v>0</v>
      </c>
      <c r="AD30" s="24">
        <f>'DAY 1 SCORES'!F31</f>
        <v>0</v>
      </c>
      <c r="AE30" s="24">
        <f>'DAY 2 SCORES'!E31</f>
        <v>0</v>
      </c>
      <c r="AF30" s="24">
        <f>'DAY 2 SCORES'!F31</f>
        <v>0</v>
      </c>
      <c r="AG30" s="24">
        <f>'DAY 1 SCORES'!G31</f>
        <v>0</v>
      </c>
      <c r="AH30" s="24">
        <f>'DAY 2 SCORES'!G31</f>
        <v>0</v>
      </c>
      <c r="AI30" s="24">
        <f t="shared" si="0"/>
        <v>0</v>
      </c>
      <c r="AJ30" s="24">
        <f>'DAY 1 SCORES'!H31</f>
        <v>120</v>
      </c>
      <c r="AK30" s="24">
        <f>'DAY 2 SCORES'!H31</f>
        <v>120</v>
      </c>
      <c r="AL30" s="24">
        <f t="shared" si="1"/>
        <v>240</v>
      </c>
    </row>
    <row r="31" spans="1:38" ht="24.75" customHeight="1">
      <c r="A31" s="58" t="str">
        <f>IF(B31="", "", ROW()-2)</f>
        <v/>
      </c>
      <c r="B31" s="59" t="str">
        <f>IF(REGISTRATION!B30="", "", REGISTRATION!B30)</f>
        <v/>
      </c>
      <c r="C31" s="59" t="str">
        <f>IF(B31="", "", _xlfn.XLOOKUP(B31, REGISTRATION!B:B, REGISTRATION!C:C, ""))</f>
        <v/>
      </c>
      <c r="D31" s="55">
        <f>IFERROR(INDEX('DAY 1 SCORES'!$E$4:$E$123, MATCH(B31, 'DAY 1 SCORES'!$B$4:$B$123, 0)), "")</f>
        <v>0</v>
      </c>
      <c r="E31" s="55">
        <f>SUMIF('DAY 1 SCORES'!$B$4:$B$123, B31, 'DAY 1 SCORES'!$F$4:$F$123)</f>
        <v>0</v>
      </c>
      <c r="F31" s="56">
        <f>IFERROR(INDEX('DAY 2 SCORES'!$E$4:$E$123, MATCH(B31, 'DAY 2 SCORES'!$B$4:$B$123, 0)), "")</f>
        <v>0</v>
      </c>
      <c r="G31" s="56">
        <f>SUMIF('DAY 2 SCORES'!$B$4:$B$123, B31, 'DAY 2 SCORES'!$F$4:$F$123)</f>
        <v>0</v>
      </c>
      <c r="H31" s="55">
        <f>SUMIF('DAY 1 SCORES'!$B$4:$B$123, B31, 'DAY 1 SCORES'!$D$4:$D$123)</f>
        <v>0</v>
      </c>
      <c r="I31" s="55">
        <f>SUMIF('DAY 2 SCORES'!$B$4:$B$123, B31, 'DAY 2 SCORES'!$D$4:$D$123)</f>
        <v>0</v>
      </c>
      <c r="J31" s="55">
        <f>H31+I31</f>
        <v>0</v>
      </c>
      <c r="K31" s="56">
        <f>SUMIF('DAY 1 SCORES'!$B$4:$B$123, B31, 'DAY 1 SCORES'!$H$4:$H$123)</f>
        <v>14400</v>
      </c>
      <c r="L31" s="56">
        <f>SUMIF('DAY 2 SCORES'!$B$4:$B$123, B31, 'DAY 2 SCORES'!$H$4:$H$123)</f>
        <v>14400</v>
      </c>
      <c r="M31" s="54">
        <f>IF(OR(B31="", B31=0), 999, SUM(K31:L31))</f>
        <v>999</v>
      </c>
      <c r="N31" s="24"/>
      <c r="O31" s="24"/>
      <c r="P31" s="24"/>
      <c r="Q31" s="24"/>
      <c r="R31" s="24"/>
      <c r="S31" s="24"/>
      <c r="T31" s="24"/>
      <c r="U31" s="24"/>
      <c r="V31" s="24"/>
      <c r="W31" s="24"/>
      <c r="X31" s="24"/>
      <c r="Y31" s="24"/>
      <c r="Z31" s="24"/>
      <c r="AA31" s="24" t="str">
        <f>REGISTRATION!B30</f>
        <v/>
      </c>
      <c r="AB31" s="24" t="str">
        <f>REGISTRATION!C30</f>
        <v/>
      </c>
      <c r="AC31" s="24">
        <f>'DAY 1 SCORES'!E32</f>
        <v>0</v>
      </c>
      <c r="AD31" s="24">
        <f>'DAY 1 SCORES'!F32</f>
        <v>0</v>
      </c>
      <c r="AE31" s="24">
        <f>'DAY 2 SCORES'!E32</f>
        <v>0</v>
      </c>
      <c r="AF31" s="24">
        <f>'DAY 2 SCORES'!F32</f>
        <v>0</v>
      </c>
      <c r="AG31" s="24">
        <f>'DAY 1 SCORES'!G32</f>
        <v>0</v>
      </c>
      <c r="AH31" s="24">
        <f>'DAY 2 SCORES'!G32</f>
        <v>0</v>
      </c>
      <c r="AI31" s="24">
        <f t="shared" si="0"/>
        <v>0</v>
      </c>
      <c r="AJ31" s="24">
        <f>'DAY 1 SCORES'!H32</f>
        <v>120</v>
      </c>
      <c r="AK31" s="24">
        <f>'DAY 2 SCORES'!H32</f>
        <v>120</v>
      </c>
      <c r="AL31" s="24">
        <f t="shared" si="1"/>
        <v>240</v>
      </c>
    </row>
    <row r="32" spans="1:38" ht="24.75" customHeight="1">
      <c r="A32" s="58" t="str">
        <f>IF(B32="", "", ROW()-2)</f>
        <v/>
      </c>
      <c r="B32" s="59" t="str">
        <f>IF(REGISTRATION!B31="", "", REGISTRATION!B31)</f>
        <v/>
      </c>
      <c r="C32" s="59" t="str">
        <f>IF(B32="", "", _xlfn.XLOOKUP(B32, REGISTRATION!B:B, REGISTRATION!C:C, ""))</f>
        <v/>
      </c>
      <c r="D32" s="55">
        <f>IFERROR(INDEX('DAY 1 SCORES'!$E$4:$E$123, MATCH(B32, 'DAY 1 SCORES'!$B$4:$B$123, 0)), "")</f>
        <v>0</v>
      </c>
      <c r="E32" s="55">
        <f>SUMIF('DAY 1 SCORES'!$B$4:$B$123, B32, 'DAY 1 SCORES'!$F$4:$F$123)</f>
        <v>0</v>
      </c>
      <c r="F32" s="56">
        <f>IFERROR(INDEX('DAY 2 SCORES'!$E$4:$E$123, MATCH(B32, 'DAY 2 SCORES'!$B$4:$B$123, 0)), "")</f>
        <v>0</v>
      </c>
      <c r="G32" s="56">
        <f>SUMIF('DAY 2 SCORES'!$B$4:$B$123, B32, 'DAY 2 SCORES'!$F$4:$F$123)</f>
        <v>0</v>
      </c>
      <c r="H32" s="55">
        <f>SUMIF('DAY 1 SCORES'!$B$4:$B$123, B32, 'DAY 1 SCORES'!$D$4:$D$123)</f>
        <v>0</v>
      </c>
      <c r="I32" s="55">
        <f>SUMIF('DAY 2 SCORES'!$B$4:$B$123, B32, 'DAY 2 SCORES'!$D$4:$D$123)</f>
        <v>0</v>
      </c>
      <c r="J32" s="55">
        <f>H32+I32</f>
        <v>0</v>
      </c>
      <c r="K32" s="56">
        <f>SUMIF('DAY 1 SCORES'!$B$4:$B$123, B32, 'DAY 1 SCORES'!$H$4:$H$123)</f>
        <v>14400</v>
      </c>
      <c r="L32" s="56">
        <f>SUMIF('DAY 2 SCORES'!$B$4:$B$123, B32, 'DAY 2 SCORES'!$H$4:$H$123)</f>
        <v>14400</v>
      </c>
      <c r="M32" s="54">
        <f>IF(OR(B32="", B32=0), 999, SUM(K32:L32))</f>
        <v>999</v>
      </c>
      <c r="N32" s="24"/>
      <c r="O32" s="24"/>
      <c r="P32" s="24"/>
      <c r="Q32" s="24"/>
      <c r="R32" s="24"/>
      <c r="S32" s="24"/>
      <c r="T32" s="24"/>
      <c r="U32" s="24"/>
      <c r="V32" s="24"/>
      <c r="W32" s="24"/>
      <c r="X32" s="24"/>
      <c r="Y32" s="24"/>
      <c r="Z32" s="24"/>
      <c r="AA32" s="24" t="str">
        <f>REGISTRATION!B31</f>
        <v/>
      </c>
      <c r="AB32" s="24" t="str">
        <f>REGISTRATION!C31</f>
        <v/>
      </c>
      <c r="AC32" s="24">
        <f>'DAY 1 SCORES'!E33</f>
        <v>0</v>
      </c>
      <c r="AD32" s="24">
        <f>'DAY 1 SCORES'!F33</f>
        <v>0</v>
      </c>
      <c r="AE32" s="24">
        <f>'DAY 2 SCORES'!E33</f>
        <v>0</v>
      </c>
      <c r="AF32" s="24">
        <f>'DAY 2 SCORES'!F33</f>
        <v>0</v>
      </c>
      <c r="AG32" s="24">
        <f>'DAY 1 SCORES'!G33</f>
        <v>0</v>
      </c>
      <c r="AH32" s="24">
        <f>'DAY 2 SCORES'!G33</f>
        <v>0</v>
      </c>
      <c r="AI32" s="24">
        <f t="shared" si="0"/>
        <v>0</v>
      </c>
      <c r="AJ32" s="24">
        <f>'DAY 1 SCORES'!H33</f>
        <v>120</v>
      </c>
      <c r="AK32" s="24">
        <f>'DAY 2 SCORES'!H33</f>
        <v>120</v>
      </c>
      <c r="AL32" s="24">
        <f t="shared" si="1"/>
        <v>240</v>
      </c>
    </row>
    <row r="33" spans="1:38" ht="24.75" customHeight="1">
      <c r="A33" s="58" t="str">
        <f>IF(B33="", "", ROW()-2)</f>
        <v/>
      </c>
      <c r="B33" s="59" t="str">
        <f>IF(REGISTRATION!B32="", "", REGISTRATION!B32)</f>
        <v/>
      </c>
      <c r="C33" s="59" t="str">
        <f>IF(B33="", "", _xlfn.XLOOKUP(B33, REGISTRATION!B:B, REGISTRATION!C:C, ""))</f>
        <v/>
      </c>
      <c r="D33" s="55">
        <f>IFERROR(INDEX('DAY 1 SCORES'!$E$4:$E$123, MATCH(B33, 'DAY 1 SCORES'!$B$4:$B$123, 0)), "")</f>
        <v>0</v>
      </c>
      <c r="E33" s="55">
        <f>SUMIF('DAY 1 SCORES'!$B$4:$B$123, B33, 'DAY 1 SCORES'!$F$4:$F$123)</f>
        <v>0</v>
      </c>
      <c r="F33" s="56">
        <f>IFERROR(INDEX('DAY 2 SCORES'!$E$4:$E$123, MATCH(B33, 'DAY 2 SCORES'!$B$4:$B$123, 0)), "")</f>
        <v>0</v>
      </c>
      <c r="G33" s="56">
        <f>SUMIF('DAY 2 SCORES'!$B$4:$B$123, B33, 'DAY 2 SCORES'!$F$4:$F$123)</f>
        <v>0</v>
      </c>
      <c r="H33" s="55">
        <f>SUMIF('DAY 1 SCORES'!$B$4:$B$123, B33, 'DAY 1 SCORES'!$D$4:$D$123)</f>
        <v>0</v>
      </c>
      <c r="I33" s="55">
        <f>SUMIF('DAY 2 SCORES'!$B$4:$B$123, B33, 'DAY 2 SCORES'!$D$4:$D$123)</f>
        <v>0</v>
      </c>
      <c r="J33" s="55">
        <f>H33+I33</f>
        <v>0</v>
      </c>
      <c r="K33" s="56">
        <f>SUMIF('DAY 1 SCORES'!$B$4:$B$123, B33, 'DAY 1 SCORES'!$H$4:$H$123)</f>
        <v>14400</v>
      </c>
      <c r="L33" s="56">
        <f>SUMIF('DAY 2 SCORES'!$B$4:$B$123, B33, 'DAY 2 SCORES'!$H$4:$H$123)</f>
        <v>14400</v>
      </c>
      <c r="M33" s="54">
        <f>IF(OR(B33="", B33=0), 999, SUM(K33:L33))</f>
        <v>999</v>
      </c>
      <c r="N33" s="24"/>
      <c r="O33" s="24"/>
      <c r="P33" s="24"/>
      <c r="Q33" s="24"/>
      <c r="R33" s="24"/>
      <c r="S33" s="24"/>
      <c r="T33" s="24"/>
      <c r="U33" s="24"/>
      <c r="V33" s="24"/>
      <c r="W33" s="24"/>
      <c r="X33" s="24"/>
      <c r="Y33" s="24"/>
      <c r="Z33" s="24"/>
      <c r="AA33" s="24" t="str">
        <f>REGISTRATION!B32</f>
        <v/>
      </c>
      <c r="AB33" s="24" t="str">
        <f>REGISTRATION!C32</f>
        <v/>
      </c>
      <c r="AC33" s="24">
        <f>'DAY 1 SCORES'!E34</f>
        <v>0</v>
      </c>
      <c r="AD33" s="24">
        <f>'DAY 1 SCORES'!F34</f>
        <v>0</v>
      </c>
      <c r="AE33" s="24">
        <f>'DAY 2 SCORES'!E34</f>
        <v>0</v>
      </c>
      <c r="AF33" s="24">
        <f>'DAY 2 SCORES'!F34</f>
        <v>0</v>
      </c>
      <c r="AG33" s="24">
        <f>'DAY 1 SCORES'!G34</f>
        <v>0</v>
      </c>
      <c r="AH33" s="24">
        <f>'DAY 2 SCORES'!G34</f>
        <v>0</v>
      </c>
      <c r="AI33" s="24">
        <f t="shared" si="0"/>
        <v>0</v>
      </c>
      <c r="AJ33" s="24">
        <f>'DAY 1 SCORES'!H34</f>
        <v>120</v>
      </c>
      <c r="AK33" s="24">
        <f>'DAY 2 SCORES'!H34</f>
        <v>120</v>
      </c>
      <c r="AL33" s="24">
        <f t="shared" si="1"/>
        <v>240</v>
      </c>
    </row>
    <row r="34" spans="1:38" ht="24.75" customHeight="1">
      <c r="A34" s="58" t="str">
        <f>IF(B34="", "", ROW()-2)</f>
        <v/>
      </c>
      <c r="B34" s="59" t="str">
        <f>IF(REGISTRATION!B33="", "", REGISTRATION!B33)</f>
        <v/>
      </c>
      <c r="C34" s="59" t="str">
        <f>IF(B34="", "", _xlfn.XLOOKUP(B34, REGISTRATION!B:B, REGISTRATION!C:C, ""))</f>
        <v/>
      </c>
      <c r="D34" s="55">
        <f>IFERROR(INDEX('DAY 1 SCORES'!$E$4:$E$123, MATCH(B34, 'DAY 1 SCORES'!$B$4:$B$123, 0)), "")</f>
        <v>0</v>
      </c>
      <c r="E34" s="55">
        <f>SUMIF('DAY 1 SCORES'!$B$4:$B$123, B34, 'DAY 1 SCORES'!$F$4:$F$123)</f>
        <v>0</v>
      </c>
      <c r="F34" s="56">
        <f>IFERROR(INDEX('DAY 2 SCORES'!$E$4:$E$123, MATCH(B34, 'DAY 2 SCORES'!$B$4:$B$123, 0)), "")</f>
        <v>0</v>
      </c>
      <c r="G34" s="56">
        <f>SUMIF('DAY 2 SCORES'!$B$4:$B$123, B34, 'DAY 2 SCORES'!$F$4:$F$123)</f>
        <v>0</v>
      </c>
      <c r="H34" s="55">
        <f>SUMIF('DAY 1 SCORES'!$B$4:$B$123, B34, 'DAY 1 SCORES'!$D$4:$D$123)</f>
        <v>0</v>
      </c>
      <c r="I34" s="55">
        <f>SUMIF('DAY 2 SCORES'!$B$4:$B$123, B34, 'DAY 2 SCORES'!$D$4:$D$123)</f>
        <v>0</v>
      </c>
      <c r="J34" s="55">
        <f>H34+I34</f>
        <v>0</v>
      </c>
      <c r="K34" s="56">
        <f>SUMIF('DAY 1 SCORES'!$B$4:$B$123, B34, 'DAY 1 SCORES'!$H$4:$H$123)</f>
        <v>14400</v>
      </c>
      <c r="L34" s="56">
        <f>SUMIF('DAY 2 SCORES'!$B$4:$B$123, B34, 'DAY 2 SCORES'!$H$4:$H$123)</f>
        <v>14400</v>
      </c>
      <c r="M34" s="54">
        <f>IF(OR(B34="", B34=0), 999, SUM(K34:L34))</f>
        <v>999</v>
      </c>
      <c r="N34" s="24"/>
      <c r="O34" s="24"/>
      <c r="P34" s="24"/>
      <c r="Q34" s="24"/>
      <c r="R34" s="24"/>
      <c r="S34" s="24"/>
      <c r="T34" s="24"/>
      <c r="U34" s="24"/>
      <c r="V34" s="24"/>
      <c r="W34" s="24"/>
      <c r="X34" s="24"/>
      <c r="Y34" s="24"/>
      <c r="Z34" s="24"/>
      <c r="AA34" s="24" t="str">
        <f>REGISTRATION!B33</f>
        <v/>
      </c>
      <c r="AB34" s="24" t="str">
        <f>REGISTRATION!C33</f>
        <v/>
      </c>
      <c r="AC34" s="24">
        <f>'DAY 1 SCORES'!E35</f>
        <v>0</v>
      </c>
      <c r="AD34" s="24">
        <f>'DAY 1 SCORES'!F35</f>
        <v>0</v>
      </c>
      <c r="AE34" s="24">
        <f>'DAY 2 SCORES'!E35</f>
        <v>0</v>
      </c>
      <c r="AF34" s="24">
        <f>'DAY 2 SCORES'!F35</f>
        <v>0</v>
      </c>
      <c r="AG34" s="24">
        <f>'DAY 1 SCORES'!G35</f>
        <v>0</v>
      </c>
      <c r="AH34" s="24">
        <f>'DAY 2 SCORES'!G35</f>
        <v>0</v>
      </c>
      <c r="AI34" s="24">
        <f t="shared" si="0"/>
        <v>0</v>
      </c>
      <c r="AJ34" s="24">
        <f>'DAY 1 SCORES'!H35</f>
        <v>120</v>
      </c>
      <c r="AK34" s="24">
        <f>'DAY 2 SCORES'!H35</f>
        <v>120</v>
      </c>
      <c r="AL34" s="24">
        <f t="shared" si="1"/>
        <v>240</v>
      </c>
    </row>
    <row r="35" spans="1:38" ht="24.75" customHeight="1">
      <c r="A35" s="58" t="str">
        <f>IF(B35="", "", ROW()-2)</f>
        <v/>
      </c>
      <c r="B35" s="59" t="str">
        <f>IF(REGISTRATION!B34="", "", REGISTRATION!B34)</f>
        <v/>
      </c>
      <c r="C35" s="59" t="str">
        <f>IF(B35="", "", _xlfn.XLOOKUP(B35, REGISTRATION!B:B, REGISTRATION!C:C, ""))</f>
        <v/>
      </c>
      <c r="D35" s="55">
        <f>IFERROR(INDEX('DAY 1 SCORES'!$E$4:$E$123, MATCH(B35, 'DAY 1 SCORES'!$B$4:$B$123, 0)), "")</f>
        <v>0</v>
      </c>
      <c r="E35" s="55">
        <f>SUMIF('DAY 1 SCORES'!$B$4:$B$123, B35, 'DAY 1 SCORES'!$F$4:$F$123)</f>
        <v>0</v>
      </c>
      <c r="F35" s="56">
        <f>IFERROR(INDEX('DAY 2 SCORES'!$E$4:$E$123, MATCH(B35, 'DAY 2 SCORES'!$B$4:$B$123, 0)), "")</f>
        <v>0</v>
      </c>
      <c r="G35" s="56">
        <f>SUMIF('DAY 2 SCORES'!$B$4:$B$123, B35, 'DAY 2 SCORES'!$F$4:$F$123)</f>
        <v>0</v>
      </c>
      <c r="H35" s="55">
        <f>SUMIF('DAY 1 SCORES'!$B$4:$B$123, B35, 'DAY 1 SCORES'!$D$4:$D$123)</f>
        <v>0</v>
      </c>
      <c r="I35" s="55">
        <f>SUMIF('DAY 2 SCORES'!$B$4:$B$123, B35, 'DAY 2 SCORES'!$D$4:$D$123)</f>
        <v>0</v>
      </c>
      <c r="J35" s="55">
        <f>H35+I35</f>
        <v>0</v>
      </c>
      <c r="K35" s="56">
        <f>SUMIF('DAY 1 SCORES'!$B$4:$B$123, B35, 'DAY 1 SCORES'!$H$4:$H$123)</f>
        <v>14400</v>
      </c>
      <c r="L35" s="56">
        <f>SUMIF('DAY 2 SCORES'!$B$4:$B$123, B35, 'DAY 2 SCORES'!$H$4:$H$123)</f>
        <v>14400</v>
      </c>
      <c r="M35" s="54">
        <f>IF(OR(B35="", B35=0), 999, SUM(K35:L35))</f>
        <v>999</v>
      </c>
      <c r="N35" s="24"/>
      <c r="O35" s="24"/>
      <c r="P35" s="24"/>
      <c r="Q35" s="24"/>
      <c r="R35" s="24"/>
      <c r="S35" s="24"/>
      <c r="T35" s="24"/>
      <c r="U35" s="24"/>
      <c r="V35" s="24"/>
      <c r="W35" s="24"/>
      <c r="X35" s="24"/>
      <c r="Y35" s="24"/>
      <c r="Z35" s="24"/>
      <c r="AA35" s="24"/>
      <c r="AB35" s="24" t="str">
        <f>REGISTRATION!C34</f>
        <v/>
      </c>
      <c r="AC35" s="24">
        <f>'DAY 1 SCORES'!E36</f>
        <v>0</v>
      </c>
      <c r="AD35" s="24">
        <f>'DAY 1 SCORES'!F36</f>
        <v>0</v>
      </c>
      <c r="AE35" s="24">
        <f>'DAY 2 SCORES'!E36</f>
        <v>0</v>
      </c>
      <c r="AF35" s="24">
        <f>'DAY 2 SCORES'!F36</f>
        <v>0</v>
      </c>
      <c r="AG35" s="24">
        <f>'DAY 1 SCORES'!G36</f>
        <v>0</v>
      </c>
      <c r="AH35" s="24">
        <f>'DAY 2 SCORES'!G36</f>
        <v>0</v>
      </c>
      <c r="AI35" s="24">
        <f t="shared" si="0"/>
        <v>0</v>
      </c>
      <c r="AJ35" s="24">
        <f>'DAY 1 SCORES'!H36</f>
        <v>120</v>
      </c>
      <c r="AK35" s="24">
        <f>'DAY 2 SCORES'!H36</f>
        <v>120</v>
      </c>
      <c r="AL35" s="24">
        <f t="shared" si="1"/>
        <v>240</v>
      </c>
    </row>
    <row r="36" spans="1:38" ht="24.75" customHeight="1">
      <c r="A36" s="58" t="str">
        <f>IF(B36="", "", ROW()-2)</f>
        <v/>
      </c>
      <c r="B36" s="59" t="str">
        <f>IF(REGISTRATION!B35="", "", REGISTRATION!B35)</f>
        <v/>
      </c>
      <c r="C36" s="59" t="str">
        <f>IF(B36="", "", _xlfn.XLOOKUP(B36, REGISTRATION!B:B, REGISTRATION!C:C, ""))</f>
        <v/>
      </c>
      <c r="D36" s="55">
        <f>IFERROR(INDEX('DAY 1 SCORES'!$E$4:$E$123, MATCH(B36, 'DAY 1 SCORES'!$B$4:$B$123, 0)), "")</f>
        <v>0</v>
      </c>
      <c r="E36" s="55">
        <f>SUMIF('DAY 1 SCORES'!$B$4:$B$123, B36, 'DAY 1 SCORES'!$F$4:$F$123)</f>
        <v>0</v>
      </c>
      <c r="F36" s="56">
        <f>IFERROR(INDEX('DAY 2 SCORES'!$E$4:$E$123, MATCH(B36, 'DAY 2 SCORES'!$B$4:$B$123, 0)), "")</f>
        <v>0</v>
      </c>
      <c r="G36" s="56">
        <f>SUMIF('DAY 2 SCORES'!$B$4:$B$123, B36, 'DAY 2 SCORES'!$F$4:$F$123)</f>
        <v>0</v>
      </c>
      <c r="H36" s="55">
        <f>SUMIF('DAY 1 SCORES'!$B$4:$B$123, B36, 'DAY 1 SCORES'!$D$4:$D$123)</f>
        <v>0</v>
      </c>
      <c r="I36" s="55">
        <f>SUMIF('DAY 2 SCORES'!$B$4:$B$123, B36, 'DAY 2 SCORES'!$D$4:$D$123)</f>
        <v>0</v>
      </c>
      <c r="J36" s="55">
        <f>H36+I36</f>
        <v>0</v>
      </c>
      <c r="K36" s="56">
        <f>SUMIF('DAY 1 SCORES'!$B$4:$B$123, B36, 'DAY 1 SCORES'!$H$4:$H$123)</f>
        <v>14400</v>
      </c>
      <c r="L36" s="56">
        <f>SUMIF('DAY 2 SCORES'!$B$4:$B$123, B36, 'DAY 2 SCORES'!$H$4:$H$123)</f>
        <v>14400</v>
      </c>
      <c r="M36" s="54">
        <f>IF(OR(B36="", B36=0), 999, SUM(K36:L36))</f>
        <v>999</v>
      </c>
      <c r="N36" s="24"/>
      <c r="O36" s="24"/>
      <c r="P36" s="24"/>
      <c r="Q36" s="24"/>
      <c r="R36" s="24"/>
      <c r="S36" s="24"/>
      <c r="T36" s="24"/>
      <c r="U36" s="24"/>
      <c r="V36" s="24"/>
      <c r="W36" s="24"/>
      <c r="X36" s="24"/>
      <c r="Y36" s="24"/>
      <c r="Z36" s="24"/>
      <c r="AA36" s="24"/>
      <c r="AB36" s="24" t="str">
        <f>REGISTRATION!C35</f>
        <v/>
      </c>
      <c r="AC36" s="24">
        <f>'DAY 1 SCORES'!E37</f>
        <v>0</v>
      </c>
      <c r="AD36" s="24">
        <f>'DAY 1 SCORES'!F37</f>
        <v>0</v>
      </c>
      <c r="AE36" s="24">
        <f>'DAY 2 SCORES'!E37</f>
        <v>0</v>
      </c>
      <c r="AF36" s="24">
        <f>'DAY 2 SCORES'!F37</f>
        <v>0</v>
      </c>
      <c r="AG36" s="24">
        <f>'DAY 1 SCORES'!G37</f>
        <v>0</v>
      </c>
      <c r="AH36" s="24">
        <f>'DAY 2 SCORES'!G37</f>
        <v>0</v>
      </c>
      <c r="AI36" s="24">
        <f t="shared" si="0"/>
        <v>0</v>
      </c>
      <c r="AJ36" s="24">
        <f>'DAY 1 SCORES'!H37</f>
        <v>120</v>
      </c>
      <c r="AK36" s="24">
        <f>'DAY 2 SCORES'!H37</f>
        <v>120</v>
      </c>
      <c r="AL36" s="24">
        <f t="shared" si="1"/>
        <v>240</v>
      </c>
    </row>
    <row r="37" spans="1:38" ht="24.75" customHeight="1">
      <c r="A37" s="58" t="str">
        <f>IF(B37="", "", ROW()-2)</f>
        <v/>
      </c>
      <c r="B37" s="59" t="str">
        <f>IF(REGISTRATION!B36="", "", REGISTRATION!B36)</f>
        <v/>
      </c>
      <c r="C37" s="59" t="str">
        <f>IF(B37="", "", _xlfn.XLOOKUP(B37, REGISTRATION!B:B, REGISTRATION!C:C, ""))</f>
        <v/>
      </c>
      <c r="D37" s="55">
        <f>IFERROR(INDEX('DAY 1 SCORES'!$E$4:$E$123, MATCH(B37, 'DAY 1 SCORES'!$B$4:$B$123, 0)), "")</f>
        <v>0</v>
      </c>
      <c r="E37" s="55">
        <f>SUMIF('DAY 1 SCORES'!$B$4:$B$123, B37, 'DAY 1 SCORES'!$F$4:$F$123)</f>
        <v>0</v>
      </c>
      <c r="F37" s="56">
        <f>IFERROR(INDEX('DAY 2 SCORES'!$E$4:$E$123, MATCH(B37, 'DAY 2 SCORES'!$B$4:$B$123, 0)), "")</f>
        <v>0</v>
      </c>
      <c r="G37" s="56">
        <f>SUMIF('DAY 2 SCORES'!$B$4:$B$123, B37, 'DAY 2 SCORES'!$F$4:$F$123)</f>
        <v>0</v>
      </c>
      <c r="H37" s="55">
        <f>SUMIF('DAY 1 SCORES'!$B$4:$B$123, B37, 'DAY 1 SCORES'!$D$4:$D$123)</f>
        <v>0</v>
      </c>
      <c r="I37" s="55">
        <f>SUMIF('DAY 2 SCORES'!$B$4:$B$123, B37, 'DAY 2 SCORES'!$D$4:$D$123)</f>
        <v>0</v>
      </c>
      <c r="J37" s="55">
        <f>H37+I37</f>
        <v>0</v>
      </c>
      <c r="K37" s="56">
        <f>SUMIF('DAY 1 SCORES'!$B$4:$B$123, B37, 'DAY 1 SCORES'!$H$4:$H$123)</f>
        <v>14400</v>
      </c>
      <c r="L37" s="56">
        <f>SUMIF('DAY 2 SCORES'!$B$4:$B$123, B37, 'DAY 2 SCORES'!$H$4:$H$123)</f>
        <v>14400</v>
      </c>
      <c r="M37" s="54">
        <f>IF(OR(B37="", B37=0), 999, SUM(K37:L37))</f>
        <v>999</v>
      </c>
      <c r="N37" s="24"/>
      <c r="O37" s="24"/>
      <c r="P37" s="24"/>
      <c r="Q37" s="24"/>
      <c r="R37" s="24"/>
      <c r="S37" s="24"/>
      <c r="T37" s="24"/>
      <c r="U37" s="24"/>
      <c r="V37" s="24"/>
      <c r="W37" s="24"/>
      <c r="X37" s="24"/>
      <c r="Y37" s="24"/>
      <c r="Z37" s="24"/>
      <c r="AA37" s="24"/>
      <c r="AB37" s="24" t="str">
        <f>REGISTRATION!C36</f>
        <v/>
      </c>
      <c r="AC37" s="24">
        <f>'DAY 1 SCORES'!E38</f>
        <v>0</v>
      </c>
      <c r="AD37" s="24">
        <f>'DAY 1 SCORES'!F38</f>
        <v>0</v>
      </c>
      <c r="AE37" s="24">
        <f>'DAY 2 SCORES'!E38</f>
        <v>0</v>
      </c>
      <c r="AF37" s="24">
        <f>'DAY 2 SCORES'!F38</f>
        <v>0</v>
      </c>
      <c r="AG37" s="24">
        <f>'DAY 1 SCORES'!G38</f>
        <v>0</v>
      </c>
      <c r="AH37" s="24">
        <f>'DAY 2 SCORES'!G38</f>
        <v>0</v>
      </c>
      <c r="AI37" s="24">
        <f t="shared" si="0"/>
        <v>0</v>
      </c>
      <c r="AJ37" s="24">
        <f>'DAY 1 SCORES'!H38</f>
        <v>120</v>
      </c>
      <c r="AK37" s="24">
        <f>'DAY 2 SCORES'!H38</f>
        <v>120</v>
      </c>
      <c r="AL37" s="24">
        <f t="shared" si="1"/>
        <v>240</v>
      </c>
    </row>
    <row r="38" spans="1:38" ht="24.75" customHeight="1">
      <c r="A38" s="58" t="str">
        <f>IF(B38="", "", ROW()-2)</f>
        <v/>
      </c>
      <c r="B38" s="59" t="str">
        <f>IF(REGISTRATION!B37="", "", REGISTRATION!B37)</f>
        <v/>
      </c>
      <c r="C38" s="59" t="str">
        <f>IF(B38="", "", _xlfn.XLOOKUP(B38, REGISTRATION!B:B, REGISTRATION!C:C, ""))</f>
        <v/>
      </c>
      <c r="D38" s="55">
        <f>IFERROR(INDEX('DAY 1 SCORES'!$E$4:$E$123, MATCH(B38, 'DAY 1 SCORES'!$B$4:$B$123, 0)), "")</f>
        <v>0</v>
      </c>
      <c r="E38" s="55">
        <f>SUMIF('DAY 1 SCORES'!$B$4:$B$123, B38, 'DAY 1 SCORES'!$F$4:$F$123)</f>
        <v>0</v>
      </c>
      <c r="F38" s="56">
        <f>IFERROR(INDEX('DAY 2 SCORES'!$E$4:$E$123, MATCH(B38, 'DAY 2 SCORES'!$B$4:$B$123, 0)), "")</f>
        <v>0</v>
      </c>
      <c r="G38" s="56">
        <f>SUMIF('DAY 2 SCORES'!$B$4:$B$123, B38, 'DAY 2 SCORES'!$F$4:$F$123)</f>
        <v>0</v>
      </c>
      <c r="H38" s="55">
        <f>SUMIF('DAY 1 SCORES'!$B$4:$B$123, B38, 'DAY 1 SCORES'!$D$4:$D$123)</f>
        <v>0</v>
      </c>
      <c r="I38" s="55">
        <f>SUMIF('DAY 2 SCORES'!$B$4:$B$123, B38, 'DAY 2 SCORES'!$D$4:$D$123)</f>
        <v>0</v>
      </c>
      <c r="J38" s="55">
        <f>H38+I38</f>
        <v>0</v>
      </c>
      <c r="K38" s="56">
        <f>SUMIF('DAY 1 SCORES'!$B$4:$B$123, B38, 'DAY 1 SCORES'!$H$4:$H$123)</f>
        <v>14400</v>
      </c>
      <c r="L38" s="56">
        <f>SUMIF('DAY 2 SCORES'!$B$4:$B$123, B38, 'DAY 2 SCORES'!$H$4:$H$123)</f>
        <v>14400</v>
      </c>
      <c r="M38" s="54">
        <f>IF(OR(B38="", B38=0), 999, SUM(K38:L38))</f>
        <v>999</v>
      </c>
      <c r="N38" s="24"/>
      <c r="O38" s="24"/>
      <c r="P38" s="24"/>
      <c r="Q38" s="24"/>
      <c r="R38" s="24"/>
      <c r="S38" s="24"/>
      <c r="T38" s="24"/>
      <c r="U38" s="24"/>
      <c r="V38" s="24"/>
      <c r="W38" s="24"/>
      <c r="X38" s="24"/>
      <c r="Y38" s="24"/>
      <c r="Z38" s="24"/>
      <c r="AA38" s="24"/>
      <c r="AB38" s="24" t="str">
        <f>REGISTRATION!C37</f>
        <v/>
      </c>
      <c r="AC38" s="24">
        <f>'DAY 1 SCORES'!E39</f>
        <v>0</v>
      </c>
      <c r="AD38" s="24">
        <f>'DAY 1 SCORES'!F39</f>
        <v>0</v>
      </c>
      <c r="AE38" s="24">
        <f>'DAY 2 SCORES'!E39</f>
        <v>0</v>
      </c>
      <c r="AF38" s="24">
        <f>'DAY 2 SCORES'!F39</f>
        <v>0</v>
      </c>
      <c r="AG38" s="24">
        <f>'DAY 1 SCORES'!G39</f>
        <v>0</v>
      </c>
      <c r="AH38" s="24">
        <f>'DAY 2 SCORES'!G39</f>
        <v>0</v>
      </c>
      <c r="AI38" s="24">
        <f t="shared" si="0"/>
        <v>0</v>
      </c>
      <c r="AJ38" s="24">
        <f>'DAY 1 SCORES'!H39</f>
        <v>120</v>
      </c>
      <c r="AK38" s="24">
        <f>'DAY 2 SCORES'!H39</f>
        <v>120</v>
      </c>
      <c r="AL38" s="24">
        <f t="shared" si="1"/>
        <v>240</v>
      </c>
    </row>
    <row r="39" spans="1:38" ht="24.75" customHeight="1">
      <c r="A39" s="58" t="str">
        <f>IF(B39="", "", ROW()-2)</f>
        <v/>
      </c>
      <c r="B39" s="59" t="str">
        <f>IF(REGISTRATION!B38="", "", REGISTRATION!B38)</f>
        <v/>
      </c>
      <c r="C39" s="59" t="str">
        <f>IF(B39="", "", _xlfn.XLOOKUP(B39, REGISTRATION!B:B, REGISTRATION!C:C, ""))</f>
        <v/>
      </c>
      <c r="D39" s="55">
        <f>IFERROR(INDEX('DAY 1 SCORES'!$E$4:$E$123, MATCH(B39, 'DAY 1 SCORES'!$B$4:$B$123, 0)), "")</f>
        <v>0</v>
      </c>
      <c r="E39" s="55">
        <f>SUMIF('DAY 1 SCORES'!$B$4:$B$123, B39, 'DAY 1 SCORES'!$F$4:$F$123)</f>
        <v>0</v>
      </c>
      <c r="F39" s="56">
        <f>IFERROR(INDEX('DAY 2 SCORES'!$E$4:$E$123, MATCH(B39, 'DAY 2 SCORES'!$B$4:$B$123, 0)), "")</f>
        <v>0</v>
      </c>
      <c r="G39" s="56">
        <f>SUMIF('DAY 2 SCORES'!$B$4:$B$123, B39, 'DAY 2 SCORES'!$F$4:$F$123)</f>
        <v>0</v>
      </c>
      <c r="H39" s="55">
        <f>SUMIF('DAY 1 SCORES'!$B$4:$B$123, B39, 'DAY 1 SCORES'!$D$4:$D$123)</f>
        <v>0</v>
      </c>
      <c r="I39" s="55">
        <f>SUMIF('DAY 2 SCORES'!$B$4:$B$123, B39, 'DAY 2 SCORES'!$D$4:$D$123)</f>
        <v>0</v>
      </c>
      <c r="J39" s="55">
        <f>H39+I39</f>
        <v>0</v>
      </c>
      <c r="K39" s="56">
        <f>SUMIF('DAY 1 SCORES'!$B$4:$B$123, B39, 'DAY 1 SCORES'!$H$4:$H$123)</f>
        <v>14400</v>
      </c>
      <c r="L39" s="56">
        <f>SUMIF('DAY 2 SCORES'!$B$4:$B$123, B39, 'DAY 2 SCORES'!$H$4:$H$123)</f>
        <v>14400</v>
      </c>
      <c r="M39" s="54">
        <f>IF(OR(B39="", B39=0), 999, SUM(K39:L39))</f>
        <v>999</v>
      </c>
      <c r="N39" s="24"/>
      <c r="O39" s="24"/>
      <c r="P39" s="24"/>
      <c r="Q39" s="24"/>
      <c r="R39" s="24"/>
      <c r="S39" s="24"/>
      <c r="T39" s="24"/>
      <c r="U39" s="24"/>
      <c r="V39" s="24"/>
      <c r="W39" s="24"/>
      <c r="X39" s="24"/>
      <c r="Y39" s="24"/>
      <c r="Z39" s="24"/>
      <c r="AA39" s="24"/>
      <c r="AB39" s="24" t="str">
        <f>REGISTRATION!C38</f>
        <v/>
      </c>
      <c r="AC39" s="24">
        <f>'DAY 1 SCORES'!E40</f>
        <v>0</v>
      </c>
      <c r="AD39" s="24">
        <f>'DAY 1 SCORES'!F40</f>
        <v>0</v>
      </c>
      <c r="AE39" s="24">
        <f>'DAY 2 SCORES'!E40</f>
        <v>0</v>
      </c>
      <c r="AF39" s="24">
        <f>'DAY 2 SCORES'!F40</f>
        <v>0</v>
      </c>
      <c r="AG39" s="24">
        <f>'DAY 1 SCORES'!G40</f>
        <v>0</v>
      </c>
      <c r="AH39" s="24">
        <f>'DAY 2 SCORES'!G40</f>
        <v>0</v>
      </c>
      <c r="AI39" s="24">
        <f t="shared" si="0"/>
        <v>0</v>
      </c>
      <c r="AJ39" s="24">
        <f>'DAY 1 SCORES'!H40</f>
        <v>120</v>
      </c>
      <c r="AK39" s="24">
        <f>'DAY 2 SCORES'!H40</f>
        <v>120</v>
      </c>
      <c r="AL39" s="24">
        <f t="shared" si="1"/>
        <v>240</v>
      </c>
    </row>
    <row r="40" spans="1:38" ht="24.75" customHeight="1">
      <c r="A40" s="58" t="str">
        <f>IF(B40="", "", ROW()-2)</f>
        <v/>
      </c>
      <c r="B40" s="59" t="str">
        <f>IF(REGISTRATION!B39="", "", REGISTRATION!B39)</f>
        <v/>
      </c>
      <c r="C40" s="59" t="str">
        <f>IF(B40="", "", _xlfn.XLOOKUP(B40, REGISTRATION!B:B, REGISTRATION!C:C, ""))</f>
        <v/>
      </c>
      <c r="D40" s="55">
        <f>IFERROR(INDEX('DAY 1 SCORES'!$E$4:$E$123, MATCH(B40, 'DAY 1 SCORES'!$B$4:$B$123, 0)), "")</f>
        <v>0</v>
      </c>
      <c r="E40" s="55">
        <f>SUMIF('DAY 1 SCORES'!$B$4:$B$123, B40, 'DAY 1 SCORES'!$F$4:$F$123)</f>
        <v>0</v>
      </c>
      <c r="F40" s="56">
        <f>IFERROR(INDEX('DAY 2 SCORES'!$E$4:$E$123, MATCH(B40, 'DAY 2 SCORES'!$B$4:$B$123, 0)), "")</f>
        <v>0</v>
      </c>
      <c r="G40" s="56">
        <f>SUMIF('DAY 2 SCORES'!$B$4:$B$123, B40, 'DAY 2 SCORES'!$F$4:$F$123)</f>
        <v>0</v>
      </c>
      <c r="H40" s="55">
        <f>SUMIF('DAY 1 SCORES'!$B$4:$B$123, B40, 'DAY 1 SCORES'!$D$4:$D$123)</f>
        <v>0</v>
      </c>
      <c r="I40" s="55">
        <f>SUMIF('DAY 2 SCORES'!$B$4:$B$123, B40, 'DAY 2 SCORES'!$D$4:$D$123)</f>
        <v>0</v>
      </c>
      <c r="J40" s="55">
        <f>H40+I40</f>
        <v>0</v>
      </c>
      <c r="K40" s="56">
        <f>SUMIF('DAY 1 SCORES'!$B$4:$B$123, B40, 'DAY 1 SCORES'!$H$4:$H$123)</f>
        <v>14400</v>
      </c>
      <c r="L40" s="56">
        <f>SUMIF('DAY 2 SCORES'!$B$4:$B$123, B40, 'DAY 2 SCORES'!$H$4:$H$123)</f>
        <v>14400</v>
      </c>
      <c r="M40" s="54">
        <f>IF(OR(B40="", B40=0), 999, SUM(K40:L40))</f>
        <v>999</v>
      </c>
      <c r="N40" s="24"/>
      <c r="O40" s="24"/>
      <c r="P40" s="24"/>
      <c r="Q40" s="24"/>
      <c r="R40" s="24"/>
      <c r="S40" s="24"/>
      <c r="T40" s="24"/>
      <c r="U40" s="24"/>
      <c r="V40" s="24"/>
      <c r="W40" s="24"/>
      <c r="X40" s="24"/>
      <c r="Y40" s="24"/>
      <c r="Z40" s="24"/>
      <c r="AA40" s="24"/>
      <c r="AB40" s="24" t="str">
        <f>REGISTRATION!C39</f>
        <v/>
      </c>
      <c r="AC40" s="24">
        <f>'DAY 1 SCORES'!E41</f>
        <v>0</v>
      </c>
      <c r="AD40" s="24">
        <f>'DAY 1 SCORES'!F41</f>
        <v>0</v>
      </c>
      <c r="AE40" s="24">
        <f>'DAY 2 SCORES'!E41</f>
        <v>0</v>
      </c>
      <c r="AF40" s="24">
        <f>'DAY 2 SCORES'!F41</f>
        <v>0</v>
      </c>
      <c r="AG40" s="24">
        <f>'DAY 1 SCORES'!G41</f>
        <v>0</v>
      </c>
      <c r="AH40" s="24">
        <f>'DAY 2 SCORES'!G41</f>
        <v>0</v>
      </c>
      <c r="AI40" s="24">
        <f t="shared" si="0"/>
        <v>0</v>
      </c>
      <c r="AJ40" s="24">
        <f>'DAY 1 SCORES'!H41</f>
        <v>120</v>
      </c>
      <c r="AK40" s="24">
        <f>'DAY 2 SCORES'!H41</f>
        <v>120</v>
      </c>
      <c r="AL40" s="24">
        <f t="shared" si="1"/>
        <v>240</v>
      </c>
    </row>
    <row r="41" spans="1:38" ht="24.75" customHeight="1">
      <c r="A41" s="58" t="str">
        <f>IF(B41="", "", ROW()-2)</f>
        <v/>
      </c>
      <c r="B41" s="59" t="str">
        <f>IF(REGISTRATION!B40="", "", REGISTRATION!B40)</f>
        <v/>
      </c>
      <c r="C41" s="59" t="str">
        <f>IF(B41="", "", _xlfn.XLOOKUP(B41, REGISTRATION!B:B, REGISTRATION!C:C, ""))</f>
        <v/>
      </c>
      <c r="D41" s="55">
        <f>IFERROR(INDEX('DAY 1 SCORES'!$E$4:$E$123, MATCH(B41, 'DAY 1 SCORES'!$B$4:$B$123, 0)), "")</f>
        <v>0</v>
      </c>
      <c r="E41" s="55">
        <f>SUMIF('DAY 1 SCORES'!$B$4:$B$123, B41, 'DAY 1 SCORES'!$F$4:$F$123)</f>
        <v>0</v>
      </c>
      <c r="F41" s="56">
        <f>IFERROR(INDEX('DAY 2 SCORES'!$E$4:$E$123, MATCH(B41, 'DAY 2 SCORES'!$B$4:$B$123, 0)), "")</f>
        <v>0</v>
      </c>
      <c r="G41" s="56">
        <f>SUMIF('DAY 2 SCORES'!$B$4:$B$123, B41, 'DAY 2 SCORES'!$F$4:$F$123)</f>
        <v>0</v>
      </c>
      <c r="H41" s="55">
        <f>SUMIF('DAY 1 SCORES'!$B$4:$B$123, B41, 'DAY 1 SCORES'!$D$4:$D$123)</f>
        <v>0</v>
      </c>
      <c r="I41" s="55">
        <f>SUMIF('DAY 2 SCORES'!$B$4:$B$123, B41, 'DAY 2 SCORES'!$D$4:$D$123)</f>
        <v>0</v>
      </c>
      <c r="J41" s="55">
        <f>H41+I41</f>
        <v>0</v>
      </c>
      <c r="K41" s="56">
        <f>SUMIF('DAY 1 SCORES'!$B$4:$B$123, B41, 'DAY 1 SCORES'!$H$4:$H$123)</f>
        <v>14400</v>
      </c>
      <c r="L41" s="56">
        <f>SUMIF('DAY 2 SCORES'!$B$4:$B$123, B41, 'DAY 2 SCORES'!$H$4:$H$123)</f>
        <v>14400</v>
      </c>
      <c r="M41" s="54">
        <f>IF(OR(B41="", B41=0), 999, SUM(K41:L41))</f>
        <v>999</v>
      </c>
      <c r="N41" s="24"/>
      <c r="O41" s="24"/>
      <c r="P41" s="24"/>
      <c r="Q41" s="24"/>
      <c r="R41" s="24"/>
      <c r="S41" s="24"/>
      <c r="T41" s="24"/>
      <c r="U41" s="24"/>
      <c r="V41" s="24"/>
      <c r="W41" s="24"/>
      <c r="X41" s="24"/>
      <c r="Y41" s="24"/>
      <c r="Z41" s="24"/>
      <c r="AA41" s="24"/>
      <c r="AB41" s="24" t="str">
        <f>REGISTRATION!C40</f>
        <v/>
      </c>
      <c r="AC41" s="24">
        <f>'DAY 1 SCORES'!E42</f>
        <v>0</v>
      </c>
      <c r="AD41" s="24">
        <f>'DAY 1 SCORES'!F42</f>
        <v>0</v>
      </c>
      <c r="AE41" s="24">
        <f>'DAY 2 SCORES'!E42</f>
        <v>0</v>
      </c>
      <c r="AF41" s="24">
        <f>'DAY 2 SCORES'!F42</f>
        <v>0</v>
      </c>
      <c r="AG41" s="24">
        <f>'DAY 1 SCORES'!G42</f>
        <v>0</v>
      </c>
      <c r="AH41" s="24">
        <f>'DAY 2 SCORES'!G42</f>
        <v>0</v>
      </c>
      <c r="AI41" s="24">
        <f t="shared" si="0"/>
        <v>0</v>
      </c>
      <c r="AJ41" s="24">
        <f>'DAY 1 SCORES'!H42</f>
        <v>120</v>
      </c>
      <c r="AK41" s="24">
        <f>'DAY 2 SCORES'!H42</f>
        <v>120</v>
      </c>
      <c r="AL41" s="24">
        <f t="shared" si="1"/>
        <v>240</v>
      </c>
    </row>
    <row r="42" spans="1:38" ht="24.75" customHeight="1">
      <c r="A42" s="58" t="str">
        <f>IF(B42="", "", ROW()-2)</f>
        <v/>
      </c>
      <c r="B42" s="59" t="str">
        <f>IF(REGISTRATION!B41="", "", REGISTRATION!B41)</f>
        <v/>
      </c>
      <c r="C42" s="59" t="str">
        <f>IF(B42="", "", _xlfn.XLOOKUP(B42, REGISTRATION!B:B, REGISTRATION!C:C, ""))</f>
        <v/>
      </c>
      <c r="D42" s="55">
        <f>IFERROR(INDEX('DAY 1 SCORES'!$E$4:$E$123, MATCH(B42, 'DAY 1 SCORES'!$B$4:$B$123, 0)), "")</f>
        <v>0</v>
      </c>
      <c r="E42" s="55">
        <f>SUMIF('DAY 1 SCORES'!$B$4:$B$123, B42, 'DAY 1 SCORES'!$F$4:$F$123)</f>
        <v>0</v>
      </c>
      <c r="F42" s="56">
        <f>IFERROR(INDEX('DAY 2 SCORES'!$E$4:$E$123, MATCH(B42, 'DAY 2 SCORES'!$B$4:$B$123, 0)), "")</f>
        <v>0</v>
      </c>
      <c r="G42" s="56">
        <f>SUMIF('DAY 2 SCORES'!$B$4:$B$123, B42, 'DAY 2 SCORES'!$F$4:$F$123)</f>
        <v>0</v>
      </c>
      <c r="H42" s="55">
        <f>SUMIF('DAY 1 SCORES'!$B$4:$B$123, B42, 'DAY 1 SCORES'!$D$4:$D$123)</f>
        <v>0</v>
      </c>
      <c r="I42" s="55">
        <f>SUMIF('DAY 2 SCORES'!$B$4:$B$123, B42, 'DAY 2 SCORES'!$D$4:$D$123)</f>
        <v>0</v>
      </c>
      <c r="J42" s="55">
        <f>H42+I42</f>
        <v>0</v>
      </c>
      <c r="K42" s="56">
        <f>SUMIF('DAY 1 SCORES'!$B$4:$B$123, B42, 'DAY 1 SCORES'!$H$4:$H$123)</f>
        <v>14400</v>
      </c>
      <c r="L42" s="56">
        <f>SUMIF('DAY 2 SCORES'!$B$4:$B$123, B42, 'DAY 2 SCORES'!$H$4:$H$123)</f>
        <v>14400</v>
      </c>
      <c r="M42" s="54">
        <f>IF(OR(B42="", B42=0), 999, SUM(K42:L42))</f>
        <v>999</v>
      </c>
      <c r="N42" s="24"/>
      <c r="O42" s="24"/>
      <c r="P42" s="24"/>
      <c r="Q42" s="24"/>
      <c r="R42" s="24"/>
      <c r="S42" s="24"/>
      <c r="T42" s="24"/>
      <c r="U42" s="24"/>
      <c r="V42" s="24"/>
      <c r="W42" s="24"/>
      <c r="X42" s="24"/>
      <c r="Y42" s="24"/>
      <c r="Z42" s="24"/>
      <c r="AA42" s="24"/>
      <c r="AB42" s="24" t="str">
        <f>REGISTRATION!C41</f>
        <v/>
      </c>
      <c r="AC42" s="24">
        <f>'DAY 1 SCORES'!E43</f>
        <v>0</v>
      </c>
      <c r="AD42" s="24">
        <f>'DAY 1 SCORES'!F43</f>
        <v>0</v>
      </c>
      <c r="AE42" s="24">
        <f>'DAY 2 SCORES'!E43</f>
        <v>0</v>
      </c>
      <c r="AF42" s="24">
        <f>'DAY 2 SCORES'!F43</f>
        <v>0</v>
      </c>
      <c r="AG42" s="24">
        <f>'DAY 1 SCORES'!G43</f>
        <v>0</v>
      </c>
      <c r="AH42" s="24">
        <f>'DAY 2 SCORES'!G43</f>
        <v>0</v>
      </c>
      <c r="AI42" s="24">
        <f t="shared" si="0"/>
        <v>0</v>
      </c>
      <c r="AJ42" s="24">
        <f>'DAY 1 SCORES'!H43</f>
        <v>120</v>
      </c>
      <c r="AK42" s="24">
        <f>'DAY 2 SCORES'!H43</f>
        <v>120</v>
      </c>
      <c r="AL42" s="24">
        <f t="shared" si="1"/>
        <v>240</v>
      </c>
    </row>
    <row r="43" spans="1:38" ht="24.75" customHeight="1">
      <c r="A43" s="58" t="str">
        <f>IF(B43="", "", ROW()-2)</f>
        <v/>
      </c>
      <c r="B43" s="59" t="str">
        <f>IF(REGISTRATION!B42="", "", REGISTRATION!B42)</f>
        <v/>
      </c>
      <c r="C43" s="59" t="str">
        <f>IF(B43="", "", _xlfn.XLOOKUP(B43, REGISTRATION!B:B, REGISTRATION!C:C, ""))</f>
        <v/>
      </c>
      <c r="D43" s="55">
        <f>IFERROR(INDEX('DAY 1 SCORES'!$E$4:$E$123, MATCH(B43, 'DAY 1 SCORES'!$B$4:$B$123, 0)), "")</f>
        <v>0</v>
      </c>
      <c r="E43" s="55">
        <f>SUMIF('DAY 1 SCORES'!$B$4:$B$123, B43, 'DAY 1 SCORES'!$F$4:$F$123)</f>
        <v>0</v>
      </c>
      <c r="F43" s="56">
        <f>IFERROR(INDEX('DAY 2 SCORES'!$E$4:$E$123, MATCH(B43, 'DAY 2 SCORES'!$B$4:$B$123, 0)), "")</f>
        <v>0</v>
      </c>
      <c r="G43" s="56">
        <f>SUMIF('DAY 2 SCORES'!$B$4:$B$123, B43, 'DAY 2 SCORES'!$F$4:$F$123)</f>
        <v>0</v>
      </c>
      <c r="H43" s="55">
        <f>SUMIF('DAY 1 SCORES'!$B$4:$B$123, B43, 'DAY 1 SCORES'!$D$4:$D$123)</f>
        <v>0</v>
      </c>
      <c r="I43" s="55">
        <f>SUMIF('DAY 2 SCORES'!$B$4:$B$123, B43, 'DAY 2 SCORES'!$D$4:$D$123)</f>
        <v>0</v>
      </c>
      <c r="J43" s="55">
        <f>H43+I43</f>
        <v>0</v>
      </c>
      <c r="K43" s="56">
        <f>SUMIF('DAY 1 SCORES'!$B$4:$B$123, B43, 'DAY 1 SCORES'!$H$4:$H$123)</f>
        <v>14400</v>
      </c>
      <c r="L43" s="56">
        <f>SUMIF('DAY 2 SCORES'!$B$4:$B$123, B43, 'DAY 2 SCORES'!$H$4:$H$123)</f>
        <v>14400</v>
      </c>
      <c r="M43" s="54">
        <f>IF(OR(B43="", B43=0), 999, SUM(K43:L43))</f>
        <v>999</v>
      </c>
      <c r="N43" s="24"/>
      <c r="O43" s="24"/>
      <c r="P43" s="24"/>
      <c r="Q43" s="24"/>
      <c r="R43" s="24"/>
      <c r="S43" s="24"/>
      <c r="T43" s="24"/>
      <c r="U43" s="24"/>
      <c r="V43" s="24"/>
      <c r="W43" s="24"/>
      <c r="X43" s="24"/>
      <c r="Y43" s="24"/>
      <c r="Z43" s="24"/>
      <c r="AA43" s="24"/>
      <c r="AB43" s="24" t="str">
        <f>REGISTRATION!C42</f>
        <v/>
      </c>
      <c r="AC43" s="24">
        <f>'DAY 1 SCORES'!E44</f>
        <v>0</v>
      </c>
      <c r="AD43" s="24">
        <f>'DAY 1 SCORES'!F44</f>
        <v>0</v>
      </c>
      <c r="AE43" s="24">
        <f>'DAY 2 SCORES'!E44</f>
        <v>0</v>
      </c>
      <c r="AF43" s="24">
        <f>'DAY 2 SCORES'!F44</f>
        <v>0</v>
      </c>
      <c r="AG43" s="24">
        <f>'DAY 1 SCORES'!G44</f>
        <v>0</v>
      </c>
      <c r="AH43" s="24">
        <f>'DAY 2 SCORES'!G44</f>
        <v>0</v>
      </c>
      <c r="AI43" s="24">
        <f t="shared" si="0"/>
        <v>0</v>
      </c>
      <c r="AJ43" s="24">
        <f>'DAY 1 SCORES'!H44</f>
        <v>120</v>
      </c>
      <c r="AK43" s="24">
        <f>'DAY 2 SCORES'!H44</f>
        <v>120</v>
      </c>
      <c r="AL43" s="24">
        <f t="shared" si="1"/>
        <v>240</v>
      </c>
    </row>
    <row r="44" spans="1:38" ht="24.75" customHeight="1">
      <c r="A44" s="58" t="str">
        <f>IF(B44="", "", ROW()-2)</f>
        <v/>
      </c>
      <c r="B44" s="59" t="str">
        <f>IF(REGISTRATION!B43="", "", REGISTRATION!B43)</f>
        <v/>
      </c>
      <c r="C44" s="59" t="str">
        <f>IF(B44="", "", _xlfn.XLOOKUP(B44, REGISTRATION!B:B, REGISTRATION!C:C, ""))</f>
        <v/>
      </c>
      <c r="D44" s="55">
        <f>IFERROR(INDEX('DAY 1 SCORES'!$E$4:$E$123, MATCH(B44, 'DAY 1 SCORES'!$B$4:$B$123, 0)), "")</f>
        <v>0</v>
      </c>
      <c r="E44" s="55">
        <f>SUMIF('DAY 1 SCORES'!$B$4:$B$123, B44, 'DAY 1 SCORES'!$F$4:$F$123)</f>
        <v>0</v>
      </c>
      <c r="F44" s="56">
        <f>IFERROR(INDEX('DAY 2 SCORES'!$E$4:$E$123, MATCH(B44, 'DAY 2 SCORES'!$B$4:$B$123, 0)), "")</f>
        <v>0</v>
      </c>
      <c r="G44" s="56">
        <f>SUMIF('DAY 2 SCORES'!$B$4:$B$123, B44, 'DAY 2 SCORES'!$F$4:$F$123)</f>
        <v>0</v>
      </c>
      <c r="H44" s="55">
        <f>SUMIF('DAY 1 SCORES'!$B$4:$B$123, B44, 'DAY 1 SCORES'!$D$4:$D$123)</f>
        <v>0</v>
      </c>
      <c r="I44" s="55">
        <f>SUMIF('DAY 2 SCORES'!$B$4:$B$123, B44, 'DAY 2 SCORES'!$D$4:$D$123)</f>
        <v>0</v>
      </c>
      <c r="J44" s="55">
        <f>H44+I44</f>
        <v>0</v>
      </c>
      <c r="K44" s="56">
        <f>SUMIF('DAY 1 SCORES'!$B$4:$B$123, B44, 'DAY 1 SCORES'!$H$4:$H$123)</f>
        <v>14400</v>
      </c>
      <c r="L44" s="56">
        <f>SUMIF('DAY 2 SCORES'!$B$4:$B$123, B44, 'DAY 2 SCORES'!$H$4:$H$123)</f>
        <v>14400</v>
      </c>
      <c r="M44" s="54">
        <f>IF(OR(B44="", B44=0), 999, SUM(K44:L44))</f>
        <v>999</v>
      </c>
      <c r="N44" s="24"/>
      <c r="O44" s="24"/>
      <c r="P44" s="24"/>
      <c r="Q44" s="24"/>
      <c r="R44" s="24"/>
      <c r="S44" s="24"/>
      <c r="T44" s="24"/>
      <c r="U44" s="24"/>
      <c r="V44" s="24"/>
      <c r="W44" s="24"/>
      <c r="X44" s="24"/>
      <c r="Y44" s="24"/>
      <c r="Z44" s="24"/>
      <c r="AA44" s="24"/>
      <c r="AB44" s="24" t="str">
        <f>REGISTRATION!C43</f>
        <v/>
      </c>
      <c r="AC44" s="24">
        <f>'DAY 1 SCORES'!E45</f>
        <v>0</v>
      </c>
      <c r="AD44" s="24">
        <f>'DAY 1 SCORES'!F45</f>
        <v>0</v>
      </c>
      <c r="AE44" s="24">
        <f>'DAY 2 SCORES'!E45</f>
        <v>0</v>
      </c>
      <c r="AF44" s="24">
        <f>'DAY 2 SCORES'!F45</f>
        <v>0</v>
      </c>
      <c r="AG44" s="24">
        <f>'DAY 1 SCORES'!G45</f>
        <v>0</v>
      </c>
      <c r="AH44" s="24">
        <f>'DAY 2 SCORES'!G45</f>
        <v>0</v>
      </c>
      <c r="AI44" s="24">
        <f t="shared" si="0"/>
        <v>0</v>
      </c>
      <c r="AJ44" s="24">
        <f>'DAY 1 SCORES'!H45</f>
        <v>120</v>
      </c>
      <c r="AK44" s="24">
        <f>'DAY 2 SCORES'!H45</f>
        <v>120</v>
      </c>
      <c r="AL44" s="24">
        <f t="shared" si="1"/>
        <v>240</v>
      </c>
    </row>
    <row r="45" spans="1:38" ht="24.75" customHeight="1">
      <c r="A45" s="58" t="str">
        <f>IF(B45="", "", ROW()-2)</f>
        <v/>
      </c>
      <c r="B45" s="59" t="str">
        <f>IF(REGISTRATION!B44="", "", REGISTRATION!B44)</f>
        <v/>
      </c>
      <c r="C45" s="59" t="str">
        <f>IF(B45="", "", _xlfn.XLOOKUP(B45, REGISTRATION!B:B, REGISTRATION!C:C, ""))</f>
        <v/>
      </c>
      <c r="D45" s="55">
        <f>IFERROR(INDEX('DAY 1 SCORES'!$E$4:$E$123, MATCH(B45, 'DAY 1 SCORES'!$B$4:$B$123, 0)), "")</f>
        <v>0</v>
      </c>
      <c r="E45" s="55">
        <f>SUMIF('DAY 1 SCORES'!$B$4:$B$123, B45, 'DAY 1 SCORES'!$F$4:$F$123)</f>
        <v>0</v>
      </c>
      <c r="F45" s="56">
        <f>IFERROR(INDEX('DAY 2 SCORES'!$E$4:$E$123, MATCH(B45, 'DAY 2 SCORES'!$B$4:$B$123, 0)), "")</f>
        <v>0</v>
      </c>
      <c r="G45" s="56">
        <f>SUMIF('DAY 2 SCORES'!$B$4:$B$123, B45, 'DAY 2 SCORES'!$F$4:$F$123)</f>
        <v>0</v>
      </c>
      <c r="H45" s="55">
        <f>SUMIF('DAY 1 SCORES'!$B$4:$B$123, B45, 'DAY 1 SCORES'!$D$4:$D$123)</f>
        <v>0</v>
      </c>
      <c r="I45" s="55">
        <f>SUMIF('DAY 2 SCORES'!$B$4:$B$123, B45, 'DAY 2 SCORES'!$D$4:$D$123)</f>
        <v>0</v>
      </c>
      <c r="J45" s="55">
        <f>H45+I45</f>
        <v>0</v>
      </c>
      <c r="K45" s="56">
        <f>SUMIF('DAY 1 SCORES'!$B$4:$B$123, B45, 'DAY 1 SCORES'!$H$4:$H$123)</f>
        <v>14400</v>
      </c>
      <c r="L45" s="56">
        <f>SUMIF('DAY 2 SCORES'!$B$4:$B$123, B45, 'DAY 2 SCORES'!$H$4:$H$123)</f>
        <v>14400</v>
      </c>
      <c r="M45" s="54">
        <f>IF(OR(B45="", B45=0), 999, SUM(K45:L45))</f>
        <v>999</v>
      </c>
      <c r="N45" s="24"/>
      <c r="O45" s="24"/>
      <c r="P45" s="24"/>
      <c r="Q45" s="24"/>
      <c r="R45" s="24"/>
      <c r="S45" s="24"/>
      <c r="T45" s="24"/>
      <c r="U45" s="24"/>
      <c r="V45" s="24"/>
      <c r="W45" s="24"/>
      <c r="X45" s="24"/>
      <c r="Y45" s="24"/>
      <c r="Z45" s="24"/>
      <c r="AA45" s="24"/>
      <c r="AB45" s="24" t="str">
        <f>REGISTRATION!C44</f>
        <v/>
      </c>
      <c r="AC45" s="24">
        <f>'DAY 1 SCORES'!E46</f>
        <v>0</v>
      </c>
      <c r="AD45" s="24">
        <f>'DAY 1 SCORES'!F46</f>
        <v>0</v>
      </c>
      <c r="AE45" s="24">
        <f>'DAY 2 SCORES'!E46</f>
        <v>0</v>
      </c>
      <c r="AF45" s="24">
        <f>'DAY 2 SCORES'!F46</f>
        <v>0</v>
      </c>
      <c r="AG45" s="24">
        <f>'DAY 1 SCORES'!G46</f>
        <v>0</v>
      </c>
      <c r="AH45" s="24">
        <f>'DAY 2 SCORES'!G46</f>
        <v>0</v>
      </c>
      <c r="AI45" s="24">
        <f t="shared" si="0"/>
        <v>0</v>
      </c>
      <c r="AJ45" s="24">
        <f>'DAY 1 SCORES'!H46</f>
        <v>120</v>
      </c>
      <c r="AK45" s="24">
        <f>'DAY 2 SCORES'!H46</f>
        <v>120</v>
      </c>
      <c r="AL45" s="24">
        <f t="shared" si="1"/>
        <v>240</v>
      </c>
    </row>
    <row r="46" spans="1:38" ht="24.75" customHeight="1">
      <c r="A46" s="58" t="str">
        <f>IF(B46="", "", ROW()-2)</f>
        <v/>
      </c>
      <c r="B46" s="59" t="str">
        <f>IF(REGISTRATION!B45="", "", REGISTRATION!B45)</f>
        <v/>
      </c>
      <c r="C46" s="59" t="str">
        <f>IF(B46="", "", _xlfn.XLOOKUP(B46, REGISTRATION!B:B, REGISTRATION!C:C, ""))</f>
        <v/>
      </c>
      <c r="D46" s="55">
        <f>IFERROR(INDEX('DAY 1 SCORES'!$E$4:$E$123, MATCH(B46, 'DAY 1 SCORES'!$B$4:$B$123, 0)), "")</f>
        <v>0</v>
      </c>
      <c r="E46" s="55">
        <f>SUMIF('DAY 1 SCORES'!$B$4:$B$123, B46, 'DAY 1 SCORES'!$F$4:$F$123)</f>
        <v>0</v>
      </c>
      <c r="F46" s="56">
        <f>IFERROR(INDEX('DAY 2 SCORES'!$E$4:$E$123, MATCH(B46, 'DAY 2 SCORES'!$B$4:$B$123, 0)), "")</f>
        <v>0</v>
      </c>
      <c r="G46" s="56">
        <f>SUMIF('DAY 2 SCORES'!$B$4:$B$123, B46, 'DAY 2 SCORES'!$F$4:$F$123)</f>
        <v>0</v>
      </c>
      <c r="H46" s="55">
        <f>SUMIF('DAY 1 SCORES'!$B$4:$B$123, B46, 'DAY 1 SCORES'!$D$4:$D$123)</f>
        <v>0</v>
      </c>
      <c r="I46" s="55">
        <f>SUMIF('DAY 2 SCORES'!$B$4:$B$123, B46, 'DAY 2 SCORES'!$D$4:$D$123)</f>
        <v>0</v>
      </c>
      <c r="J46" s="55">
        <f>H46+I46</f>
        <v>0</v>
      </c>
      <c r="K46" s="56">
        <f>SUMIF('DAY 1 SCORES'!$B$4:$B$123, B46, 'DAY 1 SCORES'!$H$4:$H$123)</f>
        <v>14400</v>
      </c>
      <c r="L46" s="56">
        <f>SUMIF('DAY 2 SCORES'!$B$4:$B$123, B46, 'DAY 2 SCORES'!$H$4:$H$123)</f>
        <v>14400</v>
      </c>
      <c r="M46" s="54">
        <f>IF(OR(B46="", B46=0), 999, SUM(K46:L46))</f>
        <v>999</v>
      </c>
      <c r="N46" s="24"/>
      <c r="O46" s="24"/>
      <c r="P46" s="24"/>
      <c r="Q46" s="24"/>
      <c r="R46" s="24"/>
      <c r="S46" s="24"/>
      <c r="T46" s="24"/>
      <c r="U46" s="24"/>
      <c r="V46" s="24"/>
      <c r="W46" s="24"/>
      <c r="X46" s="24"/>
      <c r="Y46" s="24"/>
      <c r="Z46" s="24"/>
      <c r="AA46" s="24"/>
      <c r="AB46" s="24" t="str">
        <f>REGISTRATION!C45</f>
        <v/>
      </c>
      <c r="AC46" s="24">
        <f>'DAY 1 SCORES'!E47</f>
        <v>0</v>
      </c>
      <c r="AD46" s="24">
        <f>'DAY 1 SCORES'!F47</f>
        <v>0</v>
      </c>
      <c r="AE46" s="24">
        <f>'DAY 2 SCORES'!E47</f>
        <v>0</v>
      </c>
      <c r="AF46" s="24">
        <f>'DAY 2 SCORES'!F47</f>
        <v>0</v>
      </c>
      <c r="AG46" s="24">
        <f>'DAY 1 SCORES'!G47</f>
        <v>0</v>
      </c>
      <c r="AH46" s="24">
        <f>'DAY 2 SCORES'!G47</f>
        <v>0</v>
      </c>
      <c r="AI46" s="24">
        <f t="shared" si="0"/>
        <v>0</v>
      </c>
      <c r="AJ46" s="24">
        <f>'DAY 1 SCORES'!H47</f>
        <v>120</v>
      </c>
      <c r="AK46" s="24">
        <f>'DAY 2 SCORES'!H47</f>
        <v>120</v>
      </c>
      <c r="AL46" s="24">
        <f t="shared" si="1"/>
        <v>240</v>
      </c>
    </row>
    <row r="47" spans="1:38" ht="24.75" customHeight="1">
      <c r="A47" s="58" t="str">
        <f>IF(B47="", "", ROW()-2)</f>
        <v/>
      </c>
      <c r="B47" s="59" t="str">
        <f>IF(REGISTRATION!B46="", "", REGISTRATION!B46)</f>
        <v/>
      </c>
      <c r="C47" s="59" t="str">
        <f>IF(B47="", "", _xlfn.XLOOKUP(B47, REGISTRATION!B:B, REGISTRATION!C:C, ""))</f>
        <v/>
      </c>
      <c r="D47" s="55">
        <f>IFERROR(INDEX('DAY 1 SCORES'!$E$4:$E$123, MATCH(B47, 'DAY 1 SCORES'!$B$4:$B$123, 0)), "")</f>
        <v>0</v>
      </c>
      <c r="E47" s="55">
        <f>SUMIF('DAY 1 SCORES'!$B$4:$B$123, B47, 'DAY 1 SCORES'!$F$4:$F$123)</f>
        <v>0</v>
      </c>
      <c r="F47" s="56">
        <f>IFERROR(INDEX('DAY 2 SCORES'!$E$4:$E$123, MATCH(B47, 'DAY 2 SCORES'!$B$4:$B$123, 0)), "")</f>
        <v>0</v>
      </c>
      <c r="G47" s="56">
        <f>SUMIF('DAY 2 SCORES'!$B$4:$B$123, B47, 'DAY 2 SCORES'!$F$4:$F$123)</f>
        <v>0</v>
      </c>
      <c r="H47" s="55">
        <f>SUMIF('DAY 1 SCORES'!$B$4:$B$123, B47, 'DAY 1 SCORES'!$D$4:$D$123)</f>
        <v>0</v>
      </c>
      <c r="I47" s="55">
        <f>SUMIF('DAY 2 SCORES'!$B$4:$B$123, B47, 'DAY 2 SCORES'!$D$4:$D$123)</f>
        <v>0</v>
      </c>
      <c r="J47" s="55">
        <f>H47+I47</f>
        <v>0</v>
      </c>
      <c r="K47" s="56">
        <f>SUMIF('DAY 1 SCORES'!$B$4:$B$123, B47, 'DAY 1 SCORES'!$H$4:$H$123)</f>
        <v>14400</v>
      </c>
      <c r="L47" s="56">
        <f>SUMIF('DAY 2 SCORES'!$B$4:$B$123, B47, 'DAY 2 SCORES'!$H$4:$H$123)</f>
        <v>14400</v>
      </c>
      <c r="M47" s="54">
        <f>IF(OR(B47="", B47=0), 999, SUM(K47:L47))</f>
        <v>999</v>
      </c>
      <c r="N47" s="24"/>
      <c r="O47" s="24"/>
      <c r="P47" s="24"/>
      <c r="Q47" s="24"/>
      <c r="R47" s="24"/>
      <c r="S47" s="24"/>
      <c r="T47" s="24"/>
      <c r="U47" s="24"/>
      <c r="V47" s="24"/>
      <c r="W47" s="24"/>
      <c r="X47" s="24"/>
      <c r="Y47" s="24"/>
      <c r="Z47" s="24"/>
      <c r="AA47" s="24"/>
      <c r="AB47" s="24" t="str">
        <f>REGISTRATION!C46</f>
        <v/>
      </c>
      <c r="AC47" s="24">
        <f>'DAY 1 SCORES'!E48</f>
        <v>0</v>
      </c>
      <c r="AD47" s="24">
        <f>'DAY 1 SCORES'!F48</f>
        <v>0</v>
      </c>
      <c r="AE47" s="24">
        <f>'DAY 2 SCORES'!E48</f>
        <v>0</v>
      </c>
      <c r="AF47" s="24">
        <f>'DAY 2 SCORES'!F48</f>
        <v>0</v>
      </c>
      <c r="AG47" s="24">
        <f>'DAY 1 SCORES'!G48</f>
        <v>0</v>
      </c>
      <c r="AH47" s="24">
        <f>'DAY 2 SCORES'!G48</f>
        <v>0</v>
      </c>
      <c r="AI47" s="24">
        <f t="shared" si="0"/>
        <v>0</v>
      </c>
      <c r="AJ47" s="24">
        <f>'DAY 1 SCORES'!H48</f>
        <v>120</v>
      </c>
      <c r="AK47" s="24">
        <f>'DAY 2 SCORES'!H48</f>
        <v>120</v>
      </c>
      <c r="AL47" s="24">
        <f t="shared" si="1"/>
        <v>240</v>
      </c>
    </row>
    <row r="48" spans="1:38" ht="24.75" customHeight="1">
      <c r="A48" s="58" t="str">
        <f>IF(B48="", "", ROW()-2)</f>
        <v/>
      </c>
      <c r="B48" s="59" t="str">
        <f>IF(REGISTRATION!B47="", "", REGISTRATION!B47)</f>
        <v/>
      </c>
      <c r="C48" s="59" t="str">
        <f>IF(B48="", "", _xlfn.XLOOKUP(B48, REGISTRATION!B:B, REGISTRATION!C:C, ""))</f>
        <v/>
      </c>
      <c r="D48" s="55">
        <f>IFERROR(INDEX('DAY 1 SCORES'!$E$4:$E$123, MATCH(B48, 'DAY 1 SCORES'!$B$4:$B$123, 0)), "")</f>
        <v>0</v>
      </c>
      <c r="E48" s="55">
        <f>SUMIF('DAY 1 SCORES'!$B$4:$B$123, B48, 'DAY 1 SCORES'!$F$4:$F$123)</f>
        <v>0</v>
      </c>
      <c r="F48" s="56">
        <f>IFERROR(INDEX('DAY 2 SCORES'!$E$4:$E$123, MATCH(B48, 'DAY 2 SCORES'!$B$4:$B$123, 0)), "")</f>
        <v>0</v>
      </c>
      <c r="G48" s="56">
        <f>SUMIF('DAY 2 SCORES'!$B$4:$B$123, B48, 'DAY 2 SCORES'!$F$4:$F$123)</f>
        <v>0</v>
      </c>
      <c r="H48" s="55">
        <f>SUMIF('DAY 1 SCORES'!$B$4:$B$123, B48, 'DAY 1 SCORES'!$D$4:$D$123)</f>
        <v>0</v>
      </c>
      <c r="I48" s="55">
        <f>SUMIF('DAY 2 SCORES'!$B$4:$B$123, B48, 'DAY 2 SCORES'!$D$4:$D$123)</f>
        <v>0</v>
      </c>
      <c r="J48" s="55">
        <f>H48+I48</f>
        <v>0</v>
      </c>
      <c r="K48" s="56">
        <f>SUMIF('DAY 1 SCORES'!$B$4:$B$123, B48, 'DAY 1 SCORES'!$H$4:$H$123)</f>
        <v>14400</v>
      </c>
      <c r="L48" s="56">
        <f>SUMIF('DAY 2 SCORES'!$B$4:$B$123, B48, 'DAY 2 SCORES'!$H$4:$H$123)</f>
        <v>14400</v>
      </c>
      <c r="M48" s="54">
        <f>IF(OR(B48="", B48=0), 999, SUM(K48:L48))</f>
        <v>999</v>
      </c>
      <c r="N48" s="24"/>
      <c r="O48" s="24"/>
      <c r="P48" s="24"/>
      <c r="Q48" s="24"/>
      <c r="R48" s="24"/>
      <c r="S48" s="24"/>
      <c r="T48" s="24"/>
      <c r="U48" s="24"/>
      <c r="V48" s="24"/>
      <c r="W48" s="24"/>
      <c r="X48" s="24"/>
      <c r="Y48" s="24"/>
      <c r="Z48" s="24"/>
      <c r="AA48" s="24"/>
      <c r="AB48" s="24" t="str">
        <f>REGISTRATION!C47</f>
        <v/>
      </c>
      <c r="AC48" s="24">
        <f>'DAY 1 SCORES'!E49</f>
        <v>0</v>
      </c>
      <c r="AD48" s="24">
        <f>'DAY 1 SCORES'!F49</f>
        <v>0</v>
      </c>
      <c r="AE48" s="24">
        <f>'DAY 2 SCORES'!E49</f>
        <v>0</v>
      </c>
      <c r="AF48" s="24">
        <f>'DAY 2 SCORES'!F49</f>
        <v>0</v>
      </c>
      <c r="AG48" s="24">
        <f>'DAY 1 SCORES'!G49</f>
        <v>0</v>
      </c>
      <c r="AH48" s="24">
        <f>'DAY 2 SCORES'!G49</f>
        <v>0</v>
      </c>
      <c r="AI48" s="24">
        <f t="shared" si="0"/>
        <v>0</v>
      </c>
      <c r="AJ48" s="24">
        <f>'DAY 1 SCORES'!H49</f>
        <v>120</v>
      </c>
      <c r="AK48" s="24">
        <f>'DAY 2 SCORES'!H49</f>
        <v>120</v>
      </c>
      <c r="AL48" s="24">
        <f t="shared" si="1"/>
        <v>240</v>
      </c>
    </row>
    <row r="49" spans="1:38" ht="24.75" customHeight="1">
      <c r="A49" s="58" t="str">
        <f>IF(B49="", "", ROW()-2)</f>
        <v/>
      </c>
      <c r="B49" s="59" t="str">
        <f>IF(REGISTRATION!B48="", "", REGISTRATION!B48)</f>
        <v/>
      </c>
      <c r="C49" s="59" t="str">
        <f>IF(B49="", "", _xlfn.XLOOKUP(B49, REGISTRATION!B:B, REGISTRATION!C:C, ""))</f>
        <v/>
      </c>
      <c r="D49" s="55">
        <f>IFERROR(INDEX('DAY 1 SCORES'!$E$4:$E$123, MATCH(B49, 'DAY 1 SCORES'!$B$4:$B$123, 0)), "")</f>
        <v>0</v>
      </c>
      <c r="E49" s="55">
        <f>SUMIF('DAY 1 SCORES'!$B$4:$B$123, B49, 'DAY 1 SCORES'!$F$4:$F$123)</f>
        <v>0</v>
      </c>
      <c r="F49" s="56">
        <f>IFERROR(INDEX('DAY 2 SCORES'!$E$4:$E$123, MATCH(B49, 'DAY 2 SCORES'!$B$4:$B$123, 0)), "")</f>
        <v>0</v>
      </c>
      <c r="G49" s="56">
        <f>SUMIF('DAY 2 SCORES'!$B$4:$B$123, B49, 'DAY 2 SCORES'!$F$4:$F$123)</f>
        <v>0</v>
      </c>
      <c r="H49" s="55">
        <f>SUMIF('DAY 1 SCORES'!$B$4:$B$123, B49, 'DAY 1 SCORES'!$D$4:$D$123)</f>
        <v>0</v>
      </c>
      <c r="I49" s="55">
        <f>SUMIF('DAY 2 SCORES'!$B$4:$B$123, B49, 'DAY 2 SCORES'!$D$4:$D$123)</f>
        <v>0</v>
      </c>
      <c r="J49" s="55">
        <f>H49+I49</f>
        <v>0</v>
      </c>
      <c r="K49" s="56">
        <f>SUMIF('DAY 1 SCORES'!$B$4:$B$123, B49, 'DAY 1 SCORES'!$H$4:$H$123)</f>
        <v>14400</v>
      </c>
      <c r="L49" s="56">
        <f>SUMIF('DAY 2 SCORES'!$B$4:$B$123, B49, 'DAY 2 SCORES'!$H$4:$H$123)</f>
        <v>14400</v>
      </c>
      <c r="M49" s="54">
        <f>IF(OR(B49="", B49=0), 999, SUM(K49:L49))</f>
        <v>999</v>
      </c>
      <c r="N49" s="24"/>
      <c r="O49" s="24"/>
      <c r="P49" s="24"/>
      <c r="Q49" s="24"/>
      <c r="R49" s="24"/>
      <c r="S49" s="24"/>
      <c r="T49" s="24"/>
      <c r="U49" s="24"/>
      <c r="V49" s="24"/>
      <c r="W49" s="24"/>
      <c r="X49" s="24"/>
      <c r="Y49" s="24"/>
      <c r="Z49" s="24"/>
      <c r="AA49" s="24"/>
      <c r="AB49" s="24" t="str">
        <f>REGISTRATION!C48</f>
        <v/>
      </c>
      <c r="AC49" s="24">
        <f>'DAY 1 SCORES'!E50</f>
        <v>0</v>
      </c>
      <c r="AD49" s="24">
        <f>'DAY 1 SCORES'!F50</f>
        <v>0</v>
      </c>
      <c r="AE49" s="24">
        <f>'DAY 2 SCORES'!E50</f>
        <v>0</v>
      </c>
      <c r="AF49" s="24">
        <f>'DAY 2 SCORES'!F50</f>
        <v>0</v>
      </c>
      <c r="AG49" s="24">
        <f>'DAY 1 SCORES'!G50</f>
        <v>0</v>
      </c>
      <c r="AH49" s="24">
        <f>'DAY 2 SCORES'!G50</f>
        <v>0</v>
      </c>
      <c r="AI49" s="24">
        <f t="shared" si="0"/>
        <v>0</v>
      </c>
      <c r="AJ49" s="24">
        <f>'DAY 1 SCORES'!H50</f>
        <v>120</v>
      </c>
      <c r="AK49" s="24">
        <f>'DAY 2 SCORES'!H50</f>
        <v>120</v>
      </c>
      <c r="AL49" s="24">
        <f t="shared" si="1"/>
        <v>240</v>
      </c>
    </row>
    <row r="50" spans="1:38" ht="24.75" customHeight="1">
      <c r="A50" s="58" t="str">
        <f>IF(B50="", "", ROW()-2)</f>
        <v/>
      </c>
      <c r="B50" s="59" t="str">
        <f>IF(REGISTRATION!B49="", "", REGISTRATION!B49)</f>
        <v/>
      </c>
      <c r="C50" s="59" t="str">
        <f>IF(B50="", "", _xlfn.XLOOKUP(B50, REGISTRATION!B:B, REGISTRATION!C:C, ""))</f>
        <v/>
      </c>
      <c r="D50" s="55">
        <f>IFERROR(INDEX('DAY 1 SCORES'!$E$4:$E$123, MATCH(B50, 'DAY 1 SCORES'!$B$4:$B$123, 0)), "")</f>
        <v>0</v>
      </c>
      <c r="E50" s="55">
        <f>SUMIF('DAY 1 SCORES'!$B$4:$B$123, B50, 'DAY 1 SCORES'!$F$4:$F$123)</f>
        <v>0</v>
      </c>
      <c r="F50" s="56">
        <f>IFERROR(INDEX('DAY 2 SCORES'!$E$4:$E$123, MATCH(B50, 'DAY 2 SCORES'!$B$4:$B$123, 0)), "")</f>
        <v>0</v>
      </c>
      <c r="G50" s="56">
        <f>SUMIF('DAY 2 SCORES'!$B$4:$B$123, B50, 'DAY 2 SCORES'!$F$4:$F$123)</f>
        <v>0</v>
      </c>
      <c r="H50" s="55">
        <f>SUMIF('DAY 1 SCORES'!$B$4:$B$123, B50, 'DAY 1 SCORES'!$D$4:$D$123)</f>
        <v>0</v>
      </c>
      <c r="I50" s="55">
        <f>SUMIF('DAY 2 SCORES'!$B$4:$B$123, B50, 'DAY 2 SCORES'!$D$4:$D$123)</f>
        <v>0</v>
      </c>
      <c r="J50" s="55">
        <f>H50+I50</f>
        <v>0</v>
      </c>
      <c r="K50" s="56">
        <f>SUMIF('DAY 1 SCORES'!$B$4:$B$123, B50, 'DAY 1 SCORES'!$H$4:$H$123)</f>
        <v>14400</v>
      </c>
      <c r="L50" s="56">
        <f>SUMIF('DAY 2 SCORES'!$B$4:$B$123, B50, 'DAY 2 SCORES'!$H$4:$H$123)</f>
        <v>14400</v>
      </c>
      <c r="M50" s="54">
        <f>IF(OR(B50="", B50=0), 999, SUM(K50:L50))</f>
        <v>999</v>
      </c>
      <c r="N50" s="24"/>
      <c r="O50" s="24"/>
      <c r="P50" s="24"/>
      <c r="Q50" s="24"/>
      <c r="R50" s="24"/>
      <c r="S50" s="24"/>
      <c r="T50" s="24"/>
      <c r="U50" s="24"/>
      <c r="V50" s="24"/>
      <c r="W50" s="24"/>
      <c r="X50" s="24"/>
      <c r="Y50" s="24"/>
      <c r="Z50" s="24"/>
      <c r="AA50" s="24"/>
      <c r="AB50" s="24" t="str">
        <f>REGISTRATION!C49</f>
        <v/>
      </c>
      <c r="AC50" s="24">
        <f>'DAY 1 SCORES'!E51</f>
        <v>0</v>
      </c>
      <c r="AD50" s="24">
        <f>'DAY 1 SCORES'!F51</f>
        <v>0</v>
      </c>
      <c r="AE50" s="24">
        <f>'DAY 2 SCORES'!E51</f>
        <v>0</v>
      </c>
      <c r="AF50" s="24">
        <f>'DAY 2 SCORES'!F51</f>
        <v>0</v>
      </c>
      <c r="AG50" s="24">
        <f>'DAY 1 SCORES'!G51</f>
        <v>0</v>
      </c>
      <c r="AH50" s="24">
        <f>'DAY 2 SCORES'!G51</f>
        <v>0</v>
      </c>
      <c r="AI50" s="24">
        <f t="shared" si="0"/>
        <v>0</v>
      </c>
      <c r="AJ50" s="24">
        <f>'DAY 1 SCORES'!H51</f>
        <v>120</v>
      </c>
      <c r="AK50" s="24">
        <f>'DAY 2 SCORES'!H51</f>
        <v>120</v>
      </c>
      <c r="AL50" s="24">
        <f t="shared" si="1"/>
        <v>240</v>
      </c>
    </row>
    <row r="51" spans="1:38" ht="24.75" customHeight="1">
      <c r="A51" s="58" t="str">
        <f>IF(B51="", "", ROW()-2)</f>
        <v/>
      </c>
      <c r="B51" s="59" t="str">
        <f>IF(REGISTRATION!B50="", "", REGISTRATION!B50)</f>
        <v/>
      </c>
      <c r="C51" s="59" t="str">
        <f>IF(B51="", "", _xlfn.XLOOKUP(B51, REGISTRATION!B:B, REGISTRATION!C:C, ""))</f>
        <v/>
      </c>
      <c r="D51" s="55">
        <f>IFERROR(INDEX('DAY 1 SCORES'!$E$4:$E$123, MATCH(B51, 'DAY 1 SCORES'!$B$4:$B$123, 0)), "")</f>
        <v>0</v>
      </c>
      <c r="E51" s="55">
        <f>SUMIF('DAY 1 SCORES'!$B$4:$B$123, B51, 'DAY 1 SCORES'!$F$4:$F$123)</f>
        <v>0</v>
      </c>
      <c r="F51" s="56">
        <f>IFERROR(INDEX('DAY 2 SCORES'!$E$4:$E$123, MATCH(B51, 'DAY 2 SCORES'!$B$4:$B$123, 0)), "")</f>
        <v>0</v>
      </c>
      <c r="G51" s="56">
        <f>SUMIF('DAY 2 SCORES'!$B$4:$B$123, B51, 'DAY 2 SCORES'!$F$4:$F$123)</f>
        <v>0</v>
      </c>
      <c r="H51" s="55">
        <f>SUMIF('DAY 1 SCORES'!$B$4:$B$123, B51, 'DAY 1 SCORES'!$D$4:$D$123)</f>
        <v>0</v>
      </c>
      <c r="I51" s="55">
        <f>SUMIF('DAY 2 SCORES'!$B$4:$B$123, B51, 'DAY 2 SCORES'!$D$4:$D$123)</f>
        <v>0</v>
      </c>
      <c r="J51" s="55">
        <f>H51+I51</f>
        <v>0</v>
      </c>
      <c r="K51" s="56">
        <f>SUMIF('DAY 1 SCORES'!$B$4:$B$123, B51, 'DAY 1 SCORES'!$H$4:$H$123)</f>
        <v>14400</v>
      </c>
      <c r="L51" s="56">
        <f>SUMIF('DAY 2 SCORES'!$B$4:$B$123, B51, 'DAY 2 SCORES'!$H$4:$H$123)</f>
        <v>14400</v>
      </c>
      <c r="M51" s="54">
        <f>IF(OR(B51="", B51=0), 999, SUM(K51:L51))</f>
        <v>999</v>
      </c>
      <c r="N51" s="24"/>
      <c r="O51" s="24"/>
      <c r="P51" s="24"/>
      <c r="Q51" s="24"/>
      <c r="R51" s="24"/>
      <c r="S51" s="24"/>
      <c r="T51" s="24"/>
      <c r="U51" s="24"/>
      <c r="V51" s="24"/>
      <c r="W51" s="24"/>
      <c r="X51" s="24"/>
      <c r="Y51" s="24"/>
      <c r="Z51" s="24"/>
      <c r="AA51" s="24"/>
      <c r="AB51" s="24" t="str">
        <f>REGISTRATION!C50</f>
        <v/>
      </c>
      <c r="AC51" s="24">
        <f>'DAY 1 SCORES'!E52</f>
        <v>0</v>
      </c>
      <c r="AD51" s="24">
        <f>'DAY 1 SCORES'!F52</f>
        <v>0</v>
      </c>
      <c r="AE51" s="24">
        <f>'DAY 2 SCORES'!E52</f>
        <v>0</v>
      </c>
      <c r="AF51" s="24">
        <f>'DAY 2 SCORES'!F52</f>
        <v>0</v>
      </c>
      <c r="AG51" s="24">
        <f>'DAY 1 SCORES'!G52</f>
        <v>0</v>
      </c>
      <c r="AH51" s="24">
        <f>'DAY 2 SCORES'!G52</f>
        <v>0</v>
      </c>
      <c r="AI51" s="24">
        <f t="shared" si="0"/>
        <v>0</v>
      </c>
      <c r="AJ51" s="24">
        <f>'DAY 1 SCORES'!H52</f>
        <v>120</v>
      </c>
      <c r="AK51" s="24">
        <f>'DAY 2 SCORES'!H52</f>
        <v>120</v>
      </c>
      <c r="AL51" s="24">
        <f t="shared" si="1"/>
        <v>240</v>
      </c>
    </row>
    <row r="52" spans="1:38" ht="24.75" customHeight="1">
      <c r="A52" s="58" t="str">
        <f>IF(B52="", "", ROW()-2)</f>
        <v/>
      </c>
      <c r="B52" s="59" t="str">
        <f>IF(REGISTRATION!B51="", "", REGISTRATION!B51)</f>
        <v/>
      </c>
      <c r="C52" s="59" t="str">
        <f>IF(B52="", "", _xlfn.XLOOKUP(B52, REGISTRATION!B:B, REGISTRATION!C:C, ""))</f>
        <v/>
      </c>
      <c r="D52" s="55">
        <f>IFERROR(INDEX('DAY 1 SCORES'!$E$4:$E$123, MATCH(B52, 'DAY 1 SCORES'!$B$4:$B$123, 0)), "")</f>
        <v>0</v>
      </c>
      <c r="E52" s="55">
        <f>SUMIF('DAY 1 SCORES'!$B$4:$B$123, B52, 'DAY 1 SCORES'!$F$4:$F$123)</f>
        <v>0</v>
      </c>
      <c r="F52" s="56">
        <f>IFERROR(INDEX('DAY 2 SCORES'!$E$4:$E$123, MATCH(B52, 'DAY 2 SCORES'!$B$4:$B$123, 0)), "")</f>
        <v>0</v>
      </c>
      <c r="G52" s="56">
        <f>SUMIF('DAY 2 SCORES'!$B$4:$B$123, B52, 'DAY 2 SCORES'!$F$4:$F$123)</f>
        <v>0</v>
      </c>
      <c r="H52" s="55">
        <f>SUMIF('DAY 1 SCORES'!$B$4:$B$123, B52, 'DAY 1 SCORES'!$D$4:$D$123)</f>
        <v>0</v>
      </c>
      <c r="I52" s="55">
        <f>SUMIF('DAY 2 SCORES'!$B$4:$B$123, B52, 'DAY 2 SCORES'!$D$4:$D$123)</f>
        <v>0</v>
      </c>
      <c r="J52" s="55">
        <f>H52+I52</f>
        <v>0</v>
      </c>
      <c r="K52" s="56">
        <f>SUMIF('DAY 1 SCORES'!$B$4:$B$123, B52, 'DAY 1 SCORES'!$H$4:$H$123)</f>
        <v>14400</v>
      </c>
      <c r="L52" s="56">
        <f>SUMIF('DAY 2 SCORES'!$B$4:$B$123, B52, 'DAY 2 SCORES'!$H$4:$H$123)</f>
        <v>14400</v>
      </c>
      <c r="M52" s="54">
        <f>IF(OR(B52="", B52=0), 999, SUM(K52:L52))</f>
        <v>999</v>
      </c>
      <c r="N52" s="24"/>
      <c r="O52" s="24"/>
      <c r="P52" s="24"/>
      <c r="Q52" s="24"/>
      <c r="R52" s="24"/>
      <c r="S52" s="24"/>
      <c r="T52" s="24"/>
      <c r="U52" s="24"/>
      <c r="V52" s="24"/>
      <c r="W52" s="24"/>
      <c r="X52" s="24"/>
      <c r="Y52" s="24"/>
      <c r="Z52" s="24"/>
      <c r="AA52" s="24"/>
      <c r="AB52" s="24" t="str">
        <f>REGISTRATION!C51</f>
        <v/>
      </c>
      <c r="AC52" s="24">
        <f>'DAY 1 SCORES'!E53</f>
        <v>0</v>
      </c>
      <c r="AD52" s="24">
        <f>'DAY 1 SCORES'!F53</f>
        <v>0</v>
      </c>
      <c r="AE52" s="24">
        <f>'DAY 2 SCORES'!E53</f>
        <v>0</v>
      </c>
      <c r="AF52" s="24">
        <f>'DAY 2 SCORES'!F53</f>
        <v>0</v>
      </c>
      <c r="AG52" s="24">
        <f>'DAY 1 SCORES'!G53</f>
        <v>0</v>
      </c>
      <c r="AH52" s="24">
        <f>'DAY 2 SCORES'!G53</f>
        <v>0</v>
      </c>
      <c r="AI52" s="24">
        <f t="shared" si="0"/>
        <v>0</v>
      </c>
      <c r="AJ52" s="24">
        <f>'DAY 1 SCORES'!H53</f>
        <v>120</v>
      </c>
      <c r="AK52" s="24">
        <f>'DAY 2 SCORES'!H53</f>
        <v>120</v>
      </c>
      <c r="AL52" s="24">
        <f t="shared" si="1"/>
        <v>240</v>
      </c>
    </row>
    <row r="53" spans="1:38" ht="24.75" customHeight="1">
      <c r="A53" s="58" t="str">
        <f>IF(B53="", "", ROW()-2)</f>
        <v/>
      </c>
      <c r="B53" s="59" t="str">
        <f>IF(REGISTRATION!B52="", "", REGISTRATION!B52)</f>
        <v/>
      </c>
      <c r="C53" s="59" t="str">
        <f>IF(B53="", "", _xlfn.XLOOKUP(B53, REGISTRATION!B:B, REGISTRATION!C:C, ""))</f>
        <v/>
      </c>
      <c r="D53" s="55">
        <f>IFERROR(INDEX('DAY 1 SCORES'!$E$4:$E$123, MATCH(B53, 'DAY 1 SCORES'!$B$4:$B$123, 0)), "")</f>
        <v>0</v>
      </c>
      <c r="E53" s="55">
        <f>SUMIF('DAY 1 SCORES'!$B$4:$B$123, B53, 'DAY 1 SCORES'!$F$4:$F$123)</f>
        <v>0</v>
      </c>
      <c r="F53" s="56">
        <f>IFERROR(INDEX('DAY 2 SCORES'!$E$4:$E$123, MATCH(B53, 'DAY 2 SCORES'!$B$4:$B$123, 0)), "")</f>
        <v>0</v>
      </c>
      <c r="G53" s="56">
        <f>SUMIF('DAY 2 SCORES'!$B$4:$B$123, B53, 'DAY 2 SCORES'!$F$4:$F$123)</f>
        <v>0</v>
      </c>
      <c r="H53" s="55">
        <f>SUMIF('DAY 1 SCORES'!$B$4:$B$123, B53, 'DAY 1 SCORES'!$D$4:$D$123)</f>
        <v>0</v>
      </c>
      <c r="I53" s="55">
        <f>SUMIF('DAY 2 SCORES'!$B$4:$B$123, B53, 'DAY 2 SCORES'!$D$4:$D$123)</f>
        <v>0</v>
      </c>
      <c r="J53" s="55">
        <f>H53+I53</f>
        <v>0</v>
      </c>
      <c r="K53" s="56">
        <f>SUMIF('DAY 1 SCORES'!$B$4:$B$123, B53, 'DAY 1 SCORES'!$H$4:$H$123)</f>
        <v>14400</v>
      </c>
      <c r="L53" s="56">
        <f>SUMIF('DAY 2 SCORES'!$B$4:$B$123, B53, 'DAY 2 SCORES'!$H$4:$H$123)</f>
        <v>14400</v>
      </c>
      <c r="M53" s="54">
        <f>IF(OR(B53="", B53=0), 999, SUM(K53:L53))</f>
        <v>999</v>
      </c>
      <c r="N53" s="24"/>
      <c r="O53" s="24"/>
      <c r="P53" s="24"/>
      <c r="Q53" s="24"/>
      <c r="R53" s="24"/>
      <c r="S53" s="24"/>
      <c r="T53" s="24"/>
      <c r="U53" s="24"/>
      <c r="V53" s="24"/>
      <c r="W53" s="24"/>
      <c r="X53" s="24"/>
      <c r="Y53" s="24"/>
      <c r="Z53" s="24"/>
      <c r="AA53" s="24"/>
      <c r="AB53" s="24" t="str">
        <f>REGISTRATION!C52</f>
        <v/>
      </c>
      <c r="AC53" s="24">
        <f>'DAY 1 SCORES'!E54</f>
        <v>0</v>
      </c>
      <c r="AD53" s="24">
        <f>'DAY 1 SCORES'!F54</f>
        <v>0</v>
      </c>
      <c r="AE53" s="24">
        <f>'DAY 2 SCORES'!E54</f>
        <v>0</v>
      </c>
      <c r="AF53" s="24">
        <f>'DAY 2 SCORES'!F54</f>
        <v>0</v>
      </c>
      <c r="AG53" s="24">
        <f>'DAY 1 SCORES'!G54</f>
        <v>0</v>
      </c>
      <c r="AH53" s="24">
        <f>'DAY 2 SCORES'!G54</f>
        <v>0</v>
      </c>
      <c r="AI53" s="24">
        <f t="shared" si="0"/>
        <v>0</v>
      </c>
      <c r="AJ53" s="24">
        <f>'DAY 1 SCORES'!H54</f>
        <v>120</v>
      </c>
      <c r="AK53" s="24">
        <f>'DAY 2 SCORES'!H54</f>
        <v>120</v>
      </c>
      <c r="AL53" s="24">
        <f t="shared" si="1"/>
        <v>240</v>
      </c>
    </row>
    <row r="54" spans="1:38" ht="24.75" customHeight="1">
      <c r="A54" s="58" t="str">
        <f>IF(B54="", "", ROW()-2)</f>
        <v/>
      </c>
      <c r="B54" s="59" t="str">
        <f>IF(REGISTRATION!B53="", "", REGISTRATION!B53)</f>
        <v/>
      </c>
      <c r="C54" s="59" t="str">
        <f>IF(B54="", "", _xlfn.XLOOKUP(B54, REGISTRATION!B:B, REGISTRATION!C:C, ""))</f>
        <v/>
      </c>
      <c r="D54" s="55">
        <f>IFERROR(INDEX('DAY 1 SCORES'!$E$4:$E$123, MATCH(B54, 'DAY 1 SCORES'!$B$4:$B$123, 0)), "")</f>
        <v>0</v>
      </c>
      <c r="E54" s="55">
        <f>SUMIF('DAY 1 SCORES'!$B$4:$B$123, B54, 'DAY 1 SCORES'!$F$4:$F$123)</f>
        <v>0</v>
      </c>
      <c r="F54" s="56">
        <f>IFERROR(INDEX('DAY 2 SCORES'!$E$4:$E$123, MATCH(B54, 'DAY 2 SCORES'!$B$4:$B$123, 0)), "")</f>
        <v>0</v>
      </c>
      <c r="G54" s="56">
        <f>SUMIF('DAY 2 SCORES'!$B$4:$B$123, B54, 'DAY 2 SCORES'!$F$4:$F$123)</f>
        <v>0</v>
      </c>
      <c r="H54" s="55">
        <f>SUMIF('DAY 1 SCORES'!$B$4:$B$123, B54, 'DAY 1 SCORES'!$D$4:$D$123)</f>
        <v>0</v>
      </c>
      <c r="I54" s="55">
        <f>SUMIF('DAY 2 SCORES'!$B$4:$B$123, B54, 'DAY 2 SCORES'!$D$4:$D$123)</f>
        <v>0</v>
      </c>
      <c r="J54" s="55">
        <f>H54+I54</f>
        <v>0</v>
      </c>
      <c r="K54" s="56">
        <f>SUMIF('DAY 1 SCORES'!$B$4:$B$123, B54, 'DAY 1 SCORES'!$H$4:$H$123)</f>
        <v>14400</v>
      </c>
      <c r="L54" s="56">
        <f>SUMIF('DAY 2 SCORES'!$B$4:$B$123, B54, 'DAY 2 SCORES'!$H$4:$H$123)</f>
        <v>14400</v>
      </c>
      <c r="M54" s="54">
        <f>IF(OR(B54="", B54=0), 999, SUM(K54:L54))</f>
        <v>999</v>
      </c>
      <c r="N54" s="24"/>
      <c r="O54" s="24"/>
      <c r="P54" s="24"/>
      <c r="Q54" s="24"/>
      <c r="R54" s="24"/>
      <c r="S54" s="24"/>
      <c r="T54" s="24"/>
      <c r="U54" s="24"/>
      <c r="V54" s="24"/>
      <c r="W54" s="24"/>
      <c r="X54" s="24"/>
      <c r="Y54" s="24"/>
      <c r="Z54" s="24"/>
      <c r="AA54" s="24"/>
      <c r="AB54" s="24" t="str">
        <f>REGISTRATION!C53</f>
        <v/>
      </c>
      <c r="AC54" s="24">
        <f>'DAY 1 SCORES'!E55</f>
        <v>0</v>
      </c>
      <c r="AD54" s="24">
        <f>'DAY 1 SCORES'!F55</f>
        <v>0</v>
      </c>
      <c r="AE54" s="24">
        <f>'DAY 2 SCORES'!E55</f>
        <v>0</v>
      </c>
      <c r="AF54" s="24">
        <f>'DAY 2 SCORES'!F55</f>
        <v>0</v>
      </c>
      <c r="AG54" s="24">
        <f>'DAY 1 SCORES'!G55</f>
        <v>0</v>
      </c>
      <c r="AH54" s="24">
        <f>'DAY 2 SCORES'!G55</f>
        <v>0</v>
      </c>
      <c r="AI54" s="24">
        <f t="shared" si="0"/>
        <v>0</v>
      </c>
      <c r="AJ54" s="24">
        <f>'DAY 1 SCORES'!H55</f>
        <v>120</v>
      </c>
      <c r="AK54" s="24">
        <f>'DAY 2 SCORES'!H55</f>
        <v>120</v>
      </c>
      <c r="AL54" s="24">
        <f t="shared" si="1"/>
        <v>240</v>
      </c>
    </row>
    <row r="55" spans="1:38" ht="24.75" customHeight="1">
      <c r="A55" s="58" t="str">
        <f>IF(B55="", "", ROW()-2)</f>
        <v/>
      </c>
      <c r="B55" s="59" t="str">
        <f>IF(REGISTRATION!B54="", "", REGISTRATION!B54)</f>
        <v/>
      </c>
      <c r="C55" s="59" t="str">
        <f>IF(B55="", "", _xlfn.XLOOKUP(B55, REGISTRATION!B:B, REGISTRATION!C:C, ""))</f>
        <v/>
      </c>
      <c r="D55" s="55">
        <f>IFERROR(INDEX('DAY 1 SCORES'!$E$4:$E$123, MATCH(B55, 'DAY 1 SCORES'!$B$4:$B$123, 0)), "")</f>
        <v>0</v>
      </c>
      <c r="E55" s="55">
        <f>SUMIF('DAY 1 SCORES'!$B$4:$B$123, B55, 'DAY 1 SCORES'!$F$4:$F$123)</f>
        <v>0</v>
      </c>
      <c r="F55" s="56">
        <f>IFERROR(INDEX('DAY 2 SCORES'!$E$4:$E$123, MATCH(B55, 'DAY 2 SCORES'!$B$4:$B$123, 0)), "")</f>
        <v>0</v>
      </c>
      <c r="G55" s="56">
        <f>SUMIF('DAY 2 SCORES'!$B$4:$B$123, B55, 'DAY 2 SCORES'!$F$4:$F$123)</f>
        <v>0</v>
      </c>
      <c r="H55" s="55">
        <f>SUMIF('DAY 1 SCORES'!$B$4:$B$123, B55, 'DAY 1 SCORES'!$D$4:$D$123)</f>
        <v>0</v>
      </c>
      <c r="I55" s="55">
        <f>SUMIF('DAY 2 SCORES'!$B$4:$B$123, B55, 'DAY 2 SCORES'!$D$4:$D$123)</f>
        <v>0</v>
      </c>
      <c r="J55" s="55">
        <f>H55+I55</f>
        <v>0</v>
      </c>
      <c r="K55" s="56">
        <f>SUMIF('DAY 1 SCORES'!$B$4:$B$123, B55, 'DAY 1 SCORES'!$H$4:$H$123)</f>
        <v>14400</v>
      </c>
      <c r="L55" s="56">
        <f>SUMIF('DAY 2 SCORES'!$B$4:$B$123, B55, 'DAY 2 SCORES'!$H$4:$H$123)</f>
        <v>14400</v>
      </c>
      <c r="M55" s="54">
        <f>IF(OR(B55="", B55=0), 999, SUM(K55:L55))</f>
        <v>999</v>
      </c>
      <c r="N55" s="24"/>
      <c r="O55" s="24"/>
      <c r="P55" s="24"/>
      <c r="Q55" s="24"/>
      <c r="R55" s="24"/>
      <c r="S55" s="24"/>
      <c r="T55" s="24"/>
      <c r="U55" s="24"/>
      <c r="V55" s="24"/>
      <c r="W55" s="24"/>
      <c r="X55" s="24"/>
      <c r="Y55" s="24"/>
      <c r="Z55" s="24"/>
      <c r="AA55" s="24"/>
      <c r="AB55" s="24" t="str">
        <f>REGISTRATION!C54</f>
        <v/>
      </c>
      <c r="AC55" s="24">
        <f>'DAY 1 SCORES'!E56</f>
        <v>0</v>
      </c>
      <c r="AD55" s="24">
        <f>'DAY 1 SCORES'!F56</f>
        <v>0</v>
      </c>
      <c r="AE55" s="24">
        <f>'DAY 2 SCORES'!E56</f>
        <v>0</v>
      </c>
      <c r="AF55" s="24">
        <f>'DAY 2 SCORES'!F56</f>
        <v>0</v>
      </c>
      <c r="AG55" s="24">
        <f>'DAY 1 SCORES'!G56</f>
        <v>0</v>
      </c>
      <c r="AH55" s="24">
        <f>'DAY 2 SCORES'!G56</f>
        <v>0</v>
      </c>
      <c r="AI55" s="24">
        <f t="shared" si="0"/>
        <v>0</v>
      </c>
      <c r="AJ55" s="24">
        <f>'DAY 1 SCORES'!H56</f>
        <v>120</v>
      </c>
      <c r="AK55" s="24">
        <f>'DAY 2 SCORES'!H56</f>
        <v>120</v>
      </c>
      <c r="AL55" s="24">
        <f t="shared" si="1"/>
        <v>240</v>
      </c>
    </row>
    <row r="56" spans="1:38" ht="24.75" customHeight="1">
      <c r="A56" s="58" t="str">
        <f>IF(B56="", "", ROW()-2)</f>
        <v/>
      </c>
      <c r="B56" s="59" t="str">
        <f>IF(REGISTRATION!B55="", "", REGISTRATION!B55)</f>
        <v/>
      </c>
      <c r="C56" s="59" t="str">
        <f>IF(B56="", "", _xlfn.XLOOKUP(B56, REGISTRATION!B:B, REGISTRATION!C:C, ""))</f>
        <v/>
      </c>
      <c r="D56" s="55">
        <f>IFERROR(INDEX('DAY 1 SCORES'!$E$4:$E$123, MATCH(B56, 'DAY 1 SCORES'!$B$4:$B$123, 0)), "")</f>
        <v>0</v>
      </c>
      <c r="E56" s="55">
        <f>SUMIF('DAY 1 SCORES'!$B$4:$B$123, B56, 'DAY 1 SCORES'!$F$4:$F$123)</f>
        <v>0</v>
      </c>
      <c r="F56" s="56">
        <f>IFERROR(INDEX('DAY 2 SCORES'!$E$4:$E$123, MATCH(B56, 'DAY 2 SCORES'!$B$4:$B$123, 0)), "")</f>
        <v>0</v>
      </c>
      <c r="G56" s="56">
        <f>SUMIF('DAY 2 SCORES'!$B$4:$B$123, B56, 'DAY 2 SCORES'!$F$4:$F$123)</f>
        <v>0</v>
      </c>
      <c r="H56" s="55">
        <f>SUMIF('DAY 1 SCORES'!$B$4:$B$123, B56, 'DAY 1 SCORES'!$D$4:$D$123)</f>
        <v>0</v>
      </c>
      <c r="I56" s="55">
        <f>SUMIF('DAY 2 SCORES'!$B$4:$B$123, B56, 'DAY 2 SCORES'!$D$4:$D$123)</f>
        <v>0</v>
      </c>
      <c r="J56" s="55">
        <f>H56+I56</f>
        <v>0</v>
      </c>
      <c r="K56" s="56">
        <f>SUMIF('DAY 1 SCORES'!$B$4:$B$123, B56, 'DAY 1 SCORES'!$H$4:$H$123)</f>
        <v>14400</v>
      </c>
      <c r="L56" s="56">
        <f>SUMIF('DAY 2 SCORES'!$B$4:$B$123, B56, 'DAY 2 SCORES'!$H$4:$H$123)</f>
        <v>14400</v>
      </c>
      <c r="M56" s="54">
        <f>IF(OR(B56="", B56=0), 999, SUM(K56:L56))</f>
        <v>999</v>
      </c>
      <c r="N56" s="24"/>
      <c r="O56" s="24"/>
      <c r="P56" s="24"/>
      <c r="Q56" s="24"/>
      <c r="R56" s="24"/>
      <c r="S56" s="24"/>
      <c r="T56" s="24"/>
      <c r="U56" s="24"/>
      <c r="V56" s="24"/>
      <c r="W56" s="24"/>
      <c r="X56" s="24"/>
      <c r="Y56" s="24"/>
      <c r="Z56" s="24"/>
      <c r="AA56" s="24"/>
      <c r="AB56" s="24" t="str">
        <f>REGISTRATION!C55</f>
        <v/>
      </c>
      <c r="AC56" s="24">
        <f>'DAY 1 SCORES'!E57</f>
        <v>0</v>
      </c>
      <c r="AD56" s="24">
        <f>'DAY 1 SCORES'!F57</f>
        <v>0</v>
      </c>
      <c r="AE56" s="24">
        <f>'DAY 2 SCORES'!E57</f>
        <v>0</v>
      </c>
      <c r="AF56" s="24">
        <f>'DAY 2 SCORES'!F57</f>
        <v>0</v>
      </c>
      <c r="AG56" s="24">
        <f>'DAY 1 SCORES'!G57</f>
        <v>0</v>
      </c>
      <c r="AH56" s="24">
        <f>'DAY 2 SCORES'!G57</f>
        <v>0</v>
      </c>
      <c r="AI56" s="24">
        <f t="shared" si="0"/>
        <v>0</v>
      </c>
      <c r="AJ56" s="24">
        <f>'DAY 1 SCORES'!H57</f>
        <v>120</v>
      </c>
      <c r="AK56" s="24">
        <f>'DAY 2 SCORES'!H57</f>
        <v>120</v>
      </c>
      <c r="AL56" s="24">
        <f t="shared" si="1"/>
        <v>240</v>
      </c>
    </row>
    <row r="57" spans="1:38" ht="24.75" customHeight="1">
      <c r="A57" s="58" t="str">
        <f>IF(B57="", "", ROW()-2)</f>
        <v/>
      </c>
      <c r="B57" s="59" t="str">
        <f>IF(REGISTRATION!B56="", "", REGISTRATION!B56)</f>
        <v/>
      </c>
      <c r="C57" s="59" t="str">
        <f>IF(B57="", "", _xlfn.XLOOKUP(B57, REGISTRATION!B:B, REGISTRATION!C:C, ""))</f>
        <v/>
      </c>
      <c r="D57" s="55">
        <f>IFERROR(INDEX('DAY 1 SCORES'!$E$4:$E$123, MATCH(B57, 'DAY 1 SCORES'!$B$4:$B$123, 0)), "")</f>
        <v>0</v>
      </c>
      <c r="E57" s="55">
        <f>SUMIF('DAY 1 SCORES'!$B$4:$B$123, B57, 'DAY 1 SCORES'!$F$4:$F$123)</f>
        <v>0</v>
      </c>
      <c r="F57" s="56">
        <f>IFERROR(INDEX('DAY 2 SCORES'!$E$4:$E$123, MATCH(B57, 'DAY 2 SCORES'!$B$4:$B$123, 0)), "")</f>
        <v>0</v>
      </c>
      <c r="G57" s="56">
        <f>SUMIF('DAY 2 SCORES'!$B$4:$B$123, B57, 'DAY 2 SCORES'!$F$4:$F$123)</f>
        <v>0</v>
      </c>
      <c r="H57" s="55">
        <f>SUMIF('DAY 1 SCORES'!$B$4:$B$123, B57, 'DAY 1 SCORES'!$D$4:$D$123)</f>
        <v>0</v>
      </c>
      <c r="I57" s="55">
        <f>SUMIF('DAY 2 SCORES'!$B$4:$B$123, B57, 'DAY 2 SCORES'!$D$4:$D$123)</f>
        <v>0</v>
      </c>
      <c r="J57" s="55">
        <f>H57+I57</f>
        <v>0</v>
      </c>
      <c r="K57" s="56">
        <f>SUMIF('DAY 1 SCORES'!$B$4:$B$123, B57, 'DAY 1 SCORES'!$H$4:$H$123)</f>
        <v>14400</v>
      </c>
      <c r="L57" s="56">
        <f>SUMIF('DAY 2 SCORES'!$B$4:$B$123, B57, 'DAY 2 SCORES'!$H$4:$H$123)</f>
        <v>14400</v>
      </c>
      <c r="M57" s="54">
        <f>IF(OR(B57="", B57=0), 999, SUM(K57:L57))</f>
        <v>999</v>
      </c>
      <c r="N57" s="24"/>
      <c r="O57" s="24"/>
      <c r="P57" s="24"/>
      <c r="Q57" s="24"/>
      <c r="R57" s="24"/>
      <c r="S57" s="24"/>
      <c r="T57" s="24"/>
      <c r="U57" s="24"/>
      <c r="V57" s="24"/>
      <c r="W57" s="24"/>
      <c r="X57" s="24"/>
      <c r="Y57" s="24"/>
      <c r="Z57" s="24"/>
      <c r="AA57" s="24"/>
      <c r="AB57" s="24" t="str">
        <f>REGISTRATION!C56</f>
        <v/>
      </c>
      <c r="AC57" s="24">
        <f>'DAY 1 SCORES'!E58</f>
        <v>0</v>
      </c>
      <c r="AD57" s="24">
        <f>'DAY 1 SCORES'!F58</f>
        <v>0</v>
      </c>
      <c r="AE57" s="24">
        <f>'DAY 2 SCORES'!E58</f>
        <v>0</v>
      </c>
      <c r="AF57" s="24">
        <f>'DAY 2 SCORES'!F58</f>
        <v>0</v>
      </c>
      <c r="AG57" s="24">
        <f>'DAY 1 SCORES'!G58</f>
        <v>0</v>
      </c>
      <c r="AH57" s="24">
        <f>'DAY 2 SCORES'!G58</f>
        <v>0</v>
      </c>
      <c r="AI57" s="24">
        <f t="shared" si="0"/>
        <v>0</v>
      </c>
      <c r="AJ57" s="24">
        <f>'DAY 1 SCORES'!H58</f>
        <v>120</v>
      </c>
      <c r="AK57" s="24">
        <f>'DAY 2 SCORES'!H58</f>
        <v>120</v>
      </c>
      <c r="AL57" s="24">
        <f t="shared" si="1"/>
        <v>240</v>
      </c>
    </row>
    <row r="58" spans="1:38" ht="24.75" customHeight="1">
      <c r="A58" s="58" t="str">
        <f>IF(B58="", "", ROW()-2)</f>
        <v/>
      </c>
      <c r="B58" s="59" t="str">
        <f>IF(REGISTRATION!B57="", "", REGISTRATION!B57)</f>
        <v/>
      </c>
      <c r="C58" s="59" t="str">
        <f>IF(B58="", "", _xlfn.XLOOKUP(B58, REGISTRATION!B:B, REGISTRATION!C:C, ""))</f>
        <v/>
      </c>
      <c r="D58" s="55">
        <f>IFERROR(INDEX('DAY 1 SCORES'!$E$4:$E$123, MATCH(B58, 'DAY 1 SCORES'!$B$4:$B$123, 0)), "")</f>
        <v>0</v>
      </c>
      <c r="E58" s="55">
        <f>SUMIF('DAY 1 SCORES'!$B$4:$B$123, B58, 'DAY 1 SCORES'!$F$4:$F$123)</f>
        <v>0</v>
      </c>
      <c r="F58" s="56">
        <f>IFERROR(INDEX('DAY 2 SCORES'!$E$4:$E$123, MATCH(B58, 'DAY 2 SCORES'!$B$4:$B$123, 0)), "")</f>
        <v>0</v>
      </c>
      <c r="G58" s="56">
        <f>SUMIF('DAY 2 SCORES'!$B$4:$B$123, B58, 'DAY 2 SCORES'!$F$4:$F$123)</f>
        <v>0</v>
      </c>
      <c r="H58" s="55">
        <f>SUMIF('DAY 1 SCORES'!$B$4:$B$123, B58, 'DAY 1 SCORES'!$D$4:$D$123)</f>
        <v>0</v>
      </c>
      <c r="I58" s="55">
        <f>SUMIF('DAY 2 SCORES'!$B$4:$B$123, B58, 'DAY 2 SCORES'!$D$4:$D$123)</f>
        <v>0</v>
      </c>
      <c r="J58" s="55">
        <f>H58+I58</f>
        <v>0</v>
      </c>
      <c r="K58" s="56">
        <f>SUMIF('DAY 1 SCORES'!$B$4:$B$123, B58, 'DAY 1 SCORES'!$H$4:$H$123)</f>
        <v>14400</v>
      </c>
      <c r="L58" s="56">
        <f>SUMIF('DAY 2 SCORES'!$B$4:$B$123, B58, 'DAY 2 SCORES'!$H$4:$H$123)</f>
        <v>14400</v>
      </c>
      <c r="M58" s="54">
        <f>IF(OR(B58="", B58=0), 999, SUM(K58:L58))</f>
        <v>999</v>
      </c>
      <c r="N58" s="24"/>
      <c r="O58" s="24"/>
      <c r="P58" s="24"/>
      <c r="Q58" s="24"/>
      <c r="R58" s="24"/>
      <c r="S58" s="24"/>
      <c r="T58" s="24"/>
      <c r="U58" s="24"/>
      <c r="V58" s="24"/>
      <c r="W58" s="24"/>
      <c r="X58" s="24"/>
      <c r="Y58" s="24"/>
      <c r="Z58" s="24"/>
      <c r="AA58" s="24"/>
      <c r="AB58" s="24" t="str">
        <f>REGISTRATION!C57</f>
        <v/>
      </c>
      <c r="AC58" s="24">
        <f>'DAY 1 SCORES'!E59</f>
        <v>0</v>
      </c>
      <c r="AD58" s="24">
        <f>'DAY 1 SCORES'!F59</f>
        <v>0</v>
      </c>
      <c r="AE58" s="24">
        <f>'DAY 2 SCORES'!E59</f>
        <v>0</v>
      </c>
      <c r="AF58" s="24">
        <f>'DAY 2 SCORES'!F59</f>
        <v>0</v>
      </c>
      <c r="AG58" s="24">
        <f>'DAY 1 SCORES'!G59</f>
        <v>0</v>
      </c>
      <c r="AH58" s="24">
        <f>'DAY 2 SCORES'!G59</f>
        <v>0</v>
      </c>
      <c r="AI58" s="24">
        <f t="shared" si="0"/>
        <v>0</v>
      </c>
      <c r="AJ58" s="24">
        <f>'DAY 1 SCORES'!H59</f>
        <v>120</v>
      </c>
      <c r="AK58" s="24">
        <f>'DAY 2 SCORES'!H59</f>
        <v>120</v>
      </c>
      <c r="AL58" s="24">
        <f t="shared" si="1"/>
        <v>240</v>
      </c>
    </row>
    <row r="59" spans="1:38" ht="24.75" customHeight="1">
      <c r="A59" s="58" t="str">
        <f>IF(B59="", "", ROW()-2)</f>
        <v/>
      </c>
      <c r="B59" s="59" t="str">
        <f>IF(REGISTRATION!B58="", "", REGISTRATION!B58)</f>
        <v/>
      </c>
      <c r="C59" s="59" t="str">
        <f>IF(B59="", "", _xlfn.XLOOKUP(B59, REGISTRATION!B:B, REGISTRATION!C:C, ""))</f>
        <v/>
      </c>
      <c r="D59" s="55">
        <f>IFERROR(INDEX('DAY 1 SCORES'!$E$4:$E$123, MATCH(B59, 'DAY 1 SCORES'!$B$4:$B$123, 0)), "")</f>
        <v>0</v>
      </c>
      <c r="E59" s="55">
        <f>SUMIF('DAY 1 SCORES'!$B$4:$B$123, B59, 'DAY 1 SCORES'!$F$4:$F$123)</f>
        <v>0</v>
      </c>
      <c r="F59" s="56">
        <f>IFERROR(INDEX('DAY 2 SCORES'!$E$4:$E$123, MATCH(B59, 'DAY 2 SCORES'!$B$4:$B$123, 0)), "")</f>
        <v>0</v>
      </c>
      <c r="G59" s="56">
        <f>SUMIF('DAY 2 SCORES'!$B$4:$B$123, B59, 'DAY 2 SCORES'!$F$4:$F$123)</f>
        <v>0</v>
      </c>
      <c r="H59" s="55">
        <f>SUMIF('DAY 1 SCORES'!$B$4:$B$123, B59, 'DAY 1 SCORES'!$D$4:$D$123)</f>
        <v>0</v>
      </c>
      <c r="I59" s="55">
        <f>SUMIF('DAY 2 SCORES'!$B$4:$B$123, B59, 'DAY 2 SCORES'!$D$4:$D$123)</f>
        <v>0</v>
      </c>
      <c r="J59" s="55">
        <f>H59+I59</f>
        <v>0</v>
      </c>
      <c r="K59" s="56">
        <f>SUMIF('DAY 1 SCORES'!$B$4:$B$123, B59, 'DAY 1 SCORES'!$H$4:$H$123)</f>
        <v>14400</v>
      </c>
      <c r="L59" s="56">
        <f>SUMIF('DAY 2 SCORES'!$B$4:$B$123, B59, 'DAY 2 SCORES'!$H$4:$H$123)</f>
        <v>14400</v>
      </c>
      <c r="M59" s="54">
        <f>IF(OR(B59="", B59=0), 999, SUM(K59:L59))</f>
        <v>999</v>
      </c>
      <c r="N59" s="24"/>
      <c r="O59" s="24"/>
      <c r="P59" s="24"/>
      <c r="Q59" s="24"/>
      <c r="R59" s="24"/>
      <c r="S59" s="24"/>
      <c r="T59" s="24"/>
      <c r="U59" s="24"/>
      <c r="V59" s="24"/>
      <c r="W59" s="24"/>
      <c r="X59" s="24"/>
      <c r="Y59" s="24"/>
      <c r="Z59" s="24"/>
      <c r="AA59" s="24"/>
      <c r="AB59" s="24" t="str">
        <f>REGISTRATION!C58</f>
        <v/>
      </c>
      <c r="AC59" s="24">
        <f>'DAY 1 SCORES'!E60</f>
        <v>0</v>
      </c>
      <c r="AD59" s="24">
        <f>'DAY 1 SCORES'!F60</f>
        <v>0</v>
      </c>
      <c r="AE59" s="24">
        <f>'DAY 2 SCORES'!E60</f>
        <v>0</v>
      </c>
      <c r="AF59" s="24">
        <f>'DAY 2 SCORES'!F60</f>
        <v>0</v>
      </c>
      <c r="AG59" s="24">
        <f>'DAY 1 SCORES'!G60</f>
        <v>0</v>
      </c>
      <c r="AH59" s="24">
        <f>'DAY 2 SCORES'!G60</f>
        <v>0</v>
      </c>
      <c r="AI59" s="24">
        <f t="shared" si="0"/>
        <v>0</v>
      </c>
      <c r="AJ59" s="24">
        <f>'DAY 1 SCORES'!H60</f>
        <v>120</v>
      </c>
      <c r="AK59" s="24">
        <f>'DAY 2 SCORES'!H60</f>
        <v>120</v>
      </c>
      <c r="AL59" s="24">
        <f t="shared" si="1"/>
        <v>240</v>
      </c>
    </row>
    <row r="60" spans="1:38" ht="24.75" customHeight="1">
      <c r="A60" s="58" t="str">
        <f>IF(B60="", "", ROW()-2)</f>
        <v/>
      </c>
      <c r="B60" s="59" t="str">
        <f>IF(REGISTRATION!B59="", "", REGISTRATION!B59)</f>
        <v/>
      </c>
      <c r="C60" s="59" t="str">
        <f>IF(B60="", "", _xlfn.XLOOKUP(B60, REGISTRATION!B:B, REGISTRATION!C:C, ""))</f>
        <v/>
      </c>
      <c r="D60" s="55">
        <f>IFERROR(INDEX('DAY 1 SCORES'!$E$4:$E$123, MATCH(B60, 'DAY 1 SCORES'!$B$4:$B$123, 0)), "")</f>
        <v>0</v>
      </c>
      <c r="E60" s="55">
        <f>SUMIF('DAY 1 SCORES'!$B$4:$B$123, B60, 'DAY 1 SCORES'!$F$4:$F$123)</f>
        <v>0</v>
      </c>
      <c r="F60" s="56">
        <f>IFERROR(INDEX('DAY 2 SCORES'!$E$4:$E$123, MATCH(B60, 'DAY 2 SCORES'!$B$4:$B$123, 0)), "")</f>
        <v>0</v>
      </c>
      <c r="G60" s="56">
        <f>SUMIF('DAY 2 SCORES'!$B$4:$B$123, B60, 'DAY 2 SCORES'!$F$4:$F$123)</f>
        <v>0</v>
      </c>
      <c r="H60" s="55">
        <f>SUMIF('DAY 1 SCORES'!$B$4:$B$123, B60, 'DAY 1 SCORES'!$D$4:$D$123)</f>
        <v>0</v>
      </c>
      <c r="I60" s="55">
        <f>SUMIF('DAY 2 SCORES'!$B$4:$B$123, B60, 'DAY 2 SCORES'!$D$4:$D$123)</f>
        <v>0</v>
      </c>
      <c r="J60" s="55">
        <f>H60+I60</f>
        <v>0</v>
      </c>
      <c r="K60" s="56">
        <f>SUMIF('DAY 1 SCORES'!$B$4:$B$123, B60, 'DAY 1 SCORES'!$H$4:$H$123)</f>
        <v>14400</v>
      </c>
      <c r="L60" s="56">
        <f>SUMIF('DAY 2 SCORES'!$B$4:$B$123, B60, 'DAY 2 SCORES'!$H$4:$H$123)</f>
        <v>14400</v>
      </c>
      <c r="M60" s="54">
        <f>IF(OR(B60="", B60=0), 999, SUM(K60:L60))</f>
        <v>999</v>
      </c>
      <c r="N60" s="24"/>
      <c r="O60" s="24"/>
      <c r="P60" s="24"/>
      <c r="Q60" s="24"/>
      <c r="R60" s="24"/>
      <c r="S60" s="24"/>
      <c r="T60" s="24"/>
      <c r="U60" s="24"/>
      <c r="V60" s="24"/>
      <c r="W60" s="24"/>
      <c r="X60" s="24"/>
      <c r="Y60" s="24"/>
      <c r="Z60" s="24"/>
      <c r="AA60" s="24"/>
      <c r="AB60" s="24" t="str">
        <f>REGISTRATION!C59</f>
        <v/>
      </c>
      <c r="AC60" s="24">
        <f>'DAY 1 SCORES'!E61</f>
        <v>0</v>
      </c>
      <c r="AD60" s="24">
        <f>'DAY 1 SCORES'!F61</f>
        <v>0</v>
      </c>
      <c r="AE60" s="24">
        <f>'DAY 2 SCORES'!E61</f>
        <v>0</v>
      </c>
      <c r="AF60" s="24">
        <f>'DAY 2 SCORES'!F61</f>
        <v>0</v>
      </c>
      <c r="AG60" s="24">
        <f>'DAY 1 SCORES'!G61</f>
        <v>0</v>
      </c>
      <c r="AH60" s="24">
        <f>'DAY 2 SCORES'!G61</f>
        <v>0</v>
      </c>
      <c r="AI60" s="24">
        <f t="shared" si="0"/>
        <v>0</v>
      </c>
      <c r="AJ60" s="24">
        <f>'DAY 1 SCORES'!H61</f>
        <v>120</v>
      </c>
      <c r="AK60" s="24">
        <f>'DAY 2 SCORES'!H61</f>
        <v>120</v>
      </c>
      <c r="AL60" s="24">
        <f t="shared" si="1"/>
        <v>240</v>
      </c>
    </row>
    <row r="61" spans="1:38" ht="24.75" customHeight="1">
      <c r="A61" s="58" t="str">
        <f>IF(B61="", "", ROW()-2)</f>
        <v/>
      </c>
      <c r="B61" s="59" t="str">
        <f>IF(REGISTRATION!B60="", "", REGISTRATION!B60)</f>
        <v/>
      </c>
      <c r="C61" s="59" t="str">
        <f>IF(B61="", "", _xlfn.XLOOKUP(B61, REGISTRATION!B:B, REGISTRATION!C:C, ""))</f>
        <v/>
      </c>
      <c r="D61" s="55">
        <f>IFERROR(INDEX('DAY 1 SCORES'!$E$4:$E$123, MATCH(B61, 'DAY 1 SCORES'!$B$4:$B$123, 0)), "")</f>
        <v>0</v>
      </c>
      <c r="E61" s="55">
        <f>SUMIF('DAY 1 SCORES'!$B$4:$B$123, B61, 'DAY 1 SCORES'!$F$4:$F$123)</f>
        <v>0</v>
      </c>
      <c r="F61" s="56">
        <f>IFERROR(INDEX('DAY 2 SCORES'!$E$4:$E$123, MATCH(B61, 'DAY 2 SCORES'!$B$4:$B$123, 0)), "")</f>
        <v>0</v>
      </c>
      <c r="G61" s="56">
        <f>SUMIF('DAY 2 SCORES'!$B$4:$B$123, B61, 'DAY 2 SCORES'!$F$4:$F$123)</f>
        <v>0</v>
      </c>
      <c r="H61" s="55">
        <f>SUMIF('DAY 1 SCORES'!$B$4:$B$123, B61, 'DAY 1 SCORES'!$D$4:$D$123)</f>
        <v>0</v>
      </c>
      <c r="I61" s="55">
        <f>SUMIF('DAY 2 SCORES'!$B$4:$B$123, B61, 'DAY 2 SCORES'!$D$4:$D$123)</f>
        <v>0</v>
      </c>
      <c r="J61" s="55">
        <f>H61+I61</f>
        <v>0</v>
      </c>
      <c r="K61" s="56">
        <f>SUMIF('DAY 1 SCORES'!$B$4:$B$123, B61, 'DAY 1 SCORES'!$H$4:$H$123)</f>
        <v>14400</v>
      </c>
      <c r="L61" s="56">
        <f>SUMIF('DAY 2 SCORES'!$B$4:$B$123, B61, 'DAY 2 SCORES'!$H$4:$H$123)</f>
        <v>14400</v>
      </c>
      <c r="M61" s="54">
        <f>IF(OR(B61="", B61=0), 999, SUM(K61:L61))</f>
        <v>999</v>
      </c>
      <c r="N61" s="24"/>
      <c r="O61" s="24"/>
      <c r="P61" s="24"/>
      <c r="Q61" s="24"/>
      <c r="R61" s="24"/>
      <c r="S61" s="24"/>
      <c r="T61" s="24"/>
      <c r="U61" s="24"/>
      <c r="V61" s="24"/>
      <c r="W61" s="24"/>
      <c r="X61" s="24"/>
      <c r="Y61" s="24"/>
      <c r="Z61" s="24"/>
      <c r="AA61" s="24"/>
      <c r="AB61" s="24" t="str">
        <f>REGISTRATION!C60</f>
        <v/>
      </c>
      <c r="AC61" s="24">
        <f>'DAY 1 SCORES'!E62</f>
        <v>0</v>
      </c>
      <c r="AD61" s="24">
        <f>'DAY 1 SCORES'!F62</f>
        <v>0</v>
      </c>
      <c r="AE61" s="24">
        <f>'DAY 2 SCORES'!E62</f>
        <v>0</v>
      </c>
      <c r="AF61" s="24">
        <f>'DAY 2 SCORES'!F62</f>
        <v>0</v>
      </c>
      <c r="AG61" s="24">
        <f>'DAY 1 SCORES'!G62</f>
        <v>0</v>
      </c>
      <c r="AH61" s="24">
        <f>'DAY 2 SCORES'!G62</f>
        <v>0</v>
      </c>
      <c r="AI61" s="24">
        <f t="shared" si="0"/>
        <v>0</v>
      </c>
      <c r="AJ61" s="24">
        <f>'DAY 1 SCORES'!H62</f>
        <v>120</v>
      </c>
      <c r="AK61" s="24">
        <f>'DAY 2 SCORES'!H62</f>
        <v>120</v>
      </c>
      <c r="AL61" s="24">
        <f t="shared" si="1"/>
        <v>240</v>
      </c>
    </row>
    <row r="62" spans="1:38" ht="24.75" customHeight="1">
      <c r="A62" s="58" t="str">
        <f>IF(B62="", "", ROW()-2)</f>
        <v/>
      </c>
      <c r="B62" s="59" t="str">
        <f>IF(REGISTRATION!B61="", "", REGISTRATION!B61)</f>
        <v/>
      </c>
      <c r="C62" s="59" t="str">
        <f>IF(B62="", "", _xlfn.XLOOKUP(B62, REGISTRATION!B:B, REGISTRATION!C:C, ""))</f>
        <v/>
      </c>
      <c r="D62" s="55">
        <f>IFERROR(INDEX('DAY 1 SCORES'!$E$4:$E$123, MATCH(B62, 'DAY 1 SCORES'!$B$4:$B$123, 0)), "")</f>
        <v>0</v>
      </c>
      <c r="E62" s="55">
        <f>SUMIF('DAY 1 SCORES'!$B$4:$B$123, B62, 'DAY 1 SCORES'!$F$4:$F$123)</f>
        <v>0</v>
      </c>
      <c r="F62" s="56">
        <f>IFERROR(INDEX('DAY 2 SCORES'!$E$4:$E$123, MATCH(B62, 'DAY 2 SCORES'!$B$4:$B$123, 0)), "")</f>
        <v>0</v>
      </c>
      <c r="G62" s="56">
        <f>SUMIF('DAY 2 SCORES'!$B$4:$B$123, B62, 'DAY 2 SCORES'!$F$4:$F$123)</f>
        <v>0</v>
      </c>
      <c r="H62" s="55">
        <f>SUMIF('DAY 1 SCORES'!$B$4:$B$123, B62, 'DAY 1 SCORES'!$D$4:$D$123)</f>
        <v>0</v>
      </c>
      <c r="I62" s="55">
        <f>SUMIF('DAY 2 SCORES'!$B$4:$B$123, B62, 'DAY 2 SCORES'!$D$4:$D$123)</f>
        <v>0</v>
      </c>
      <c r="J62" s="55">
        <f>H62+I62</f>
        <v>0</v>
      </c>
      <c r="K62" s="56">
        <f>SUMIF('DAY 1 SCORES'!$B$4:$B$123, B62, 'DAY 1 SCORES'!$H$4:$H$123)</f>
        <v>14400</v>
      </c>
      <c r="L62" s="56">
        <f>SUMIF('DAY 2 SCORES'!$B$4:$B$123, B62, 'DAY 2 SCORES'!$H$4:$H$123)</f>
        <v>14400</v>
      </c>
      <c r="M62" s="54">
        <f>IF(OR(B62="", B62=0), 999, SUM(K62:L62))</f>
        <v>999</v>
      </c>
      <c r="N62" s="24"/>
      <c r="O62" s="24"/>
      <c r="P62" s="24"/>
      <c r="Q62" s="24"/>
      <c r="R62" s="24"/>
      <c r="S62" s="24"/>
      <c r="T62" s="24"/>
      <c r="U62" s="24"/>
      <c r="V62" s="24"/>
      <c r="W62" s="24"/>
      <c r="X62" s="24"/>
      <c r="Y62" s="24"/>
      <c r="Z62" s="24"/>
      <c r="AA62" s="24"/>
      <c r="AB62" s="24" t="str">
        <f>REGISTRATION!C61</f>
        <v/>
      </c>
      <c r="AC62" s="24">
        <f>'DAY 1 SCORES'!E63</f>
        <v>0</v>
      </c>
      <c r="AD62" s="24">
        <f>'DAY 1 SCORES'!F63</f>
        <v>0</v>
      </c>
      <c r="AE62" s="24">
        <f>'DAY 2 SCORES'!E63</f>
        <v>0</v>
      </c>
      <c r="AF62" s="24">
        <f>'DAY 2 SCORES'!F63</f>
        <v>0</v>
      </c>
      <c r="AG62" s="24">
        <f>'DAY 1 SCORES'!G63</f>
        <v>0</v>
      </c>
      <c r="AH62" s="24">
        <f>'DAY 2 SCORES'!G63</f>
        <v>0</v>
      </c>
      <c r="AI62" s="24">
        <f t="shared" si="0"/>
        <v>0</v>
      </c>
      <c r="AJ62" s="24">
        <f>'DAY 1 SCORES'!H63</f>
        <v>120</v>
      </c>
      <c r="AK62" s="24">
        <f>'DAY 2 SCORES'!H63</f>
        <v>120</v>
      </c>
      <c r="AL62" s="24">
        <f t="shared" si="1"/>
        <v>240</v>
      </c>
    </row>
    <row r="63" spans="1:38" ht="24.75" customHeight="1">
      <c r="A63" s="58" t="str">
        <f>IF(B63="", "", ROW()-2)</f>
        <v/>
      </c>
      <c r="B63" s="59" t="str">
        <f>IF(REGISTRATION!B62="", "", REGISTRATION!B62)</f>
        <v/>
      </c>
      <c r="C63" s="59" t="str">
        <f>IF(B63="", "", _xlfn.XLOOKUP(B63, REGISTRATION!B:B, REGISTRATION!C:C, ""))</f>
        <v/>
      </c>
      <c r="D63" s="55">
        <f>IFERROR(INDEX('DAY 1 SCORES'!$E$4:$E$123, MATCH(B63, 'DAY 1 SCORES'!$B$4:$B$123, 0)), "")</f>
        <v>0</v>
      </c>
      <c r="E63" s="55">
        <f>SUMIF('DAY 1 SCORES'!$B$4:$B$123, B63, 'DAY 1 SCORES'!$F$4:$F$123)</f>
        <v>0</v>
      </c>
      <c r="F63" s="56">
        <f>IFERROR(INDEX('DAY 2 SCORES'!$E$4:$E$123, MATCH(B63, 'DAY 2 SCORES'!$B$4:$B$123, 0)), "")</f>
        <v>0</v>
      </c>
      <c r="G63" s="56">
        <f>SUMIF('DAY 2 SCORES'!$B$4:$B$123, B63, 'DAY 2 SCORES'!$F$4:$F$123)</f>
        <v>0</v>
      </c>
      <c r="H63" s="55">
        <f>SUMIF('DAY 1 SCORES'!$B$4:$B$123, B63, 'DAY 1 SCORES'!$D$4:$D$123)</f>
        <v>0</v>
      </c>
      <c r="I63" s="55">
        <f>SUMIF('DAY 2 SCORES'!$B$4:$B$123, B63, 'DAY 2 SCORES'!$D$4:$D$123)</f>
        <v>0</v>
      </c>
      <c r="J63" s="55">
        <f>H63+I63</f>
        <v>0</v>
      </c>
      <c r="K63" s="56">
        <f>SUMIF('DAY 1 SCORES'!$B$4:$B$123, B63, 'DAY 1 SCORES'!$H$4:$H$123)</f>
        <v>14400</v>
      </c>
      <c r="L63" s="56">
        <f>SUMIF('DAY 2 SCORES'!$B$4:$B$123, B63, 'DAY 2 SCORES'!$H$4:$H$123)</f>
        <v>14400</v>
      </c>
      <c r="M63" s="54">
        <f>IF(OR(B63="", B63=0), 999, SUM(K63:L63))</f>
        <v>999</v>
      </c>
      <c r="N63" s="24"/>
      <c r="O63" s="24"/>
      <c r="P63" s="24"/>
      <c r="Q63" s="24"/>
      <c r="R63" s="24"/>
      <c r="S63" s="24"/>
      <c r="T63" s="24"/>
      <c r="U63" s="24"/>
      <c r="V63" s="24"/>
      <c r="W63" s="24"/>
      <c r="X63" s="24"/>
      <c r="Y63" s="24"/>
      <c r="Z63" s="24"/>
      <c r="AA63" s="24"/>
      <c r="AB63" s="24" t="str">
        <f>REGISTRATION!C62</f>
        <v/>
      </c>
      <c r="AC63" s="24">
        <f>'DAY 1 SCORES'!E64</f>
        <v>0</v>
      </c>
      <c r="AD63" s="24">
        <f>'DAY 1 SCORES'!F64</f>
        <v>0</v>
      </c>
      <c r="AE63" s="24">
        <f>'DAY 2 SCORES'!E64</f>
        <v>0</v>
      </c>
      <c r="AF63" s="24">
        <f>'DAY 2 SCORES'!F64</f>
        <v>0</v>
      </c>
      <c r="AG63" s="24">
        <f>'DAY 1 SCORES'!G64</f>
        <v>0</v>
      </c>
      <c r="AH63" s="24">
        <f>'DAY 2 SCORES'!G64</f>
        <v>0</v>
      </c>
      <c r="AI63" s="24">
        <f t="shared" si="0"/>
        <v>0</v>
      </c>
      <c r="AJ63" s="24">
        <f>'DAY 1 SCORES'!H64</f>
        <v>120</v>
      </c>
      <c r="AK63" s="24">
        <f>'DAY 2 SCORES'!H64</f>
        <v>120</v>
      </c>
      <c r="AL63" s="24">
        <f t="shared" si="1"/>
        <v>240</v>
      </c>
    </row>
    <row r="64" spans="1:38" ht="24.75" customHeight="1">
      <c r="A64" s="58" t="str">
        <f>IF(B64="", "", ROW()-2)</f>
        <v/>
      </c>
      <c r="B64" s="59" t="str">
        <f>IF(REGISTRATION!B63="", "", REGISTRATION!B63)</f>
        <v/>
      </c>
      <c r="C64" s="59" t="str">
        <f>IF(B64="", "", _xlfn.XLOOKUP(B64, REGISTRATION!B:B, REGISTRATION!C:C, ""))</f>
        <v/>
      </c>
      <c r="D64" s="55">
        <f>IFERROR(INDEX('DAY 1 SCORES'!$E$4:$E$123, MATCH(B64, 'DAY 1 SCORES'!$B$4:$B$123, 0)), "")</f>
        <v>0</v>
      </c>
      <c r="E64" s="55">
        <f>SUMIF('DAY 1 SCORES'!$B$4:$B$123, B64, 'DAY 1 SCORES'!$F$4:$F$123)</f>
        <v>0</v>
      </c>
      <c r="F64" s="56">
        <f>IFERROR(INDEX('DAY 2 SCORES'!$E$4:$E$123, MATCH(B64, 'DAY 2 SCORES'!$B$4:$B$123, 0)), "")</f>
        <v>0</v>
      </c>
      <c r="G64" s="56">
        <f>SUMIF('DAY 2 SCORES'!$B$4:$B$123, B64, 'DAY 2 SCORES'!$F$4:$F$123)</f>
        <v>0</v>
      </c>
      <c r="H64" s="55">
        <f>SUMIF('DAY 1 SCORES'!$B$4:$B$123, B64, 'DAY 1 SCORES'!$D$4:$D$123)</f>
        <v>0</v>
      </c>
      <c r="I64" s="55">
        <f>SUMIF('DAY 2 SCORES'!$B$4:$B$123, B64, 'DAY 2 SCORES'!$D$4:$D$123)</f>
        <v>0</v>
      </c>
      <c r="J64" s="55">
        <f>H64+I64</f>
        <v>0</v>
      </c>
      <c r="K64" s="56">
        <f>SUMIF('DAY 1 SCORES'!$B$4:$B$123, B64, 'DAY 1 SCORES'!$H$4:$H$123)</f>
        <v>14400</v>
      </c>
      <c r="L64" s="56">
        <f>SUMIF('DAY 2 SCORES'!$B$4:$B$123, B64, 'DAY 2 SCORES'!$H$4:$H$123)</f>
        <v>14400</v>
      </c>
      <c r="M64" s="54">
        <f>IF(OR(B64="", B64=0), 999, SUM(K64:L64))</f>
        <v>999</v>
      </c>
      <c r="N64" s="24"/>
      <c r="O64" s="24"/>
      <c r="P64" s="24"/>
      <c r="Q64" s="24"/>
      <c r="R64" s="24"/>
      <c r="S64" s="24"/>
      <c r="T64" s="24"/>
      <c r="U64" s="24"/>
      <c r="V64" s="24"/>
      <c r="W64" s="24"/>
      <c r="X64" s="24"/>
      <c r="Y64" s="24"/>
      <c r="Z64" s="24"/>
      <c r="AA64" s="24"/>
      <c r="AB64" s="24" t="str">
        <f>REGISTRATION!C63</f>
        <v/>
      </c>
      <c r="AC64" s="24">
        <f>'DAY 1 SCORES'!E65</f>
        <v>0</v>
      </c>
      <c r="AD64" s="24">
        <f>'DAY 1 SCORES'!F65</f>
        <v>0</v>
      </c>
      <c r="AE64" s="24">
        <f>'DAY 2 SCORES'!E65</f>
        <v>0</v>
      </c>
      <c r="AF64" s="24">
        <f>'DAY 2 SCORES'!F65</f>
        <v>0</v>
      </c>
      <c r="AG64" s="24">
        <f>'DAY 1 SCORES'!G65</f>
        <v>0</v>
      </c>
      <c r="AH64" s="24">
        <f>'DAY 2 SCORES'!G65</f>
        <v>0</v>
      </c>
      <c r="AI64" s="24">
        <f t="shared" si="0"/>
        <v>0</v>
      </c>
      <c r="AJ64" s="24">
        <f>'DAY 1 SCORES'!H65</f>
        <v>120</v>
      </c>
      <c r="AK64" s="24">
        <f>'DAY 2 SCORES'!H65</f>
        <v>120</v>
      </c>
      <c r="AL64" s="24">
        <f t="shared" si="1"/>
        <v>240</v>
      </c>
    </row>
    <row r="65" spans="1:38" ht="24.75" customHeight="1">
      <c r="A65" s="58" t="str">
        <f>IF(B65="", "", ROW()-2)</f>
        <v/>
      </c>
      <c r="B65" s="59" t="str">
        <f>IF(REGISTRATION!B64="", "", REGISTRATION!B64)</f>
        <v/>
      </c>
      <c r="C65" s="59" t="str">
        <f>IF(B65="", "", _xlfn.XLOOKUP(B65, REGISTRATION!B:B, REGISTRATION!C:C, ""))</f>
        <v/>
      </c>
      <c r="D65" s="55">
        <f>IFERROR(INDEX('DAY 1 SCORES'!$E$4:$E$123, MATCH(B65, 'DAY 1 SCORES'!$B$4:$B$123, 0)), "")</f>
        <v>0</v>
      </c>
      <c r="E65" s="55">
        <f>SUMIF('DAY 1 SCORES'!$B$4:$B$123, B65, 'DAY 1 SCORES'!$F$4:$F$123)</f>
        <v>0</v>
      </c>
      <c r="F65" s="56">
        <f>IFERROR(INDEX('DAY 2 SCORES'!$E$4:$E$123, MATCH(B65, 'DAY 2 SCORES'!$B$4:$B$123, 0)), "")</f>
        <v>0</v>
      </c>
      <c r="G65" s="56">
        <f>SUMIF('DAY 2 SCORES'!$B$4:$B$123, B65, 'DAY 2 SCORES'!$F$4:$F$123)</f>
        <v>0</v>
      </c>
      <c r="H65" s="55">
        <f>SUMIF('DAY 1 SCORES'!$B$4:$B$123, B65, 'DAY 1 SCORES'!$D$4:$D$123)</f>
        <v>0</v>
      </c>
      <c r="I65" s="55">
        <f>SUMIF('DAY 2 SCORES'!$B$4:$B$123, B65, 'DAY 2 SCORES'!$D$4:$D$123)</f>
        <v>0</v>
      </c>
      <c r="J65" s="55">
        <f>H65+I65</f>
        <v>0</v>
      </c>
      <c r="K65" s="56">
        <f>SUMIF('DAY 1 SCORES'!$B$4:$B$123, B65, 'DAY 1 SCORES'!$H$4:$H$123)</f>
        <v>14400</v>
      </c>
      <c r="L65" s="56">
        <f>SUMIF('DAY 2 SCORES'!$B$4:$B$123, B65, 'DAY 2 SCORES'!$H$4:$H$123)</f>
        <v>14400</v>
      </c>
      <c r="M65" s="54">
        <f>IF(OR(B65="", B65=0), 999, SUM(K65:L65))</f>
        <v>999</v>
      </c>
      <c r="N65" s="24"/>
      <c r="O65" s="24"/>
      <c r="P65" s="24"/>
      <c r="Q65" s="24"/>
      <c r="R65" s="24"/>
      <c r="S65" s="24"/>
      <c r="T65" s="24"/>
      <c r="U65" s="24"/>
      <c r="V65" s="24"/>
      <c r="W65" s="24"/>
      <c r="X65" s="24"/>
      <c r="Y65" s="24"/>
      <c r="Z65" s="24"/>
      <c r="AA65" s="24"/>
      <c r="AB65" s="24" t="str">
        <f>REGISTRATION!C64</f>
        <v/>
      </c>
      <c r="AC65" s="24">
        <f>'DAY 1 SCORES'!E66</f>
        <v>0</v>
      </c>
      <c r="AD65" s="24">
        <f>'DAY 1 SCORES'!F66</f>
        <v>0</v>
      </c>
      <c r="AE65" s="24">
        <f>'DAY 2 SCORES'!E66</f>
        <v>0</v>
      </c>
      <c r="AF65" s="24">
        <f>'DAY 2 SCORES'!F66</f>
        <v>0</v>
      </c>
      <c r="AG65" s="24">
        <f>'DAY 1 SCORES'!G66</f>
        <v>0</v>
      </c>
      <c r="AH65" s="24">
        <f>'DAY 2 SCORES'!G66</f>
        <v>0</v>
      </c>
      <c r="AI65" s="24">
        <f t="shared" si="0"/>
        <v>0</v>
      </c>
      <c r="AJ65" s="24">
        <f>'DAY 1 SCORES'!H66</f>
        <v>120</v>
      </c>
      <c r="AK65" s="24">
        <f>'DAY 2 SCORES'!H66</f>
        <v>120</v>
      </c>
      <c r="AL65" s="24">
        <f t="shared" si="1"/>
        <v>240</v>
      </c>
    </row>
    <row r="66" spans="1:38" ht="24.75" customHeight="1">
      <c r="A66" s="58" t="str">
        <f>IF(B66="", "", ROW()-2)</f>
        <v/>
      </c>
      <c r="B66" s="59" t="str">
        <f>IF(REGISTRATION!B65="", "", REGISTRATION!B65)</f>
        <v/>
      </c>
      <c r="C66" s="59" t="str">
        <f>IF(B66="", "", _xlfn.XLOOKUP(B66, REGISTRATION!B:B, REGISTRATION!C:C, ""))</f>
        <v/>
      </c>
      <c r="D66" s="55">
        <f>IFERROR(INDEX('DAY 1 SCORES'!$E$4:$E$123, MATCH(B66, 'DAY 1 SCORES'!$B$4:$B$123, 0)), "")</f>
        <v>0</v>
      </c>
      <c r="E66" s="55">
        <f>SUMIF('DAY 1 SCORES'!$B$4:$B$123, B66, 'DAY 1 SCORES'!$F$4:$F$123)</f>
        <v>0</v>
      </c>
      <c r="F66" s="56">
        <f>IFERROR(INDEX('DAY 2 SCORES'!$E$4:$E$123, MATCH(B66, 'DAY 2 SCORES'!$B$4:$B$123, 0)), "")</f>
        <v>0</v>
      </c>
      <c r="G66" s="56">
        <f>SUMIF('DAY 2 SCORES'!$B$4:$B$123, B66, 'DAY 2 SCORES'!$F$4:$F$123)</f>
        <v>0</v>
      </c>
      <c r="H66" s="55">
        <f>SUMIF('DAY 1 SCORES'!$B$4:$B$123, B66, 'DAY 1 SCORES'!$D$4:$D$123)</f>
        <v>0</v>
      </c>
      <c r="I66" s="55">
        <f>SUMIF('DAY 2 SCORES'!$B$4:$B$123, B66, 'DAY 2 SCORES'!$D$4:$D$123)</f>
        <v>0</v>
      </c>
      <c r="J66" s="55">
        <f>H66+I66</f>
        <v>0</v>
      </c>
      <c r="K66" s="56">
        <f>SUMIF('DAY 1 SCORES'!$B$4:$B$123, B66, 'DAY 1 SCORES'!$H$4:$H$123)</f>
        <v>14400</v>
      </c>
      <c r="L66" s="56">
        <f>SUMIF('DAY 2 SCORES'!$B$4:$B$123, B66, 'DAY 2 SCORES'!$H$4:$H$123)</f>
        <v>14400</v>
      </c>
      <c r="M66" s="54">
        <f>IF(OR(B66="", B66=0), 999, SUM(K66:L66))</f>
        <v>999</v>
      </c>
      <c r="N66" s="24"/>
      <c r="O66" s="24"/>
      <c r="P66" s="24"/>
      <c r="Q66" s="24"/>
      <c r="R66" s="24"/>
      <c r="S66" s="24"/>
      <c r="T66" s="24"/>
      <c r="U66" s="24"/>
      <c r="V66" s="24"/>
      <c r="W66" s="24"/>
      <c r="X66" s="24"/>
      <c r="Y66" s="24"/>
      <c r="Z66" s="24"/>
      <c r="AA66" s="24"/>
      <c r="AB66" s="24" t="str">
        <f>REGISTRATION!C65</f>
        <v/>
      </c>
      <c r="AC66" s="24">
        <f>'DAY 1 SCORES'!E67</f>
        <v>0</v>
      </c>
      <c r="AD66" s="24">
        <f>'DAY 1 SCORES'!F67</f>
        <v>0</v>
      </c>
      <c r="AE66" s="24">
        <f>'DAY 2 SCORES'!E67</f>
        <v>0</v>
      </c>
      <c r="AF66" s="24">
        <f>'DAY 2 SCORES'!F67</f>
        <v>0</v>
      </c>
      <c r="AG66" s="24">
        <f>'DAY 1 SCORES'!G67</f>
        <v>0</v>
      </c>
      <c r="AH66" s="24">
        <f>'DAY 2 SCORES'!G67</f>
        <v>0</v>
      </c>
      <c r="AI66" s="24">
        <f t="shared" si="0"/>
        <v>0</v>
      </c>
      <c r="AJ66" s="24">
        <f>'DAY 1 SCORES'!H67</f>
        <v>120</v>
      </c>
      <c r="AK66" s="24">
        <f>'DAY 2 SCORES'!H67</f>
        <v>120</v>
      </c>
      <c r="AL66" s="24">
        <f t="shared" si="1"/>
        <v>240</v>
      </c>
    </row>
    <row r="67" spans="1:38" ht="24.75" customHeight="1">
      <c r="A67" s="58" t="str">
        <f>IF(B67="", "", ROW()-2)</f>
        <v/>
      </c>
      <c r="B67" s="59" t="str">
        <f>IF(REGISTRATION!B66="", "", REGISTRATION!B66)</f>
        <v/>
      </c>
      <c r="C67" s="59" t="str">
        <f>IF(B67="", "", _xlfn.XLOOKUP(B67, REGISTRATION!B:B, REGISTRATION!C:C, ""))</f>
        <v/>
      </c>
      <c r="D67" s="55">
        <f>IFERROR(INDEX('DAY 1 SCORES'!$E$4:$E$123, MATCH(B67, 'DAY 1 SCORES'!$B$4:$B$123, 0)), "")</f>
        <v>0</v>
      </c>
      <c r="E67" s="55">
        <f>SUMIF('DAY 1 SCORES'!$B$4:$B$123, B67, 'DAY 1 SCORES'!$F$4:$F$123)</f>
        <v>0</v>
      </c>
      <c r="F67" s="56">
        <f>IFERROR(INDEX('DAY 2 SCORES'!$E$4:$E$123, MATCH(B67, 'DAY 2 SCORES'!$B$4:$B$123, 0)), "")</f>
        <v>0</v>
      </c>
      <c r="G67" s="56">
        <f>SUMIF('DAY 2 SCORES'!$B$4:$B$123, B67, 'DAY 2 SCORES'!$F$4:$F$123)</f>
        <v>0</v>
      </c>
      <c r="H67" s="55">
        <f>SUMIF('DAY 1 SCORES'!$B$4:$B$123, B67, 'DAY 1 SCORES'!$D$4:$D$123)</f>
        <v>0</v>
      </c>
      <c r="I67" s="55">
        <f>SUMIF('DAY 2 SCORES'!$B$4:$B$123, B67, 'DAY 2 SCORES'!$D$4:$D$123)</f>
        <v>0</v>
      </c>
      <c r="J67" s="55">
        <f>H67+I67</f>
        <v>0</v>
      </c>
      <c r="K67" s="56">
        <f>SUMIF('DAY 1 SCORES'!$B$4:$B$123, B67, 'DAY 1 SCORES'!$H$4:$H$123)</f>
        <v>14400</v>
      </c>
      <c r="L67" s="56">
        <f>SUMIF('DAY 2 SCORES'!$B$4:$B$123, B67, 'DAY 2 SCORES'!$H$4:$H$123)</f>
        <v>14400</v>
      </c>
      <c r="M67" s="54">
        <f>IF(OR(B67="", B67=0), 999, SUM(K67:L67))</f>
        <v>999</v>
      </c>
      <c r="N67" s="24"/>
      <c r="O67" s="24"/>
      <c r="P67" s="24"/>
      <c r="Q67" s="24"/>
      <c r="R67" s="24"/>
      <c r="S67" s="24"/>
      <c r="T67" s="24"/>
      <c r="U67" s="24"/>
      <c r="V67" s="24"/>
      <c r="W67" s="24"/>
      <c r="X67" s="24"/>
      <c r="Y67" s="24"/>
      <c r="Z67" s="24"/>
      <c r="AA67" s="24"/>
      <c r="AB67" s="24" t="str">
        <f>REGISTRATION!C66</f>
        <v/>
      </c>
      <c r="AC67" s="24">
        <f>'DAY 1 SCORES'!E68</f>
        <v>0</v>
      </c>
      <c r="AD67" s="24">
        <f>'DAY 1 SCORES'!F68</f>
        <v>0</v>
      </c>
      <c r="AE67" s="24">
        <f>'DAY 2 SCORES'!E68</f>
        <v>0</v>
      </c>
      <c r="AF67" s="24">
        <f>'DAY 2 SCORES'!F68</f>
        <v>0</v>
      </c>
      <c r="AG67" s="24">
        <f>'DAY 1 SCORES'!G68</f>
        <v>0</v>
      </c>
      <c r="AH67" s="24">
        <f>'DAY 2 SCORES'!G68</f>
        <v>0</v>
      </c>
      <c r="AI67" s="24">
        <f t="shared" si="0"/>
        <v>0</v>
      </c>
      <c r="AJ67" s="24">
        <f>'DAY 1 SCORES'!H68</f>
        <v>120</v>
      </c>
      <c r="AK67" s="24">
        <f>'DAY 2 SCORES'!H68</f>
        <v>120</v>
      </c>
      <c r="AL67" s="24">
        <f t="shared" si="1"/>
        <v>240</v>
      </c>
    </row>
    <row r="68" spans="1:38" ht="24.75" customHeight="1">
      <c r="A68" s="58" t="str">
        <f>IF(B68="", "", ROW()-2)</f>
        <v/>
      </c>
      <c r="B68" s="59" t="str">
        <f>IF(REGISTRATION!B67="", "", REGISTRATION!B67)</f>
        <v/>
      </c>
      <c r="C68" s="59" t="str">
        <f>IF(B68="", "", _xlfn.XLOOKUP(B68, REGISTRATION!B:B, REGISTRATION!C:C, ""))</f>
        <v/>
      </c>
      <c r="D68" s="55">
        <f>IFERROR(INDEX('DAY 1 SCORES'!$E$4:$E$123, MATCH(B68, 'DAY 1 SCORES'!$B$4:$B$123, 0)), "")</f>
        <v>0</v>
      </c>
      <c r="E68" s="55">
        <f>SUMIF('DAY 1 SCORES'!$B$4:$B$123, B68, 'DAY 1 SCORES'!$F$4:$F$123)</f>
        <v>0</v>
      </c>
      <c r="F68" s="56">
        <f>IFERROR(INDEX('DAY 2 SCORES'!$E$4:$E$123, MATCH(B68, 'DAY 2 SCORES'!$B$4:$B$123, 0)), "")</f>
        <v>0</v>
      </c>
      <c r="G68" s="56">
        <f>SUMIF('DAY 2 SCORES'!$B$4:$B$123, B68, 'DAY 2 SCORES'!$F$4:$F$123)</f>
        <v>0</v>
      </c>
      <c r="H68" s="55">
        <f>SUMIF('DAY 1 SCORES'!$B$4:$B$123, B68, 'DAY 1 SCORES'!$D$4:$D$123)</f>
        <v>0</v>
      </c>
      <c r="I68" s="55">
        <f>SUMIF('DAY 2 SCORES'!$B$4:$B$123, B68, 'DAY 2 SCORES'!$D$4:$D$123)</f>
        <v>0</v>
      </c>
      <c r="J68" s="55">
        <f>H68+I68</f>
        <v>0</v>
      </c>
      <c r="K68" s="56">
        <f>SUMIF('DAY 1 SCORES'!$B$4:$B$123, B68, 'DAY 1 SCORES'!$H$4:$H$123)</f>
        <v>14400</v>
      </c>
      <c r="L68" s="56">
        <f>SUMIF('DAY 2 SCORES'!$B$4:$B$123, B68, 'DAY 2 SCORES'!$H$4:$H$123)</f>
        <v>14400</v>
      </c>
      <c r="M68" s="54">
        <f>IF(OR(B68="", B68=0), 999, SUM(K68:L68))</f>
        <v>999</v>
      </c>
      <c r="N68" s="24"/>
      <c r="O68" s="24"/>
      <c r="P68" s="24"/>
      <c r="Q68" s="24"/>
      <c r="R68" s="24"/>
      <c r="S68" s="24"/>
      <c r="T68" s="24"/>
      <c r="U68" s="24"/>
      <c r="V68" s="24"/>
      <c r="W68" s="24"/>
      <c r="X68" s="24"/>
      <c r="Y68" s="24"/>
      <c r="Z68" s="24"/>
      <c r="AA68" s="24"/>
      <c r="AB68" s="24" t="str">
        <f>REGISTRATION!C67</f>
        <v/>
      </c>
      <c r="AC68" s="24">
        <f>'DAY 1 SCORES'!E69</f>
        <v>0</v>
      </c>
      <c r="AD68" s="24">
        <f>'DAY 1 SCORES'!F69</f>
        <v>0</v>
      </c>
      <c r="AE68" s="24">
        <f>'DAY 2 SCORES'!E69</f>
        <v>0</v>
      </c>
      <c r="AF68" s="24">
        <f>'DAY 2 SCORES'!F69</f>
        <v>0</v>
      </c>
      <c r="AG68" s="24">
        <f>'DAY 1 SCORES'!G69</f>
        <v>0</v>
      </c>
      <c r="AH68" s="24">
        <f>'DAY 2 SCORES'!G69</f>
        <v>0</v>
      </c>
      <c r="AI68" s="24">
        <f t="shared" ref="AI68:AI121" si="2">SUM(AG68:AH68)</f>
        <v>0</v>
      </c>
      <c r="AJ68" s="24">
        <f>'DAY 1 SCORES'!H69</f>
        <v>120</v>
      </c>
      <c r="AK68" s="24">
        <f>'DAY 2 SCORES'!H69</f>
        <v>120</v>
      </c>
      <c r="AL68" s="24">
        <f t="shared" ref="AL68:AL121" si="3">SUM(AJ68:AK68)</f>
        <v>240</v>
      </c>
    </row>
    <row r="69" spans="1:38" ht="24.75" customHeight="1">
      <c r="A69" s="58" t="str">
        <f>IF(B69="", "", ROW()-2)</f>
        <v/>
      </c>
      <c r="B69" s="59" t="str">
        <f>IF(REGISTRATION!B68="", "", REGISTRATION!B68)</f>
        <v/>
      </c>
      <c r="C69" s="59" t="str">
        <f>IF(B69="", "", _xlfn.XLOOKUP(B69, REGISTRATION!B:B, REGISTRATION!C:C, ""))</f>
        <v/>
      </c>
      <c r="D69" s="55">
        <f>IFERROR(INDEX('DAY 1 SCORES'!$E$4:$E$123, MATCH(B69, 'DAY 1 SCORES'!$B$4:$B$123, 0)), "")</f>
        <v>0</v>
      </c>
      <c r="E69" s="55">
        <f>SUMIF('DAY 1 SCORES'!$B$4:$B$123, B69, 'DAY 1 SCORES'!$F$4:$F$123)</f>
        <v>0</v>
      </c>
      <c r="F69" s="56">
        <f>IFERROR(INDEX('DAY 2 SCORES'!$E$4:$E$123, MATCH(B69, 'DAY 2 SCORES'!$B$4:$B$123, 0)), "")</f>
        <v>0</v>
      </c>
      <c r="G69" s="56">
        <f>SUMIF('DAY 2 SCORES'!$B$4:$B$123, B69, 'DAY 2 SCORES'!$F$4:$F$123)</f>
        <v>0</v>
      </c>
      <c r="H69" s="55">
        <f>SUMIF('DAY 1 SCORES'!$B$4:$B$123, B69, 'DAY 1 SCORES'!$D$4:$D$123)</f>
        <v>0</v>
      </c>
      <c r="I69" s="55">
        <f>SUMIF('DAY 2 SCORES'!$B$4:$B$123, B69, 'DAY 2 SCORES'!$D$4:$D$123)</f>
        <v>0</v>
      </c>
      <c r="J69" s="55">
        <f>H69+I69</f>
        <v>0</v>
      </c>
      <c r="K69" s="56">
        <f>SUMIF('DAY 1 SCORES'!$B$4:$B$123, B69, 'DAY 1 SCORES'!$H$4:$H$123)</f>
        <v>14400</v>
      </c>
      <c r="L69" s="56">
        <f>SUMIF('DAY 2 SCORES'!$B$4:$B$123, B69, 'DAY 2 SCORES'!$H$4:$H$123)</f>
        <v>14400</v>
      </c>
      <c r="M69" s="54">
        <f>IF(OR(B69="", B69=0), 999, SUM(K69:L69))</f>
        <v>999</v>
      </c>
      <c r="N69" s="24"/>
      <c r="O69" s="24"/>
      <c r="P69" s="24"/>
      <c r="Q69" s="24"/>
      <c r="R69" s="24"/>
      <c r="S69" s="24"/>
      <c r="T69" s="24"/>
      <c r="U69" s="24"/>
      <c r="V69" s="24"/>
      <c r="W69" s="24"/>
      <c r="X69" s="24"/>
      <c r="Y69" s="24"/>
      <c r="Z69" s="24"/>
      <c r="AA69" s="24"/>
      <c r="AB69" s="24" t="str">
        <f>REGISTRATION!C68</f>
        <v/>
      </c>
      <c r="AC69" s="24">
        <f>'DAY 1 SCORES'!E70</f>
        <v>0</v>
      </c>
      <c r="AD69" s="24">
        <f>'DAY 1 SCORES'!F70</f>
        <v>0</v>
      </c>
      <c r="AE69" s="24">
        <f>'DAY 2 SCORES'!E70</f>
        <v>0</v>
      </c>
      <c r="AF69" s="24">
        <f>'DAY 2 SCORES'!F70</f>
        <v>0</v>
      </c>
      <c r="AG69" s="24">
        <f>'DAY 1 SCORES'!G70</f>
        <v>0</v>
      </c>
      <c r="AH69" s="24">
        <f>'DAY 2 SCORES'!G70</f>
        <v>0</v>
      </c>
      <c r="AI69" s="24">
        <f t="shared" si="2"/>
        <v>0</v>
      </c>
      <c r="AJ69" s="24">
        <f>'DAY 1 SCORES'!H70</f>
        <v>120</v>
      </c>
      <c r="AK69" s="24">
        <f>'DAY 2 SCORES'!H70</f>
        <v>120</v>
      </c>
      <c r="AL69" s="24">
        <f t="shared" si="3"/>
        <v>240</v>
      </c>
    </row>
    <row r="70" spans="1:38" ht="24.75" customHeight="1">
      <c r="A70" s="58" t="str">
        <f>IF(B70="", "", ROW()-2)</f>
        <v/>
      </c>
      <c r="B70" s="59" t="str">
        <f>IF(REGISTRATION!B69="", "", REGISTRATION!B69)</f>
        <v/>
      </c>
      <c r="C70" s="59" t="str">
        <f>IF(B70="", "", _xlfn.XLOOKUP(B70, REGISTRATION!B:B, REGISTRATION!C:C, ""))</f>
        <v/>
      </c>
      <c r="D70" s="55">
        <f>IFERROR(INDEX('DAY 1 SCORES'!$E$4:$E$123, MATCH(B70, 'DAY 1 SCORES'!$B$4:$B$123, 0)), "")</f>
        <v>0</v>
      </c>
      <c r="E70" s="55">
        <f>SUMIF('DAY 1 SCORES'!$B$4:$B$123, B70, 'DAY 1 SCORES'!$F$4:$F$123)</f>
        <v>0</v>
      </c>
      <c r="F70" s="56">
        <f>IFERROR(INDEX('DAY 2 SCORES'!$E$4:$E$123, MATCH(B70, 'DAY 2 SCORES'!$B$4:$B$123, 0)), "")</f>
        <v>0</v>
      </c>
      <c r="G70" s="56">
        <f>SUMIF('DAY 2 SCORES'!$B$4:$B$123, B70, 'DAY 2 SCORES'!$F$4:$F$123)</f>
        <v>0</v>
      </c>
      <c r="H70" s="55">
        <f>SUMIF('DAY 1 SCORES'!$B$4:$B$123, B70, 'DAY 1 SCORES'!$D$4:$D$123)</f>
        <v>0</v>
      </c>
      <c r="I70" s="55">
        <f>SUMIF('DAY 2 SCORES'!$B$4:$B$123, B70, 'DAY 2 SCORES'!$D$4:$D$123)</f>
        <v>0</v>
      </c>
      <c r="J70" s="55">
        <f>H70+I70</f>
        <v>0</v>
      </c>
      <c r="K70" s="56">
        <f>SUMIF('DAY 1 SCORES'!$B$4:$B$123, B70, 'DAY 1 SCORES'!$H$4:$H$123)</f>
        <v>14400</v>
      </c>
      <c r="L70" s="56">
        <f>SUMIF('DAY 2 SCORES'!$B$4:$B$123, B70, 'DAY 2 SCORES'!$H$4:$H$123)</f>
        <v>14400</v>
      </c>
      <c r="M70" s="54">
        <f>IF(OR(B70="", B70=0), 999, SUM(K70:L70))</f>
        <v>999</v>
      </c>
      <c r="N70" s="24"/>
      <c r="O70" s="24"/>
      <c r="P70" s="24"/>
      <c r="Q70" s="24"/>
      <c r="R70" s="24"/>
      <c r="S70" s="24"/>
      <c r="T70" s="24"/>
      <c r="U70" s="24"/>
      <c r="V70" s="24"/>
      <c r="W70" s="24"/>
      <c r="X70" s="24"/>
      <c r="Y70" s="24"/>
      <c r="Z70" s="24"/>
      <c r="AA70" s="24"/>
      <c r="AB70" s="24" t="str">
        <f>REGISTRATION!C69</f>
        <v/>
      </c>
      <c r="AC70" s="24">
        <f>'DAY 1 SCORES'!E71</f>
        <v>0</v>
      </c>
      <c r="AD70" s="24">
        <f>'DAY 1 SCORES'!F71</f>
        <v>0</v>
      </c>
      <c r="AE70" s="24">
        <f>'DAY 2 SCORES'!E71</f>
        <v>0</v>
      </c>
      <c r="AF70" s="24">
        <f>'DAY 2 SCORES'!F71</f>
        <v>0</v>
      </c>
      <c r="AG70" s="24">
        <f>'DAY 1 SCORES'!G71</f>
        <v>0</v>
      </c>
      <c r="AH70" s="24">
        <f>'DAY 2 SCORES'!G71</f>
        <v>0</v>
      </c>
      <c r="AI70" s="24">
        <f t="shared" si="2"/>
        <v>0</v>
      </c>
      <c r="AJ70" s="24">
        <f>'DAY 1 SCORES'!H71</f>
        <v>120</v>
      </c>
      <c r="AK70" s="24">
        <f>'DAY 2 SCORES'!H71</f>
        <v>120</v>
      </c>
      <c r="AL70" s="24">
        <f t="shared" si="3"/>
        <v>240</v>
      </c>
    </row>
    <row r="71" spans="1:38" ht="24.75" customHeight="1">
      <c r="A71" s="58" t="str">
        <f>IF(B71="", "", ROW()-2)</f>
        <v/>
      </c>
      <c r="B71" s="59" t="str">
        <f>IF(REGISTRATION!B70="", "", REGISTRATION!B70)</f>
        <v/>
      </c>
      <c r="C71" s="59" t="str">
        <f>IF(B71="", "", _xlfn.XLOOKUP(B71, REGISTRATION!B:B, REGISTRATION!C:C, ""))</f>
        <v/>
      </c>
      <c r="D71" s="55">
        <f>IFERROR(INDEX('DAY 1 SCORES'!$E$4:$E$123, MATCH(B71, 'DAY 1 SCORES'!$B$4:$B$123, 0)), "")</f>
        <v>0</v>
      </c>
      <c r="E71" s="55">
        <f>SUMIF('DAY 1 SCORES'!$B$4:$B$123, B71, 'DAY 1 SCORES'!$F$4:$F$123)</f>
        <v>0</v>
      </c>
      <c r="F71" s="56">
        <f>IFERROR(INDEX('DAY 2 SCORES'!$E$4:$E$123, MATCH(B71, 'DAY 2 SCORES'!$B$4:$B$123, 0)), "")</f>
        <v>0</v>
      </c>
      <c r="G71" s="56">
        <f>SUMIF('DAY 2 SCORES'!$B$4:$B$123, B71, 'DAY 2 SCORES'!$F$4:$F$123)</f>
        <v>0</v>
      </c>
      <c r="H71" s="55">
        <f>SUMIF('DAY 1 SCORES'!$B$4:$B$123, B71, 'DAY 1 SCORES'!$D$4:$D$123)</f>
        <v>0</v>
      </c>
      <c r="I71" s="55">
        <f>SUMIF('DAY 2 SCORES'!$B$4:$B$123, B71, 'DAY 2 SCORES'!$D$4:$D$123)</f>
        <v>0</v>
      </c>
      <c r="J71" s="55">
        <f>H71+I71</f>
        <v>0</v>
      </c>
      <c r="K71" s="56">
        <f>SUMIF('DAY 1 SCORES'!$B$4:$B$123, B71, 'DAY 1 SCORES'!$H$4:$H$123)</f>
        <v>14400</v>
      </c>
      <c r="L71" s="56">
        <f>SUMIF('DAY 2 SCORES'!$B$4:$B$123, B71, 'DAY 2 SCORES'!$H$4:$H$123)</f>
        <v>14400</v>
      </c>
      <c r="M71" s="54">
        <f>IF(OR(B71="", B71=0), 999, SUM(K71:L71))</f>
        <v>999</v>
      </c>
      <c r="N71" s="24"/>
      <c r="O71" s="24"/>
      <c r="P71" s="24"/>
      <c r="Q71" s="24"/>
      <c r="R71" s="24"/>
      <c r="S71" s="24"/>
      <c r="T71" s="24"/>
      <c r="U71" s="24"/>
      <c r="V71" s="24"/>
      <c r="W71" s="24"/>
      <c r="X71" s="24"/>
      <c r="Y71" s="24"/>
      <c r="Z71" s="24"/>
      <c r="AA71" s="24"/>
      <c r="AB71" s="24" t="str">
        <f>REGISTRATION!C70</f>
        <v/>
      </c>
      <c r="AC71" s="24">
        <f>'DAY 1 SCORES'!E72</f>
        <v>0</v>
      </c>
      <c r="AD71" s="24">
        <f>'DAY 1 SCORES'!F72</f>
        <v>0</v>
      </c>
      <c r="AE71" s="24">
        <f>'DAY 2 SCORES'!E72</f>
        <v>0</v>
      </c>
      <c r="AF71" s="24">
        <f>'DAY 2 SCORES'!F72</f>
        <v>0</v>
      </c>
      <c r="AG71" s="24">
        <f>'DAY 1 SCORES'!G72</f>
        <v>0</v>
      </c>
      <c r="AH71" s="24">
        <f>'DAY 2 SCORES'!G72</f>
        <v>0</v>
      </c>
      <c r="AI71" s="24">
        <f t="shared" si="2"/>
        <v>0</v>
      </c>
      <c r="AJ71" s="24">
        <f>'DAY 1 SCORES'!H72</f>
        <v>120</v>
      </c>
      <c r="AK71" s="24">
        <f>'DAY 2 SCORES'!H72</f>
        <v>120</v>
      </c>
      <c r="AL71" s="24">
        <f t="shared" si="3"/>
        <v>240</v>
      </c>
    </row>
    <row r="72" spans="1:38" ht="24.75" customHeight="1">
      <c r="A72" s="58" t="str">
        <f>IF(B72="", "", ROW()-2)</f>
        <v/>
      </c>
      <c r="B72" s="59" t="str">
        <f>IF(REGISTRATION!B71="", "", REGISTRATION!B71)</f>
        <v/>
      </c>
      <c r="C72" s="59" t="str">
        <f>IF(B72="", "", _xlfn.XLOOKUP(B72, REGISTRATION!B:B, REGISTRATION!C:C, ""))</f>
        <v/>
      </c>
      <c r="D72" s="55">
        <f>IFERROR(INDEX('DAY 1 SCORES'!$E$4:$E$123, MATCH(B72, 'DAY 1 SCORES'!$B$4:$B$123, 0)), "")</f>
        <v>0</v>
      </c>
      <c r="E72" s="55">
        <f>SUMIF('DAY 1 SCORES'!$B$4:$B$123, B72, 'DAY 1 SCORES'!$F$4:$F$123)</f>
        <v>0</v>
      </c>
      <c r="F72" s="56">
        <f>IFERROR(INDEX('DAY 2 SCORES'!$E$4:$E$123, MATCH(B72, 'DAY 2 SCORES'!$B$4:$B$123, 0)), "")</f>
        <v>0</v>
      </c>
      <c r="G72" s="56">
        <f>SUMIF('DAY 2 SCORES'!$B$4:$B$123, B72, 'DAY 2 SCORES'!$F$4:$F$123)</f>
        <v>0</v>
      </c>
      <c r="H72" s="55">
        <f>SUMIF('DAY 1 SCORES'!$B$4:$B$123, B72, 'DAY 1 SCORES'!$D$4:$D$123)</f>
        <v>0</v>
      </c>
      <c r="I72" s="55">
        <f>SUMIF('DAY 2 SCORES'!$B$4:$B$123, B72, 'DAY 2 SCORES'!$D$4:$D$123)</f>
        <v>0</v>
      </c>
      <c r="J72" s="55">
        <f>H72+I72</f>
        <v>0</v>
      </c>
      <c r="K72" s="56">
        <f>SUMIF('DAY 1 SCORES'!$B$4:$B$123, B72, 'DAY 1 SCORES'!$H$4:$H$123)</f>
        <v>14400</v>
      </c>
      <c r="L72" s="56">
        <f>SUMIF('DAY 2 SCORES'!$B$4:$B$123, B72, 'DAY 2 SCORES'!$H$4:$H$123)</f>
        <v>14400</v>
      </c>
      <c r="M72" s="54">
        <f>IF(OR(B72="", B72=0), 999, SUM(K72:L72))</f>
        <v>999</v>
      </c>
      <c r="N72" s="24"/>
      <c r="O72" s="24"/>
      <c r="P72" s="24"/>
      <c r="Q72" s="24"/>
      <c r="R72" s="24"/>
      <c r="S72" s="24"/>
      <c r="T72" s="24"/>
      <c r="U72" s="24"/>
      <c r="V72" s="24"/>
      <c r="W72" s="24"/>
      <c r="X72" s="24"/>
      <c r="Y72" s="24"/>
      <c r="Z72" s="24"/>
      <c r="AA72" s="24"/>
      <c r="AB72" s="24" t="str">
        <f>REGISTRATION!C71</f>
        <v/>
      </c>
      <c r="AC72" s="24">
        <f>'DAY 1 SCORES'!E73</f>
        <v>0</v>
      </c>
      <c r="AD72" s="24">
        <f>'DAY 1 SCORES'!F73</f>
        <v>0</v>
      </c>
      <c r="AE72" s="24">
        <f>'DAY 2 SCORES'!E73</f>
        <v>0</v>
      </c>
      <c r="AF72" s="24">
        <f>'DAY 2 SCORES'!F73</f>
        <v>0</v>
      </c>
      <c r="AG72" s="24">
        <f>'DAY 1 SCORES'!G73</f>
        <v>0</v>
      </c>
      <c r="AH72" s="24">
        <f>'DAY 2 SCORES'!G73</f>
        <v>0</v>
      </c>
      <c r="AI72" s="24">
        <f t="shared" si="2"/>
        <v>0</v>
      </c>
      <c r="AJ72" s="24">
        <f>'DAY 1 SCORES'!H73</f>
        <v>120</v>
      </c>
      <c r="AK72" s="24">
        <f>'DAY 2 SCORES'!H73</f>
        <v>120</v>
      </c>
      <c r="AL72" s="24">
        <f t="shared" si="3"/>
        <v>240</v>
      </c>
    </row>
    <row r="73" spans="1:38" ht="24.75" customHeight="1">
      <c r="A73" s="58" t="str">
        <f>IF(B73="", "", ROW()-2)</f>
        <v/>
      </c>
      <c r="B73" s="59" t="str">
        <f>IF(REGISTRATION!B72="", "", REGISTRATION!B72)</f>
        <v/>
      </c>
      <c r="C73" s="59" t="str">
        <f>IF(B73="", "", _xlfn.XLOOKUP(B73, REGISTRATION!B:B, REGISTRATION!C:C, ""))</f>
        <v/>
      </c>
      <c r="D73" s="55">
        <f>IFERROR(INDEX('DAY 1 SCORES'!$E$4:$E$123, MATCH(B73, 'DAY 1 SCORES'!$B$4:$B$123, 0)), "")</f>
        <v>0</v>
      </c>
      <c r="E73" s="55">
        <f>SUMIF('DAY 1 SCORES'!$B$4:$B$123, B73, 'DAY 1 SCORES'!$F$4:$F$123)</f>
        <v>0</v>
      </c>
      <c r="F73" s="56">
        <f>IFERROR(INDEX('DAY 2 SCORES'!$E$4:$E$123, MATCH(B73, 'DAY 2 SCORES'!$B$4:$B$123, 0)), "")</f>
        <v>0</v>
      </c>
      <c r="G73" s="56">
        <f>SUMIF('DAY 2 SCORES'!$B$4:$B$123, B73, 'DAY 2 SCORES'!$F$4:$F$123)</f>
        <v>0</v>
      </c>
      <c r="H73" s="55">
        <f>SUMIF('DAY 1 SCORES'!$B$4:$B$123, B73, 'DAY 1 SCORES'!$D$4:$D$123)</f>
        <v>0</v>
      </c>
      <c r="I73" s="55">
        <f>SUMIF('DAY 2 SCORES'!$B$4:$B$123, B73, 'DAY 2 SCORES'!$D$4:$D$123)</f>
        <v>0</v>
      </c>
      <c r="J73" s="55">
        <f>H73+I73</f>
        <v>0</v>
      </c>
      <c r="K73" s="56">
        <f>SUMIF('DAY 1 SCORES'!$B$4:$B$123, B73, 'DAY 1 SCORES'!$H$4:$H$123)</f>
        <v>14400</v>
      </c>
      <c r="L73" s="56">
        <f>SUMIF('DAY 2 SCORES'!$B$4:$B$123, B73, 'DAY 2 SCORES'!$H$4:$H$123)</f>
        <v>14400</v>
      </c>
      <c r="M73" s="54">
        <f>IF(OR(B73="", B73=0), 999, SUM(K73:L73))</f>
        <v>999</v>
      </c>
      <c r="N73" s="24"/>
      <c r="O73" s="24"/>
      <c r="P73" s="24"/>
      <c r="Q73" s="24"/>
      <c r="R73" s="24"/>
      <c r="S73" s="24"/>
      <c r="T73" s="24"/>
      <c r="U73" s="24"/>
      <c r="V73" s="24"/>
      <c r="W73" s="24"/>
      <c r="X73" s="24"/>
      <c r="Y73" s="24"/>
      <c r="Z73" s="24"/>
      <c r="AA73" s="24"/>
      <c r="AB73" s="24" t="str">
        <f>REGISTRATION!C72</f>
        <v/>
      </c>
      <c r="AC73" s="24">
        <f>'DAY 1 SCORES'!E74</f>
        <v>0</v>
      </c>
      <c r="AD73" s="24">
        <f>'DAY 1 SCORES'!F74</f>
        <v>0</v>
      </c>
      <c r="AE73" s="24">
        <f>'DAY 2 SCORES'!E74</f>
        <v>0</v>
      </c>
      <c r="AF73" s="24">
        <f>'DAY 2 SCORES'!F74</f>
        <v>0</v>
      </c>
      <c r="AG73" s="24">
        <f>'DAY 1 SCORES'!G74</f>
        <v>0</v>
      </c>
      <c r="AH73" s="24">
        <f>'DAY 2 SCORES'!G74</f>
        <v>0</v>
      </c>
      <c r="AI73" s="24">
        <f t="shared" si="2"/>
        <v>0</v>
      </c>
      <c r="AJ73" s="24">
        <f>'DAY 1 SCORES'!H74</f>
        <v>120</v>
      </c>
      <c r="AK73" s="24">
        <f>'DAY 2 SCORES'!H74</f>
        <v>120</v>
      </c>
      <c r="AL73" s="24">
        <f t="shared" si="3"/>
        <v>240</v>
      </c>
    </row>
    <row r="74" spans="1:38" ht="24.75" customHeight="1">
      <c r="A74" s="58" t="str">
        <f>IF(B74="", "", ROW()-2)</f>
        <v/>
      </c>
      <c r="B74" s="59" t="str">
        <f>IF(REGISTRATION!B73="", "", REGISTRATION!B73)</f>
        <v/>
      </c>
      <c r="C74" s="59" t="str">
        <f>IF(B74="", "", _xlfn.XLOOKUP(B74, REGISTRATION!B:B, REGISTRATION!C:C, ""))</f>
        <v/>
      </c>
      <c r="D74" s="55">
        <f>IFERROR(INDEX('DAY 1 SCORES'!$E$4:$E$123, MATCH(B74, 'DAY 1 SCORES'!$B$4:$B$123, 0)), "")</f>
        <v>0</v>
      </c>
      <c r="E74" s="55">
        <f>SUMIF('DAY 1 SCORES'!$B$4:$B$123, B74, 'DAY 1 SCORES'!$F$4:$F$123)</f>
        <v>0</v>
      </c>
      <c r="F74" s="56">
        <f>IFERROR(INDEX('DAY 2 SCORES'!$E$4:$E$123, MATCH(B74, 'DAY 2 SCORES'!$B$4:$B$123, 0)), "")</f>
        <v>0</v>
      </c>
      <c r="G74" s="56">
        <f>SUMIF('DAY 2 SCORES'!$B$4:$B$123, B74, 'DAY 2 SCORES'!$F$4:$F$123)</f>
        <v>0</v>
      </c>
      <c r="H74" s="55">
        <f>SUMIF('DAY 1 SCORES'!$B$4:$B$123, B74, 'DAY 1 SCORES'!$D$4:$D$123)</f>
        <v>0</v>
      </c>
      <c r="I74" s="55">
        <f>SUMIF('DAY 2 SCORES'!$B$4:$B$123, B74, 'DAY 2 SCORES'!$D$4:$D$123)</f>
        <v>0</v>
      </c>
      <c r="J74" s="55">
        <f>H74+I74</f>
        <v>0</v>
      </c>
      <c r="K74" s="56">
        <f>SUMIF('DAY 1 SCORES'!$B$4:$B$123, B74, 'DAY 1 SCORES'!$H$4:$H$123)</f>
        <v>14400</v>
      </c>
      <c r="L74" s="56">
        <f>SUMIF('DAY 2 SCORES'!$B$4:$B$123, B74, 'DAY 2 SCORES'!$H$4:$H$123)</f>
        <v>14400</v>
      </c>
      <c r="M74" s="54">
        <f>IF(OR(B74="", B74=0), 999, SUM(K74:L74))</f>
        <v>999</v>
      </c>
      <c r="N74" s="24"/>
      <c r="O74" s="24"/>
      <c r="P74" s="24"/>
      <c r="Q74" s="24"/>
      <c r="R74" s="24"/>
      <c r="S74" s="24"/>
      <c r="T74" s="24"/>
      <c r="U74" s="24"/>
      <c r="V74" s="24"/>
      <c r="W74" s="24"/>
      <c r="X74" s="24"/>
      <c r="Y74" s="24"/>
      <c r="Z74" s="24"/>
      <c r="AA74" s="24"/>
      <c r="AB74" s="24" t="str">
        <f>REGISTRATION!C73</f>
        <v/>
      </c>
      <c r="AC74" s="24">
        <f>'DAY 1 SCORES'!E75</f>
        <v>0</v>
      </c>
      <c r="AD74" s="24">
        <f>'DAY 1 SCORES'!F75</f>
        <v>0</v>
      </c>
      <c r="AE74" s="24">
        <f>'DAY 2 SCORES'!E75</f>
        <v>0</v>
      </c>
      <c r="AF74" s="24">
        <f>'DAY 2 SCORES'!F75</f>
        <v>0</v>
      </c>
      <c r="AG74" s="24">
        <f>'DAY 1 SCORES'!G75</f>
        <v>0</v>
      </c>
      <c r="AH74" s="24">
        <f>'DAY 2 SCORES'!G75</f>
        <v>0</v>
      </c>
      <c r="AI74" s="24">
        <f t="shared" si="2"/>
        <v>0</v>
      </c>
      <c r="AJ74" s="24">
        <f>'DAY 1 SCORES'!H75</f>
        <v>120</v>
      </c>
      <c r="AK74" s="24">
        <f>'DAY 2 SCORES'!H75</f>
        <v>120</v>
      </c>
      <c r="AL74" s="24">
        <f t="shared" si="3"/>
        <v>240</v>
      </c>
    </row>
    <row r="75" spans="1:38" ht="24.75" customHeight="1">
      <c r="A75" s="58" t="str">
        <f>IF(B75="", "", ROW()-2)</f>
        <v/>
      </c>
      <c r="B75" s="59" t="str">
        <f>IF(REGISTRATION!B74="", "", REGISTRATION!B74)</f>
        <v/>
      </c>
      <c r="C75" s="59" t="str">
        <f>IF(B75="", "", _xlfn.XLOOKUP(B75, REGISTRATION!B:B, REGISTRATION!C:C, ""))</f>
        <v/>
      </c>
      <c r="D75" s="55">
        <f>IFERROR(INDEX('DAY 1 SCORES'!$E$4:$E$123, MATCH(B75, 'DAY 1 SCORES'!$B$4:$B$123, 0)), "")</f>
        <v>0</v>
      </c>
      <c r="E75" s="55">
        <f>SUMIF('DAY 1 SCORES'!$B$4:$B$123, B75, 'DAY 1 SCORES'!$F$4:$F$123)</f>
        <v>0</v>
      </c>
      <c r="F75" s="56">
        <f>IFERROR(INDEX('DAY 2 SCORES'!$E$4:$E$123, MATCH(B75, 'DAY 2 SCORES'!$B$4:$B$123, 0)), "")</f>
        <v>0</v>
      </c>
      <c r="G75" s="56">
        <f>SUMIF('DAY 2 SCORES'!$B$4:$B$123, B75, 'DAY 2 SCORES'!$F$4:$F$123)</f>
        <v>0</v>
      </c>
      <c r="H75" s="55">
        <f>SUMIF('DAY 1 SCORES'!$B$4:$B$123, B75, 'DAY 1 SCORES'!$D$4:$D$123)</f>
        <v>0</v>
      </c>
      <c r="I75" s="55">
        <f>SUMIF('DAY 2 SCORES'!$B$4:$B$123, B75, 'DAY 2 SCORES'!$D$4:$D$123)</f>
        <v>0</v>
      </c>
      <c r="J75" s="55">
        <f>H75+I75</f>
        <v>0</v>
      </c>
      <c r="K75" s="56">
        <f>SUMIF('DAY 1 SCORES'!$B$4:$B$123, B75, 'DAY 1 SCORES'!$H$4:$H$123)</f>
        <v>14400</v>
      </c>
      <c r="L75" s="56">
        <f>SUMIF('DAY 2 SCORES'!$B$4:$B$123, B75, 'DAY 2 SCORES'!$H$4:$H$123)</f>
        <v>14400</v>
      </c>
      <c r="M75" s="54">
        <f>IF(OR(B75="", B75=0), 999, SUM(K75:L75))</f>
        <v>999</v>
      </c>
      <c r="N75" s="24"/>
      <c r="O75" s="24"/>
      <c r="P75" s="24"/>
      <c r="Q75" s="24"/>
      <c r="R75" s="24"/>
      <c r="S75" s="24"/>
      <c r="T75" s="24"/>
      <c r="U75" s="24"/>
      <c r="V75" s="24"/>
      <c r="W75" s="24"/>
      <c r="X75" s="24"/>
      <c r="Y75" s="24"/>
      <c r="Z75" s="24"/>
      <c r="AA75" s="24"/>
      <c r="AB75" s="24" t="str">
        <f>REGISTRATION!C74</f>
        <v/>
      </c>
      <c r="AC75" s="24">
        <f>'DAY 1 SCORES'!E76</f>
        <v>0</v>
      </c>
      <c r="AD75" s="24">
        <f>'DAY 1 SCORES'!F76</f>
        <v>0</v>
      </c>
      <c r="AE75" s="24">
        <f>'DAY 2 SCORES'!E76</f>
        <v>0</v>
      </c>
      <c r="AF75" s="24">
        <f>'DAY 2 SCORES'!F76</f>
        <v>0</v>
      </c>
      <c r="AG75" s="24">
        <f>'DAY 1 SCORES'!G76</f>
        <v>0</v>
      </c>
      <c r="AH75" s="24">
        <f>'DAY 2 SCORES'!G76</f>
        <v>0</v>
      </c>
      <c r="AI75" s="24">
        <f t="shared" si="2"/>
        <v>0</v>
      </c>
      <c r="AJ75" s="24">
        <f>'DAY 1 SCORES'!H76</f>
        <v>120</v>
      </c>
      <c r="AK75" s="24">
        <f>'DAY 2 SCORES'!H76</f>
        <v>120</v>
      </c>
      <c r="AL75" s="24">
        <f t="shared" si="3"/>
        <v>240</v>
      </c>
    </row>
    <row r="76" spans="1:38" ht="24.75" customHeight="1">
      <c r="A76" s="58" t="str">
        <f>IF(B76="", "", ROW()-2)</f>
        <v/>
      </c>
      <c r="B76" s="59" t="str">
        <f>IF(REGISTRATION!B75="", "", REGISTRATION!B75)</f>
        <v/>
      </c>
      <c r="C76" s="59" t="str">
        <f>IF(B76="", "", _xlfn.XLOOKUP(B76, REGISTRATION!B:B, REGISTRATION!C:C, ""))</f>
        <v/>
      </c>
      <c r="D76" s="55">
        <f>IFERROR(INDEX('DAY 1 SCORES'!$E$4:$E$123, MATCH(B76, 'DAY 1 SCORES'!$B$4:$B$123, 0)), "")</f>
        <v>0</v>
      </c>
      <c r="E76" s="55">
        <f>SUMIF('DAY 1 SCORES'!$B$4:$B$123, B76, 'DAY 1 SCORES'!$F$4:$F$123)</f>
        <v>0</v>
      </c>
      <c r="F76" s="56">
        <f>IFERROR(INDEX('DAY 2 SCORES'!$E$4:$E$123, MATCH(B76, 'DAY 2 SCORES'!$B$4:$B$123, 0)), "")</f>
        <v>0</v>
      </c>
      <c r="G76" s="56">
        <f>SUMIF('DAY 2 SCORES'!$B$4:$B$123, B76, 'DAY 2 SCORES'!$F$4:$F$123)</f>
        <v>0</v>
      </c>
      <c r="H76" s="55">
        <f>SUMIF('DAY 1 SCORES'!$B$4:$B$123, B76, 'DAY 1 SCORES'!$D$4:$D$123)</f>
        <v>0</v>
      </c>
      <c r="I76" s="55">
        <f>SUMIF('DAY 2 SCORES'!$B$4:$B$123, B76, 'DAY 2 SCORES'!$D$4:$D$123)</f>
        <v>0</v>
      </c>
      <c r="J76" s="55">
        <f>H76+I76</f>
        <v>0</v>
      </c>
      <c r="K76" s="56">
        <f>SUMIF('DAY 1 SCORES'!$B$4:$B$123, B76, 'DAY 1 SCORES'!$H$4:$H$123)</f>
        <v>14400</v>
      </c>
      <c r="L76" s="56">
        <f>SUMIF('DAY 2 SCORES'!$B$4:$B$123, B76, 'DAY 2 SCORES'!$H$4:$H$123)</f>
        <v>14400</v>
      </c>
      <c r="M76" s="54">
        <f>IF(OR(B76="", B76=0), 999, SUM(K76:L76))</f>
        <v>999</v>
      </c>
      <c r="N76" s="24"/>
      <c r="O76" s="24"/>
      <c r="P76" s="24"/>
      <c r="Q76" s="24"/>
      <c r="R76" s="24"/>
      <c r="S76" s="24"/>
      <c r="T76" s="24"/>
      <c r="U76" s="24"/>
      <c r="V76" s="24"/>
      <c r="W76" s="24"/>
      <c r="X76" s="24"/>
      <c r="Y76" s="24"/>
      <c r="Z76" s="24"/>
      <c r="AA76" s="24"/>
      <c r="AB76" s="24" t="str">
        <f>REGISTRATION!C75</f>
        <v/>
      </c>
      <c r="AC76" s="24">
        <f>'DAY 1 SCORES'!E77</f>
        <v>0</v>
      </c>
      <c r="AD76" s="24">
        <f>'DAY 1 SCORES'!F77</f>
        <v>0</v>
      </c>
      <c r="AE76" s="24">
        <f>'DAY 2 SCORES'!E77</f>
        <v>0</v>
      </c>
      <c r="AF76" s="24">
        <f>'DAY 2 SCORES'!F77</f>
        <v>0</v>
      </c>
      <c r="AG76" s="24">
        <f>'DAY 1 SCORES'!G77</f>
        <v>0</v>
      </c>
      <c r="AH76" s="24">
        <f>'DAY 2 SCORES'!G77</f>
        <v>0</v>
      </c>
      <c r="AI76" s="24">
        <f t="shared" si="2"/>
        <v>0</v>
      </c>
      <c r="AJ76" s="24">
        <f>'DAY 1 SCORES'!H77</f>
        <v>120</v>
      </c>
      <c r="AK76" s="24">
        <f>'DAY 2 SCORES'!H77</f>
        <v>120</v>
      </c>
      <c r="AL76" s="24">
        <f t="shared" si="3"/>
        <v>240</v>
      </c>
    </row>
    <row r="77" spans="1:38" ht="24.75" customHeight="1">
      <c r="A77" s="58" t="str">
        <f>IF(B77="", "", ROW()-2)</f>
        <v/>
      </c>
      <c r="B77" s="59" t="str">
        <f>IF(REGISTRATION!B76="", "", REGISTRATION!B76)</f>
        <v/>
      </c>
      <c r="C77" s="59" t="str">
        <f>IF(B77="", "", _xlfn.XLOOKUP(B77, REGISTRATION!B:B, REGISTRATION!C:C, ""))</f>
        <v/>
      </c>
      <c r="D77" s="55">
        <f>IFERROR(INDEX('DAY 1 SCORES'!$E$4:$E$123, MATCH(B77, 'DAY 1 SCORES'!$B$4:$B$123, 0)), "")</f>
        <v>0</v>
      </c>
      <c r="E77" s="55">
        <f>SUMIF('DAY 1 SCORES'!$B$4:$B$123, B77, 'DAY 1 SCORES'!$F$4:$F$123)</f>
        <v>0</v>
      </c>
      <c r="F77" s="56">
        <f>IFERROR(INDEX('DAY 2 SCORES'!$E$4:$E$123, MATCH(B77, 'DAY 2 SCORES'!$B$4:$B$123, 0)), "")</f>
        <v>0</v>
      </c>
      <c r="G77" s="56">
        <f>SUMIF('DAY 2 SCORES'!$B$4:$B$123, B77, 'DAY 2 SCORES'!$F$4:$F$123)</f>
        <v>0</v>
      </c>
      <c r="H77" s="55">
        <f>SUMIF('DAY 1 SCORES'!$B$4:$B$123, B77, 'DAY 1 SCORES'!$D$4:$D$123)</f>
        <v>0</v>
      </c>
      <c r="I77" s="55">
        <f>SUMIF('DAY 2 SCORES'!$B$4:$B$123, B77, 'DAY 2 SCORES'!$D$4:$D$123)</f>
        <v>0</v>
      </c>
      <c r="J77" s="55">
        <f>H77+I77</f>
        <v>0</v>
      </c>
      <c r="K77" s="56">
        <f>SUMIF('DAY 1 SCORES'!$B$4:$B$123, B77, 'DAY 1 SCORES'!$H$4:$H$123)</f>
        <v>14400</v>
      </c>
      <c r="L77" s="56">
        <f>SUMIF('DAY 2 SCORES'!$B$4:$B$123, B77, 'DAY 2 SCORES'!$H$4:$H$123)</f>
        <v>14400</v>
      </c>
      <c r="M77" s="54">
        <f>IF(OR(B77="", B77=0), 999, SUM(K77:L77))</f>
        <v>999</v>
      </c>
      <c r="N77" s="24"/>
      <c r="O77" s="24"/>
      <c r="P77" s="24"/>
      <c r="Q77" s="24"/>
      <c r="R77" s="24"/>
      <c r="S77" s="24"/>
      <c r="T77" s="24"/>
      <c r="U77" s="24"/>
      <c r="V77" s="24"/>
      <c r="W77" s="24"/>
      <c r="X77" s="24"/>
      <c r="Y77" s="24"/>
      <c r="Z77" s="24"/>
      <c r="AA77" s="24"/>
      <c r="AB77" s="24" t="str">
        <f>REGISTRATION!C76</f>
        <v/>
      </c>
      <c r="AC77" s="24">
        <f>'DAY 1 SCORES'!E78</f>
        <v>0</v>
      </c>
      <c r="AD77" s="24">
        <f>'DAY 1 SCORES'!F78</f>
        <v>0</v>
      </c>
      <c r="AE77" s="24">
        <f>'DAY 2 SCORES'!E78</f>
        <v>0</v>
      </c>
      <c r="AF77" s="24">
        <f>'DAY 2 SCORES'!F78</f>
        <v>0</v>
      </c>
      <c r="AG77" s="24">
        <f>'DAY 1 SCORES'!G78</f>
        <v>0</v>
      </c>
      <c r="AH77" s="24">
        <f>'DAY 2 SCORES'!G78</f>
        <v>0</v>
      </c>
      <c r="AI77" s="24">
        <f t="shared" si="2"/>
        <v>0</v>
      </c>
      <c r="AJ77" s="24">
        <f>'DAY 1 SCORES'!H78</f>
        <v>120</v>
      </c>
      <c r="AK77" s="24">
        <f>'DAY 2 SCORES'!H78</f>
        <v>120</v>
      </c>
      <c r="AL77" s="24">
        <f t="shared" si="3"/>
        <v>240</v>
      </c>
    </row>
    <row r="78" spans="1:38" ht="24.75" customHeight="1">
      <c r="A78" s="58" t="str">
        <f>IF(B78="", "", ROW()-2)</f>
        <v/>
      </c>
      <c r="B78" s="59" t="str">
        <f>IF(REGISTRATION!B77="", "", REGISTRATION!B77)</f>
        <v/>
      </c>
      <c r="C78" s="59" t="str">
        <f>IF(B78="", "", _xlfn.XLOOKUP(B78, REGISTRATION!B:B, REGISTRATION!C:C, ""))</f>
        <v/>
      </c>
      <c r="D78" s="55">
        <f>IFERROR(INDEX('DAY 1 SCORES'!$E$4:$E$123, MATCH(B78, 'DAY 1 SCORES'!$B$4:$B$123, 0)), "")</f>
        <v>0</v>
      </c>
      <c r="E78" s="55">
        <f>SUMIF('DAY 1 SCORES'!$B$4:$B$123, B78, 'DAY 1 SCORES'!$F$4:$F$123)</f>
        <v>0</v>
      </c>
      <c r="F78" s="56">
        <f>IFERROR(INDEX('DAY 2 SCORES'!$E$4:$E$123, MATCH(B78, 'DAY 2 SCORES'!$B$4:$B$123, 0)), "")</f>
        <v>0</v>
      </c>
      <c r="G78" s="56">
        <f>SUMIF('DAY 2 SCORES'!$B$4:$B$123, B78, 'DAY 2 SCORES'!$F$4:$F$123)</f>
        <v>0</v>
      </c>
      <c r="H78" s="55">
        <f>SUMIF('DAY 1 SCORES'!$B$4:$B$123, B78, 'DAY 1 SCORES'!$D$4:$D$123)</f>
        <v>0</v>
      </c>
      <c r="I78" s="55">
        <f>SUMIF('DAY 2 SCORES'!$B$4:$B$123, B78, 'DAY 2 SCORES'!$D$4:$D$123)</f>
        <v>0</v>
      </c>
      <c r="J78" s="55">
        <f>H78+I78</f>
        <v>0</v>
      </c>
      <c r="K78" s="56">
        <f>SUMIF('DAY 1 SCORES'!$B$4:$B$123, B78, 'DAY 1 SCORES'!$H$4:$H$123)</f>
        <v>14400</v>
      </c>
      <c r="L78" s="56">
        <f>SUMIF('DAY 2 SCORES'!$B$4:$B$123, B78, 'DAY 2 SCORES'!$H$4:$H$123)</f>
        <v>14400</v>
      </c>
      <c r="M78" s="54">
        <f>IF(OR(B78="", B78=0), 999, SUM(K78:L78))</f>
        <v>999</v>
      </c>
      <c r="N78" s="24"/>
      <c r="O78" s="24"/>
      <c r="P78" s="24"/>
      <c r="Q78" s="24"/>
      <c r="R78" s="24"/>
      <c r="S78" s="24"/>
      <c r="T78" s="24"/>
      <c r="U78" s="24"/>
      <c r="V78" s="24"/>
      <c r="W78" s="24"/>
      <c r="X78" s="24"/>
      <c r="Y78" s="24"/>
      <c r="Z78" s="24"/>
      <c r="AA78" s="24"/>
      <c r="AB78" s="24" t="str">
        <f>REGISTRATION!C77</f>
        <v/>
      </c>
      <c r="AC78" s="24">
        <f>'DAY 1 SCORES'!E79</f>
        <v>0</v>
      </c>
      <c r="AD78" s="24">
        <f>'DAY 1 SCORES'!F79</f>
        <v>0</v>
      </c>
      <c r="AE78" s="24">
        <f>'DAY 2 SCORES'!E79</f>
        <v>0</v>
      </c>
      <c r="AF78" s="24">
        <f>'DAY 2 SCORES'!F79</f>
        <v>0</v>
      </c>
      <c r="AG78" s="24">
        <f>'DAY 1 SCORES'!G79</f>
        <v>0</v>
      </c>
      <c r="AH78" s="24">
        <f>'DAY 2 SCORES'!G79</f>
        <v>0</v>
      </c>
      <c r="AI78" s="24">
        <f t="shared" si="2"/>
        <v>0</v>
      </c>
      <c r="AJ78" s="24">
        <f>'DAY 1 SCORES'!H79</f>
        <v>120</v>
      </c>
      <c r="AK78" s="24">
        <f>'DAY 2 SCORES'!H79</f>
        <v>120</v>
      </c>
      <c r="AL78" s="24">
        <f t="shared" si="3"/>
        <v>240</v>
      </c>
    </row>
    <row r="79" spans="1:38" ht="24.75" customHeight="1">
      <c r="A79" s="58" t="str">
        <f>IF(B79="", "", ROW()-2)</f>
        <v/>
      </c>
      <c r="B79" s="59" t="str">
        <f>IF(REGISTRATION!B78="", "", REGISTRATION!B78)</f>
        <v/>
      </c>
      <c r="C79" s="59" t="str">
        <f>IF(B79="", "", _xlfn.XLOOKUP(B79, REGISTRATION!B:B, REGISTRATION!C:C, ""))</f>
        <v/>
      </c>
      <c r="D79" s="55">
        <f>IFERROR(INDEX('DAY 1 SCORES'!$E$4:$E$123, MATCH(B79, 'DAY 1 SCORES'!$B$4:$B$123, 0)), "")</f>
        <v>0</v>
      </c>
      <c r="E79" s="55">
        <f>SUMIF('DAY 1 SCORES'!$B$4:$B$123, B79, 'DAY 1 SCORES'!$F$4:$F$123)</f>
        <v>0</v>
      </c>
      <c r="F79" s="56">
        <f>IFERROR(INDEX('DAY 2 SCORES'!$E$4:$E$123, MATCH(B79, 'DAY 2 SCORES'!$B$4:$B$123, 0)), "")</f>
        <v>0</v>
      </c>
      <c r="G79" s="56">
        <f>SUMIF('DAY 2 SCORES'!$B$4:$B$123, B79, 'DAY 2 SCORES'!$F$4:$F$123)</f>
        <v>0</v>
      </c>
      <c r="H79" s="55">
        <f>SUMIF('DAY 1 SCORES'!$B$4:$B$123, B79, 'DAY 1 SCORES'!$D$4:$D$123)</f>
        <v>0</v>
      </c>
      <c r="I79" s="55">
        <f>SUMIF('DAY 2 SCORES'!$B$4:$B$123, B79, 'DAY 2 SCORES'!$D$4:$D$123)</f>
        <v>0</v>
      </c>
      <c r="J79" s="55">
        <f>H79+I79</f>
        <v>0</v>
      </c>
      <c r="K79" s="56">
        <f>SUMIF('DAY 1 SCORES'!$B$4:$B$123, B79, 'DAY 1 SCORES'!$H$4:$H$123)</f>
        <v>14400</v>
      </c>
      <c r="L79" s="56">
        <f>SUMIF('DAY 2 SCORES'!$B$4:$B$123, B79, 'DAY 2 SCORES'!$H$4:$H$123)</f>
        <v>14400</v>
      </c>
      <c r="M79" s="54">
        <f>IF(OR(B79="", B79=0), 999, SUM(K79:L79))</f>
        <v>999</v>
      </c>
      <c r="N79" s="24"/>
      <c r="O79" s="24"/>
      <c r="P79" s="24"/>
      <c r="Q79" s="24"/>
      <c r="R79" s="24"/>
      <c r="S79" s="24"/>
      <c r="T79" s="24"/>
      <c r="U79" s="24"/>
      <c r="V79" s="24"/>
      <c r="W79" s="24"/>
      <c r="X79" s="24"/>
      <c r="Y79" s="24"/>
      <c r="Z79" s="24"/>
      <c r="AA79" s="24"/>
      <c r="AB79" s="24" t="str">
        <f>REGISTRATION!C78</f>
        <v/>
      </c>
      <c r="AC79" s="24">
        <f>'DAY 1 SCORES'!E80</f>
        <v>0</v>
      </c>
      <c r="AD79" s="24">
        <f>'DAY 1 SCORES'!F80</f>
        <v>0</v>
      </c>
      <c r="AE79" s="24">
        <f>'DAY 2 SCORES'!E80</f>
        <v>0</v>
      </c>
      <c r="AF79" s="24">
        <f>'DAY 2 SCORES'!F80</f>
        <v>0</v>
      </c>
      <c r="AG79" s="24">
        <f>'DAY 1 SCORES'!G80</f>
        <v>0</v>
      </c>
      <c r="AH79" s="24">
        <f>'DAY 2 SCORES'!G80</f>
        <v>0</v>
      </c>
      <c r="AI79" s="24">
        <f t="shared" si="2"/>
        <v>0</v>
      </c>
      <c r="AJ79" s="24">
        <f>'DAY 1 SCORES'!H80</f>
        <v>120</v>
      </c>
      <c r="AK79" s="24">
        <f>'DAY 2 SCORES'!H80</f>
        <v>120</v>
      </c>
      <c r="AL79" s="24">
        <f t="shared" si="3"/>
        <v>240</v>
      </c>
    </row>
    <row r="80" spans="1:38" ht="24.75" customHeight="1">
      <c r="A80" s="58" t="str">
        <f>IF(B80="", "", ROW()-2)</f>
        <v/>
      </c>
      <c r="B80" s="59" t="str">
        <f>IF(REGISTRATION!B79="", "", REGISTRATION!B79)</f>
        <v/>
      </c>
      <c r="C80" s="59" t="str">
        <f>IF(B80="", "", _xlfn.XLOOKUP(B80, REGISTRATION!B:B, REGISTRATION!C:C, ""))</f>
        <v/>
      </c>
      <c r="D80" s="55">
        <f>IFERROR(INDEX('DAY 1 SCORES'!$E$4:$E$123, MATCH(B80, 'DAY 1 SCORES'!$B$4:$B$123, 0)), "")</f>
        <v>0</v>
      </c>
      <c r="E80" s="55">
        <f>SUMIF('DAY 1 SCORES'!$B$4:$B$123, B80, 'DAY 1 SCORES'!$F$4:$F$123)</f>
        <v>0</v>
      </c>
      <c r="F80" s="56">
        <f>IFERROR(INDEX('DAY 2 SCORES'!$E$4:$E$123, MATCH(B80, 'DAY 2 SCORES'!$B$4:$B$123, 0)), "")</f>
        <v>0</v>
      </c>
      <c r="G80" s="56">
        <f>SUMIF('DAY 2 SCORES'!$B$4:$B$123, B80, 'DAY 2 SCORES'!$F$4:$F$123)</f>
        <v>0</v>
      </c>
      <c r="H80" s="55">
        <f>SUMIF('DAY 1 SCORES'!$B$4:$B$123, B80, 'DAY 1 SCORES'!$D$4:$D$123)</f>
        <v>0</v>
      </c>
      <c r="I80" s="55">
        <f>SUMIF('DAY 2 SCORES'!$B$4:$B$123, B80, 'DAY 2 SCORES'!$D$4:$D$123)</f>
        <v>0</v>
      </c>
      <c r="J80" s="55">
        <f>H80+I80</f>
        <v>0</v>
      </c>
      <c r="K80" s="56">
        <f>SUMIF('DAY 1 SCORES'!$B$4:$B$123, B80, 'DAY 1 SCORES'!$H$4:$H$123)</f>
        <v>14400</v>
      </c>
      <c r="L80" s="56">
        <f>SUMIF('DAY 2 SCORES'!$B$4:$B$123, B80, 'DAY 2 SCORES'!$H$4:$H$123)</f>
        <v>14400</v>
      </c>
      <c r="M80" s="54">
        <f>IF(OR(B80="", B80=0), 999, SUM(K80:L80))</f>
        <v>999</v>
      </c>
      <c r="N80" s="24"/>
      <c r="O80" s="24"/>
      <c r="P80" s="24"/>
      <c r="Q80" s="24"/>
      <c r="R80" s="24"/>
      <c r="S80" s="24"/>
      <c r="T80" s="24"/>
      <c r="U80" s="24"/>
      <c r="V80" s="24"/>
      <c r="W80" s="24"/>
      <c r="X80" s="24"/>
      <c r="Y80" s="24"/>
      <c r="Z80" s="24"/>
      <c r="AA80" s="24"/>
      <c r="AB80" s="24" t="str">
        <f>REGISTRATION!C79</f>
        <v/>
      </c>
      <c r="AC80" s="24">
        <f>'DAY 1 SCORES'!E81</f>
        <v>0</v>
      </c>
      <c r="AD80" s="24">
        <f>'DAY 1 SCORES'!F81</f>
        <v>0</v>
      </c>
      <c r="AE80" s="24">
        <f>'DAY 2 SCORES'!E81</f>
        <v>0</v>
      </c>
      <c r="AF80" s="24">
        <f>'DAY 2 SCORES'!F81</f>
        <v>0</v>
      </c>
      <c r="AG80" s="24">
        <f>'DAY 1 SCORES'!G81</f>
        <v>0</v>
      </c>
      <c r="AH80" s="24">
        <f>'DAY 2 SCORES'!G81</f>
        <v>0</v>
      </c>
      <c r="AI80" s="24">
        <f t="shared" si="2"/>
        <v>0</v>
      </c>
      <c r="AJ80" s="24">
        <f>'DAY 1 SCORES'!H81</f>
        <v>120</v>
      </c>
      <c r="AK80" s="24">
        <f>'DAY 2 SCORES'!H81</f>
        <v>120</v>
      </c>
      <c r="AL80" s="24">
        <f t="shared" si="3"/>
        <v>240</v>
      </c>
    </row>
    <row r="81" spans="1:38" ht="24.75" customHeight="1">
      <c r="A81" s="58" t="str">
        <f>IF(B81="", "", ROW()-2)</f>
        <v/>
      </c>
      <c r="B81" s="59" t="str">
        <f>IF(REGISTRATION!B80="", "", REGISTRATION!B80)</f>
        <v/>
      </c>
      <c r="C81" s="59" t="str">
        <f>IF(B81="", "", _xlfn.XLOOKUP(B81, REGISTRATION!B:B, REGISTRATION!C:C, ""))</f>
        <v/>
      </c>
      <c r="D81" s="55">
        <f>IFERROR(INDEX('DAY 1 SCORES'!$E$4:$E$123, MATCH(B81, 'DAY 1 SCORES'!$B$4:$B$123, 0)), "")</f>
        <v>0</v>
      </c>
      <c r="E81" s="55">
        <f>SUMIF('DAY 1 SCORES'!$B$4:$B$123, B81, 'DAY 1 SCORES'!$F$4:$F$123)</f>
        <v>0</v>
      </c>
      <c r="F81" s="56">
        <f>IFERROR(INDEX('DAY 2 SCORES'!$E$4:$E$123, MATCH(B81, 'DAY 2 SCORES'!$B$4:$B$123, 0)), "")</f>
        <v>0</v>
      </c>
      <c r="G81" s="56">
        <f>SUMIF('DAY 2 SCORES'!$B$4:$B$123, B81, 'DAY 2 SCORES'!$F$4:$F$123)</f>
        <v>0</v>
      </c>
      <c r="H81" s="55">
        <f>SUMIF('DAY 1 SCORES'!$B$4:$B$123, B81, 'DAY 1 SCORES'!$D$4:$D$123)</f>
        <v>0</v>
      </c>
      <c r="I81" s="55">
        <f>SUMIF('DAY 2 SCORES'!$B$4:$B$123, B81, 'DAY 2 SCORES'!$D$4:$D$123)</f>
        <v>0</v>
      </c>
      <c r="J81" s="55">
        <f>H81+I81</f>
        <v>0</v>
      </c>
      <c r="K81" s="56">
        <f>SUMIF('DAY 1 SCORES'!$B$4:$B$123, B81, 'DAY 1 SCORES'!$H$4:$H$123)</f>
        <v>14400</v>
      </c>
      <c r="L81" s="56">
        <f>SUMIF('DAY 2 SCORES'!$B$4:$B$123, B81, 'DAY 2 SCORES'!$H$4:$H$123)</f>
        <v>14400</v>
      </c>
      <c r="M81" s="54">
        <f>IF(OR(B81="", B81=0), 999, SUM(K81:L81))</f>
        <v>999</v>
      </c>
      <c r="N81" s="24"/>
      <c r="O81" s="24"/>
      <c r="P81" s="24"/>
      <c r="Q81" s="24"/>
      <c r="R81" s="24"/>
      <c r="S81" s="24"/>
      <c r="T81" s="24"/>
      <c r="U81" s="24"/>
      <c r="V81" s="24"/>
      <c r="W81" s="24"/>
      <c r="X81" s="24"/>
      <c r="Y81" s="24"/>
      <c r="Z81" s="24"/>
      <c r="AA81" s="24"/>
      <c r="AB81" s="24" t="str">
        <f>REGISTRATION!C80</f>
        <v/>
      </c>
      <c r="AC81" s="24">
        <f>'DAY 1 SCORES'!E82</f>
        <v>0</v>
      </c>
      <c r="AD81" s="24">
        <f>'DAY 1 SCORES'!F82</f>
        <v>0</v>
      </c>
      <c r="AE81" s="24">
        <f>'DAY 2 SCORES'!E82</f>
        <v>0</v>
      </c>
      <c r="AF81" s="24">
        <f>'DAY 2 SCORES'!F82</f>
        <v>0</v>
      </c>
      <c r="AG81" s="24">
        <f>'DAY 1 SCORES'!G82</f>
        <v>0</v>
      </c>
      <c r="AH81" s="24">
        <f>'DAY 2 SCORES'!G82</f>
        <v>0</v>
      </c>
      <c r="AI81" s="24">
        <f t="shared" si="2"/>
        <v>0</v>
      </c>
      <c r="AJ81" s="24">
        <f>'DAY 1 SCORES'!H82</f>
        <v>120</v>
      </c>
      <c r="AK81" s="24">
        <f>'DAY 2 SCORES'!H82</f>
        <v>120</v>
      </c>
      <c r="AL81" s="24">
        <f t="shared" si="3"/>
        <v>240</v>
      </c>
    </row>
    <row r="82" spans="1:38" ht="24.75" customHeight="1">
      <c r="A82" s="58" t="str">
        <f>IF(B82="", "", ROW()-2)</f>
        <v/>
      </c>
      <c r="B82" s="59" t="str">
        <f>IF(REGISTRATION!B81="", "", REGISTRATION!B81)</f>
        <v/>
      </c>
      <c r="C82" s="59" t="str">
        <f>IF(B82="", "", _xlfn.XLOOKUP(B82, REGISTRATION!B:B, REGISTRATION!C:C, ""))</f>
        <v/>
      </c>
      <c r="D82" s="55">
        <f>IFERROR(INDEX('DAY 1 SCORES'!$E$4:$E$123, MATCH(B82, 'DAY 1 SCORES'!$B$4:$B$123, 0)), "")</f>
        <v>0</v>
      </c>
      <c r="E82" s="55">
        <f>SUMIF('DAY 1 SCORES'!$B$4:$B$123, B82, 'DAY 1 SCORES'!$F$4:$F$123)</f>
        <v>0</v>
      </c>
      <c r="F82" s="56">
        <f>IFERROR(INDEX('DAY 2 SCORES'!$E$4:$E$123, MATCH(B82, 'DAY 2 SCORES'!$B$4:$B$123, 0)), "")</f>
        <v>0</v>
      </c>
      <c r="G82" s="56">
        <f>SUMIF('DAY 2 SCORES'!$B$4:$B$123, B82, 'DAY 2 SCORES'!$F$4:$F$123)</f>
        <v>0</v>
      </c>
      <c r="H82" s="55">
        <f>SUMIF('DAY 1 SCORES'!$B$4:$B$123, B82, 'DAY 1 SCORES'!$D$4:$D$123)</f>
        <v>0</v>
      </c>
      <c r="I82" s="55">
        <f>SUMIF('DAY 2 SCORES'!$B$4:$B$123, B82, 'DAY 2 SCORES'!$D$4:$D$123)</f>
        <v>0</v>
      </c>
      <c r="J82" s="55">
        <f>H82+I82</f>
        <v>0</v>
      </c>
      <c r="K82" s="56">
        <f>SUMIF('DAY 1 SCORES'!$B$4:$B$123, B82, 'DAY 1 SCORES'!$H$4:$H$123)</f>
        <v>14400</v>
      </c>
      <c r="L82" s="56">
        <f>SUMIF('DAY 2 SCORES'!$B$4:$B$123, B82, 'DAY 2 SCORES'!$H$4:$H$123)</f>
        <v>14400</v>
      </c>
      <c r="M82" s="54">
        <f>IF(OR(B82="", B82=0), 999, SUM(K82:L82))</f>
        <v>999</v>
      </c>
      <c r="N82" s="24"/>
      <c r="O82" s="24"/>
      <c r="P82" s="24"/>
      <c r="Q82" s="24"/>
      <c r="R82" s="24"/>
      <c r="S82" s="24"/>
      <c r="T82" s="24"/>
      <c r="U82" s="24"/>
      <c r="V82" s="24"/>
      <c r="W82" s="24"/>
      <c r="X82" s="24"/>
      <c r="Y82" s="24"/>
      <c r="Z82" s="24"/>
      <c r="AA82" s="24"/>
      <c r="AB82" s="24" t="str">
        <f>REGISTRATION!C81</f>
        <v/>
      </c>
      <c r="AC82" s="24">
        <f>'DAY 1 SCORES'!E83</f>
        <v>0</v>
      </c>
      <c r="AD82" s="24">
        <f>'DAY 1 SCORES'!F83</f>
        <v>0</v>
      </c>
      <c r="AE82" s="24">
        <f>'DAY 2 SCORES'!E83</f>
        <v>0</v>
      </c>
      <c r="AF82" s="24">
        <f>'DAY 2 SCORES'!F83</f>
        <v>0</v>
      </c>
      <c r="AG82" s="24">
        <f>'DAY 1 SCORES'!G83</f>
        <v>0</v>
      </c>
      <c r="AH82" s="24">
        <f>'DAY 2 SCORES'!G83</f>
        <v>0</v>
      </c>
      <c r="AI82" s="24">
        <f t="shared" si="2"/>
        <v>0</v>
      </c>
      <c r="AJ82" s="24">
        <f>'DAY 1 SCORES'!H83</f>
        <v>120</v>
      </c>
      <c r="AK82" s="24">
        <f>'DAY 2 SCORES'!H83</f>
        <v>120</v>
      </c>
      <c r="AL82" s="24">
        <f t="shared" si="3"/>
        <v>240</v>
      </c>
    </row>
    <row r="83" spans="1:38" ht="24.75" customHeight="1">
      <c r="A83" s="58" t="str">
        <f>IF(B83="", "", ROW()-2)</f>
        <v/>
      </c>
      <c r="B83" s="59" t="str">
        <f>IF(REGISTRATION!B82="", "", REGISTRATION!B82)</f>
        <v/>
      </c>
      <c r="C83" s="59" t="str">
        <f>IF(B83="", "", _xlfn.XLOOKUP(B83, REGISTRATION!B:B, REGISTRATION!C:C, ""))</f>
        <v/>
      </c>
      <c r="D83" s="55">
        <f>IFERROR(INDEX('DAY 1 SCORES'!$E$4:$E$123, MATCH(B83, 'DAY 1 SCORES'!$B$4:$B$123, 0)), "")</f>
        <v>0</v>
      </c>
      <c r="E83" s="55">
        <f>SUMIF('DAY 1 SCORES'!$B$4:$B$123, B83, 'DAY 1 SCORES'!$F$4:$F$123)</f>
        <v>0</v>
      </c>
      <c r="F83" s="56">
        <f>IFERROR(INDEX('DAY 2 SCORES'!$E$4:$E$123, MATCH(B83, 'DAY 2 SCORES'!$B$4:$B$123, 0)), "")</f>
        <v>0</v>
      </c>
      <c r="G83" s="56">
        <f>SUMIF('DAY 2 SCORES'!$B$4:$B$123, B83, 'DAY 2 SCORES'!$F$4:$F$123)</f>
        <v>0</v>
      </c>
      <c r="H83" s="55">
        <f>SUMIF('DAY 1 SCORES'!$B$4:$B$123, B83, 'DAY 1 SCORES'!$D$4:$D$123)</f>
        <v>0</v>
      </c>
      <c r="I83" s="55">
        <f>SUMIF('DAY 2 SCORES'!$B$4:$B$123, B83, 'DAY 2 SCORES'!$D$4:$D$123)</f>
        <v>0</v>
      </c>
      <c r="J83" s="55">
        <f>H83+I83</f>
        <v>0</v>
      </c>
      <c r="K83" s="56">
        <f>SUMIF('DAY 1 SCORES'!$B$4:$B$123, B83, 'DAY 1 SCORES'!$H$4:$H$123)</f>
        <v>14400</v>
      </c>
      <c r="L83" s="56">
        <f>SUMIF('DAY 2 SCORES'!$B$4:$B$123, B83, 'DAY 2 SCORES'!$H$4:$H$123)</f>
        <v>14400</v>
      </c>
      <c r="M83" s="54">
        <f>IF(OR(B83="", B83=0), 999, SUM(K83:L83))</f>
        <v>999</v>
      </c>
      <c r="N83" s="24"/>
      <c r="O83" s="24"/>
      <c r="P83" s="24"/>
      <c r="Q83" s="24"/>
      <c r="R83" s="24"/>
      <c r="S83" s="24"/>
      <c r="T83" s="24"/>
      <c r="U83" s="24"/>
      <c r="V83" s="24"/>
      <c r="W83" s="24"/>
      <c r="X83" s="24"/>
      <c r="Y83" s="24"/>
      <c r="Z83" s="24"/>
      <c r="AA83" s="24"/>
      <c r="AB83" s="24" t="str">
        <f>REGISTRATION!C82</f>
        <v/>
      </c>
      <c r="AC83" s="24">
        <f>'DAY 1 SCORES'!E84</f>
        <v>0</v>
      </c>
      <c r="AD83" s="24">
        <f>'DAY 1 SCORES'!F84</f>
        <v>0</v>
      </c>
      <c r="AE83" s="24">
        <f>'DAY 2 SCORES'!E84</f>
        <v>0</v>
      </c>
      <c r="AF83" s="24">
        <f>'DAY 2 SCORES'!F84</f>
        <v>0</v>
      </c>
      <c r="AG83" s="24">
        <f>'DAY 1 SCORES'!G84</f>
        <v>0</v>
      </c>
      <c r="AH83" s="24">
        <f>'DAY 2 SCORES'!G84</f>
        <v>0</v>
      </c>
      <c r="AI83" s="24">
        <f t="shared" si="2"/>
        <v>0</v>
      </c>
      <c r="AJ83" s="24">
        <f>'DAY 1 SCORES'!H84</f>
        <v>120</v>
      </c>
      <c r="AK83" s="24">
        <f>'DAY 2 SCORES'!H84</f>
        <v>120</v>
      </c>
      <c r="AL83" s="24">
        <f t="shared" si="3"/>
        <v>240</v>
      </c>
    </row>
    <row r="84" spans="1:38" ht="24.75" customHeight="1">
      <c r="A84" s="58" t="str">
        <f>IF(B84="", "", ROW()-2)</f>
        <v/>
      </c>
      <c r="B84" s="59" t="str">
        <f>IF(REGISTRATION!B83="", "", REGISTRATION!B83)</f>
        <v/>
      </c>
      <c r="C84" s="59" t="str">
        <f>IF(B84="", "", _xlfn.XLOOKUP(B84, REGISTRATION!B:B, REGISTRATION!C:C, ""))</f>
        <v/>
      </c>
      <c r="D84" s="55">
        <f>IFERROR(INDEX('DAY 1 SCORES'!$E$4:$E$123, MATCH(B84, 'DAY 1 SCORES'!$B$4:$B$123, 0)), "")</f>
        <v>0</v>
      </c>
      <c r="E84" s="55">
        <f>SUMIF('DAY 1 SCORES'!$B$4:$B$123, B84, 'DAY 1 SCORES'!$F$4:$F$123)</f>
        <v>0</v>
      </c>
      <c r="F84" s="56">
        <f>IFERROR(INDEX('DAY 2 SCORES'!$E$4:$E$123, MATCH(B84, 'DAY 2 SCORES'!$B$4:$B$123, 0)), "")</f>
        <v>0</v>
      </c>
      <c r="G84" s="56">
        <f>SUMIF('DAY 2 SCORES'!$B$4:$B$123, B84, 'DAY 2 SCORES'!$F$4:$F$123)</f>
        <v>0</v>
      </c>
      <c r="H84" s="55">
        <f>SUMIF('DAY 1 SCORES'!$B$4:$B$123, B84, 'DAY 1 SCORES'!$D$4:$D$123)</f>
        <v>0</v>
      </c>
      <c r="I84" s="55">
        <f>SUMIF('DAY 2 SCORES'!$B$4:$B$123, B84, 'DAY 2 SCORES'!$D$4:$D$123)</f>
        <v>0</v>
      </c>
      <c r="J84" s="55">
        <f>H84+I84</f>
        <v>0</v>
      </c>
      <c r="K84" s="56">
        <f>SUMIF('DAY 1 SCORES'!$B$4:$B$123, B84, 'DAY 1 SCORES'!$H$4:$H$123)</f>
        <v>14400</v>
      </c>
      <c r="L84" s="56">
        <f>SUMIF('DAY 2 SCORES'!$B$4:$B$123, B84, 'DAY 2 SCORES'!$H$4:$H$123)</f>
        <v>14400</v>
      </c>
      <c r="M84" s="54">
        <f>IF(OR(B84="", B84=0), 999, SUM(K84:L84))</f>
        <v>999</v>
      </c>
      <c r="N84" s="24"/>
      <c r="O84" s="24"/>
      <c r="P84" s="24"/>
      <c r="Q84" s="24"/>
      <c r="R84" s="24"/>
      <c r="S84" s="24"/>
      <c r="T84" s="24"/>
      <c r="U84" s="24"/>
      <c r="V84" s="24"/>
      <c r="W84" s="24"/>
      <c r="X84" s="24"/>
      <c r="Y84" s="24"/>
      <c r="Z84" s="24"/>
      <c r="AA84" s="24"/>
      <c r="AB84" s="24" t="str">
        <f>REGISTRATION!C83</f>
        <v/>
      </c>
      <c r="AC84" s="24">
        <f>'DAY 1 SCORES'!E85</f>
        <v>0</v>
      </c>
      <c r="AD84" s="24">
        <f>'DAY 1 SCORES'!F85</f>
        <v>0</v>
      </c>
      <c r="AE84" s="24">
        <f>'DAY 2 SCORES'!E85</f>
        <v>0</v>
      </c>
      <c r="AF84" s="24">
        <f>'DAY 2 SCORES'!F85</f>
        <v>0</v>
      </c>
      <c r="AG84" s="24">
        <f>'DAY 1 SCORES'!G85</f>
        <v>0</v>
      </c>
      <c r="AH84" s="24">
        <f>'DAY 2 SCORES'!G85</f>
        <v>0</v>
      </c>
      <c r="AI84" s="24">
        <f t="shared" si="2"/>
        <v>0</v>
      </c>
      <c r="AJ84" s="24">
        <f>'DAY 1 SCORES'!H85</f>
        <v>120</v>
      </c>
      <c r="AK84" s="24">
        <f>'DAY 2 SCORES'!H85</f>
        <v>120</v>
      </c>
      <c r="AL84" s="24">
        <f t="shared" si="3"/>
        <v>240</v>
      </c>
    </row>
    <row r="85" spans="1:38" ht="24.75" customHeight="1">
      <c r="A85" s="58" t="str">
        <f>IF(B85="", "", ROW()-2)</f>
        <v/>
      </c>
      <c r="B85" s="59" t="str">
        <f>IF(REGISTRATION!B84="", "", REGISTRATION!B84)</f>
        <v/>
      </c>
      <c r="C85" s="59" t="str">
        <f>IF(B85="", "", _xlfn.XLOOKUP(B85, REGISTRATION!B:B, REGISTRATION!C:C, ""))</f>
        <v/>
      </c>
      <c r="D85" s="55">
        <f>IFERROR(INDEX('DAY 1 SCORES'!$E$4:$E$123, MATCH(B85, 'DAY 1 SCORES'!$B$4:$B$123, 0)), "")</f>
        <v>0</v>
      </c>
      <c r="E85" s="55">
        <f>SUMIF('DAY 1 SCORES'!$B$4:$B$123, B85, 'DAY 1 SCORES'!$F$4:$F$123)</f>
        <v>0</v>
      </c>
      <c r="F85" s="56">
        <f>IFERROR(INDEX('DAY 2 SCORES'!$E$4:$E$123, MATCH(B85, 'DAY 2 SCORES'!$B$4:$B$123, 0)), "")</f>
        <v>0</v>
      </c>
      <c r="G85" s="56">
        <f>SUMIF('DAY 2 SCORES'!$B$4:$B$123, B85, 'DAY 2 SCORES'!$F$4:$F$123)</f>
        <v>0</v>
      </c>
      <c r="H85" s="55">
        <f>SUMIF('DAY 1 SCORES'!$B$4:$B$123, B85, 'DAY 1 SCORES'!$D$4:$D$123)</f>
        <v>0</v>
      </c>
      <c r="I85" s="55">
        <f>SUMIF('DAY 2 SCORES'!$B$4:$B$123, B85, 'DAY 2 SCORES'!$D$4:$D$123)</f>
        <v>0</v>
      </c>
      <c r="J85" s="55">
        <f>H85+I85</f>
        <v>0</v>
      </c>
      <c r="K85" s="56">
        <f>SUMIF('DAY 1 SCORES'!$B$4:$B$123, B85, 'DAY 1 SCORES'!$H$4:$H$123)</f>
        <v>14400</v>
      </c>
      <c r="L85" s="56">
        <f>SUMIF('DAY 2 SCORES'!$B$4:$B$123, B85, 'DAY 2 SCORES'!$H$4:$H$123)</f>
        <v>14400</v>
      </c>
      <c r="M85" s="54">
        <f>IF(OR(B85="", B85=0), 999, SUM(K85:L85))</f>
        <v>999</v>
      </c>
      <c r="N85" s="24"/>
      <c r="O85" s="24"/>
      <c r="P85" s="24"/>
      <c r="Q85" s="24"/>
      <c r="R85" s="24"/>
      <c r="S85" s="24"/>
      <c r="T85" s="24"/>
      <c r="U85" s="24"/>
      <c r="V85" s="24"/>
      <c r="W85" s="24"/>
      <c r="X85" s="24"/>
      <c r="Y85" s="24"/>
      <c r="Z85" s="24"/>
      <c r="AA85" s="24"/>
      <c r="AB85" s="24" t="str">
        <f>REGISTRATION!C84</f>
        <v/>
      </c>
      <c r="AC85" s="24">
        <f>'DAY 1 SCORES'!E86</f>
        <v>0</v>
      </c>
      <c r="AD85" s="24">
        <f>'DAY 1 SCORES'!F86</f>
        <v>0</v>
      </c>
      <c r="AE85" s="24">
        <f>'DAY 2 SCORES'!E86</f>
        <v>0</v>
      </c>
      <c r="AF85" s="24">
        <f>'DAY 2 SCORES'!F86</f>
        <v>0</v>
      </c>
      <c r="AG85" s="24">
        <f>'DAY 1 SCORES'!G86</f>
        <v>0</v>
      </c>
      <c r="AH85" s="24">
        <f>'DAY 2 SCORES'!G86</f>
        <v>0</v>
      </c>
      <c r="AI85" s="24">
        <f t="shared" si="2"/>
        <v>0</v>
      </c>
      <c r="AJ85" s="24">
        <f>'DAY 1 SCORES'!H86</f>
        <v>120</v>
      </c>
      <c r="AK85" s="24">
        <f>'DAY 2 SCORES'!H86</f>
        <v>120</v>
      </c>
      <c r="AL85" s="24">
        <f t="shared" si="3"/>
        <v>240</v>
      </c>
    </row>
    <row r="86" spans="1:38" ht="24.75" customHeight="1">
      <c r="A86" s="58" t="str">
        <f>IF(B86="", "", ROW()-2)</f>
        <v/>
      </c>
      <c r="B86" s="59" t="str">
        <f>IF(REGISTRATION!B85="", "", REGISTRATION!B85)</f>
        <v/>
      </c>
      <c r="C86" s="59" t="str">
        <f>IF(B86="", "", _xlfn.XLOOKUP(B86, REGISTRATION!B:B, REGISTRATION!C:C, ""))</f>
        <v/>
      </c>
      <c r="D86" s="55">
        <f>IFERROR(INDEX('DAY 1 SCORES'!$E$4:$E$123, MATCH(B86, 'DAY 1 SCORES'!$B$4:$B$123, 0)), "")</f>
        <v>0</v>
      </c>
      <c r="E86" s="55">
        <f>SUMIF('DAY 1 SCORES'!$B$4:$B$123, B86, 'DAY 1 SCORES'!$F$4:$F$123)</f>
        <v>0</v>
      </c>
      <c r="F86" s="56">
        <f>IFERROR(INDEX('DAY 2 SCORES'!$E$4:$E$123, MATCH(B86, 'DAY 2 SCORES'!$B$4:$B$123, 0)), "")</f>
        <v>0</v>
      </c>
      <c r="G86" s="56">
        <f>SUMIF('DAY 2 SCORES'!$B$4:$B$123, B86, 'DAY 2 SCORES'!$F$4:$F$123)</f>
        <v>0</v>
      </c>
      <c r="H86" s="55">
        <f>SUMIF('DAY 1 SCORES'!$B$4:$B$123, B86, 'DAY 1 SCORES'!$D$4:$D$123)</f>
        <v>0</v>
      </c>
      <c r="I86" s="55">
        <f>SUMIF('DAY 2 SCORES'!$B$4:$B$123, B86, 'DAY 2 SCORES'!$D$4:$D$123)</f>
        <v>0</v>
      </c>
      <c r="J86" s="55">
        <f>H86+I86</f>
        <v>0</v>
      </c>
      <c r="K86" s="56">
        <f>SUMIF('DAY 1 SCORES'!$B$4:$B$123, B86, 'DAY 1 SCORES'!$H$4:$H$123)</f>
        <v>14400</v>
      </c>
      <c r="L86" s="56">
        <f>SUMIF('DAY 2 SCORES'!$B$4:$B$123, B86, 'DAY 2 SCORES'!$H$4:$H$123)</f>
        <v>14400</v>
      </c>
      <c r="M86" s="54">
        <f>IF(OR(B86="", B86=0), 999, SUM(K86:L86))</f>
        <v>999</v>
      </c>
      <c r="N86" s="24"/>
      <c r="O86" s="24"/>
      <c r="P86" s="24"/>
      <c r="Q86" s="24"/>
      <c r="R86" s="24"/>
      <c r="S86" s="24"/>
      <c r="T86" s="24"/>
      <c r="U86" s="24"/>
      <c r="V86" s="24"/>
      <c r="W86" s="24"/>
      <c r="X86" s="24"/>
      <c r="Y86" s="24"/>
      <c r="Z86" s="24"/>
      <c r="AA86" s="24"/>
      <c r="AB86" s="24" t="str">
        <f>REGISTRATION!C85</f>
        <v/>
      </c>
      <c r="AC86" s="24">
        <f>'DAY 1 SCORES'!E87</f>
        <v>0</v>
      </c>
      <c r="AD86" s="24">
        <f>'DAY 1 SCORES'!F87</f>
        <v>0</v>
      </c>
      <c r="AE86" s="24">
        <f>'DAY 2 SCORES'!E87</f>
        <v>0</v>
      </c>
      <c r="AF86" s="24">
        <f>'DAY 2 SCORES'!F87</f>
        <v>0</v>
      </c>
      <c r="AG86" s="24">
        <f>'DAY 1 SCORES'!G87</f>
        <v>0</v>
      </c>
      <c r="AH86" s="24">
        <f>'DAY 2 SCORES'!G87</f>
        <v>0</v>
      </c>
      <c r="AI86" s="24">
        <f t="shared" si="2"/>
        <v>0</v>
      </c>
      <c r="AJ86" s="24">
        <f>'DAY 1 SCORES'!H87</f>
        <v>120</v>
      </c>
      <c r="AK86" s="24">
        <f>'DAY 2 SCORES'!H87</f>
        <v>120</v>
      </c>
      <c r="AL86" s="24">
        <f t="shared" si="3"/>
        <v>240</v>
      </c>
    </row>
    <row r="87" spans="1:38" ht="24.75" customHeight="1">
      <c r="A87" s="58" t="str">
        <f>IF(B87="", "", ROW()-2)</f>
        <v/>
      </c>
      <c r="B87" s="59" t="str">
        <f>IF(REGISTRATION!B86="", "", REGISTRATION!B86)</f>
        <v/>
      </c>
      <c r="C87" s="59" t="str">
        <f>IF(B87="", "", _xlfn.XLOOKUP(B87, REGISTRATION!B:B, REGISTRATION!C:C, ""))</f>
        <v/>
      </c>
      <c r="D87" s="55">
        <f>IFERROR(INDEX('DAY 1 SCORES'!$E$4:$E$123, MATCH(B87, 'DAY 1 SCORES'!$B$4:$B$123, 0)), "")</f>
        <v>0</v>
      </c>
      <c r="E87" s="55">
        <f>SUMIF('DAY 1 SCORES'!$B$4:$B$123, B87, 'DAY 1 SCORES'!$F$4:$F$123)</f>
        <v>0</v>
      </c>
      <c r="F87" s="56">
        <f>IFERROR(INDEX('DAY 2 SCORES'!$E$4:$E$123, MATCH(B87, 'DAY 2 SCORES'!$B$4:$B$123, 0)), "")</f>
        <v>0</v>
      </c>
      <c r="G87" s="56">
        <f>SUMIF('DAY 2 SCORES'!$B$4:$B$123, B87, 'DAY 2 SCORES'!$F$4:$F$123)</f>
        <v>0</v>
      </c>
      <c r="H87" s="55">
        <f>SUMIF('DAY 1 SCORES'!$B$4:$B$123, B87, 'DAY 1 SCORES'!$D$4:$D$123)</f>
        <v>0</v>
      </c>
      <c r="I87" s="55">
        <f>SUMIF('DAY 2 SCORES'!$B$4:$B$123, B87, 'DAY 2 SCORES'!$D$4:$D$123)</f>
        <v>0</v>
      </c>
      <c r="J87" s="55">
        <f>H87+I87</f>
        <v>0</v>
      </c>
      <c r="K87" s="56">
        <f>SUMIF('DAY 1 SCORES'!$B$4:$B$123, B87, 'DAY 1 SCORES'!$H$4:$H$123)</f>
        <v>14400</v>
      </c>
      <c r="L87" s="56">
        <f>SUMIF('DAY 2 SCORES'!$B$4:$B$123, B87, 'DAY 2 SCORES'!$H$4:$H$123)</f>
        <v>14400</v>
      </c>
      <c r="M87" s="54">
        <f>IF(OR(B87="", B87=0), 999, SUM(K87:L87))</f>
        <v>999</v>
      </c>
      <c r="N87" s="24"/>
      <c r="O87" s="24"/>
      <c r="P87" s="24"/>
      <c r="Q87" s="24"/>
      <c r="R87" s="24"/>
      <c r="S87" s="24"/>
      <c r="T87" s="24"/>
      <c r="U87" s="24"/>
      <c r="V87" s="24"/>
      <c r="W87" s="24"/>
      <c r="X87" s="24"/>
      <c r="Y87" s="24"/>
      <c r="Z87" s="24"/>
      <c r="AA87" s="24"/>
      <c r="AB87" s="24" t="str">
        <f>REGISTRATION!C86</f>
        <v/>
      </c>
      <c r="AC87" s="24">
        <f>'DAY 1 SCORES'!E88</f>
        <v>0</v>
      </c>
      <c r="AD87" s="24">
        <f>'DAY 1 SCORES'!F88</f>
        <v>0</v>
      </c>
      <c r="AE87" s="24">
        <f>'DAY 2 SCORES'!E88</f>
        <v>0</v>
      </c>
      <c r="AF87" s="24">
        <f>'DAY 2 SCORES'!F88</f>
        <v>0</v>
      </c>
      <c r="AG87" s="24">
        <f>'DAY 1 SCORES'!G88</f>
        <v>0</v>
      </c>
      <c r="AH87" s="24">
        <f>'DAY 2 SCORES'!G88</f>
        <v>0</v>
      </c>
      <c r="AI87" s="24">
        <f t="shared" si="2"/>
        <v>0</v>
      </c>
      <c r="AJ87" s="24">
        <f>'DAY 1 SCORES'!H88</f>
        <v>120</v>
      </c>
      <c r="AK87" s="24">
        <f>'DAY 2 SCORES'!H88</f>
        <v>120</v>
      </c>
      <c r="AL87" s="24">
        <f t="shared" si="3"/>
        <v>240</v>
      </c>
    </row>
    <row r="88" spans="1:38" ht="24.75" customHeight="1">
      <c r="A88" s="58" t="str">
        <f>IF(B88="", "", ROW()-2)</f>
        <v/>
      </c>
      <c r="B88" s="59" t="str">
        <f>IF(REGISTRATION!B87="", "", REGISTRATION!B87)</f>
        <v/>
      </c>
      <c r="C88" s="59" t="str">
        <f>IF(B88="", "", _xlfn.XLOOKUP(B88, REGISTRATION!B:B, REGISTRATION!C:C, ""))</f>
        <v/>
      </c>
      <c r="D88" s="55">
        <f>IFERROR(INDEX('DAY 1 SCORES'!$E$4:$E$123, MATCH(B88, 'DAY 1 SCORES'!$B$4:$B$123, 0)), "")</f>
        <v>0</v>
      </c>
      <c r="E88" s="55">
        <f>SUMIF('DAY 1 SCORES'!$B$4:$B$123, B88, 'DAY 1 SCORES'!$F$4:$F$123)</f>
        <v>0</v>
      </c>
      <c r="F88" s="56">
        <f>IFERROR(INDEX('DAY 2 SCORES'!$E$4:$E$123, MATCH(B88, 'DAY 2 SCORES'!$B$4:$B$123, 0)), "")</f>
        <v>0</v>
      </c>
      <c r="G88" s="56">
        <f>SUMIF('DAY 2 SCORES'!$B$4:$B$123, B88, 'DAY 2 SCORES'!$F$4:$F$123)</f>
        <v>0</v>
      </c>
      <c r="H88" s="55">
        <f>SUMIF('DAY 1 SCORES'!$B$4:$B$123, B88, 'DAY 1 SCORES'!$D$4:$D$123)</f>
        <v>0</v>
      </c>
      <c r="I88" s="55">
        <f>SUMIF('DAY 2 SCORES'!$B$4:$B$123, B88, 'DAY 2 SCORES'!$D$4:$D$123)</f>
        <v>0</v>
      </c>
      <c r="J88" s="55">
        <f>H88+I88</f>
        <v>0</v>
      </c>
      <c r="K88" s="56">
        <f>SUMIF('DAY 1 SCORES'!$B$4:$B$123, B88, 'DAY 1 SCORES'!$H$4:$H$123)</f>
        <v>14400</v>
      </c>
      <c r="L88" s="56">
        <f>SUMIF('DAY 2 SCORES'!$B$4:$B$123, B88, 'DAY 2 SCORES'!$H$4:$H$123)</f>
        <v>14400</v>
      </c>
      <c r="M88" s="54">
        <f>IF(OR(B88="", B88=0), 999, SUM(K88:L88))</f>
        <v>999</v>
      </c>
      <c r="N88" s="24"/>
      <c r="O88" s="24"/>
      <c r="P88" s="24"/>
      <c r="Q88" s="24"/>
      <c r="R88" s="24"/>
      <c r="S88" s="24"/>
      <c r="T88" s="24"/>
      <c r="U88" s="24"/>
      <c r="V88" s="24"/>
      <c r="W88" s="24"/>
      <c r="X88" s="24"/>
      <c r="Y88" s="24"/>
      <c r="Z88" s="24"/>
      <c r="AA88" s="24"/>
      <c r="AB88" s="24" t="str">
        <f>REGISTRATION!C87</f>
        <v/>
      </c>
      <c r="AC88" s="24">
        <f>'DAY 1 SCORES'!E89</f>
        <v>0</v>
      </c>
      <c r="AD88" s="24">
        <f>'DAY 1 SCORES'!F89</f>
        <v>0</v>
      </c>
      <c r="AE88" s="24">
        <f>'DAY 2 SCORES'!E89</f>
        <v>0</v>
      </c>
      <c r="AF88" s="24">
        <f>'DAY 2 SCORES'!F89</f>
        <v>0</v>
      </c>
      <c r="AG88" s="24">
        <f>'DAY 1 SCORES'!G89</f>
        <v>0</v>
      </c>
      <c r="AH88" s="24">
        <f>'DAY 2 SCORES'!G89</f>
        <v>0</v>
      </c>
      <c r="AI88" s="24">
        <f t="shared" si="2"/>
        <v>0</v>
      </c>
      <c r="AJ88" s="24">
        <f>'DAY 1 SCORES'!H89</f>
        <v>120</v>
      </c>
      <c r="AK88" s="24">
        <f>'DAY 2 SCORES'!H89</f>
        <v>120</v>
      </c>
      <c r="AL88" s="24">
        <f t="shared" si="3"/>
        <v>240</v>
      </c>
    </row>
    <row r="89" spans="1:38" ht="24.75" customHeight="1">
      <c r="A89" s="58" t="str">
        <f>IF(B89="", "", ROW()-2)</f>
        <v/>
      </c>
      <c r="B89" s="59" t="str">
        <f>IF(REGISTRATION!B88="", "", REGISTRATION!B88)</f>
        <v/>
      </c>
      <c r="C89" s="59" t="str">
        <f>IF(B89="", "", _xlfn.XLOOKUP(B89, REGISTRATION!B:B, REGISTRATION!C:C, ""))</f>
        <v/>
      </c>
      <c r="D89" s="55">
        <f>IFERROR(INDEX('DAY 1 SCORES'!$E$4:$E$123, MATCH(B89, 'DAY 1 SCORES'!$B$4:$B$123, 0)), "")</f>
        <v>0</v>
      </c>
      <c r="E89" s="55">
        <f>SUMIF('DAY 1 SCORES'!$B$4:$B$123, B89, 'DAY 1 SCORES'!$F$4:$F$123)</f>
        <v>0</v>
      </c>
      <c r="F89" s="56">
        <f>IFERROR(INDEX('DAY 2 SCORES'!$E$4:$E$123, MATCH(B89, 'DAY 2 SCORES'!$B$4:$B$123, 0)), "")</f>
        <v>0</v>
      </c>
      <c r="G89" s="56">
        <f>SUMIF('DAY 2 SCORES'!$B$4:$B$123, B89, 'DAY 2 SCORES'!$F$4:$F$123)</f>
        <v>0</v>
      </c>
      <c r="H89" s="55">
        <f>SUMIF('DAY 1 SCORES'!$B$4:$B$123, B89, 'DAY 1 SCORES'!$D$4:$D$123)</f>
        <v>0</v>
      </c>
      <c r="I89" s="55">
        <f>SUMIF('DAY 2 SCORES'!$B$4:$B$123, B89, 'DAY 2 SCORES'!$D$4:$D$123)</f>
        <v>0</v>
      </c>
      <c r="J89" s="55">
        <f>H89+I89</f>
        <v>0</v>
      </c>
      <c r="K89" s="56">
        <f>SUMIF('DAY 1 SCORES'!$B$4:$B$123, B89, 'DAY 1 SCORES'!$H$4:$H$123)</f>
        <v>14400</v>
      </c>
      <c r="L89" s="56">
        <f>SUMIF('DAY 2 SCORES'!$B$4:$B$123, B89, 'DAY 2 SCORES'!$H$4:$H$123)</f>
        <v>14400</v>
      </c>
      <c r="M89" s="54">
        <f>IF(OR(B89="", B89=0), 999, SUM(K89:L89))</f>
        <v>999</v>
      </c>
      <c r="N89" s="24"/>
      <c r="O89" s="24"/>
      <c r="P89" s="24"/>
      <c r="Q89" s="24"/>
      <c r="R89" s="24"/>
      <c r="S89" s="24"/>
      <c r="T89" s="24"/>
      <c r="U89" s="24"/>
      <c r="V89" s="24"/>
      <c r="W89" s="24"/>
      <c r="X89" s="24"/>
      <c r="Y89" s="24"/>
      <c r="Z89" s="24"/>
      <c r="AA89" s="24"/>
      <c r="AB89" s="24" t="str">
        <f>REGISTRATION!C88</f>
        <v/>
      </c>
      <c r="AC89" s="24">
        <f>'DAY 1 SCORES'!E90</f>
        <v>0</v>
      </c>
      <c r="AD89" s="24">
        <f>'DAY 1 SCORES'!F90</f>
        <v>0</v>
      </c>
      <c r="AE89" s="24">
        <f>'DAY 2 SCORES'!E90</f>
        <v>0</v>
      </c>
      <c r="AF89" s="24">
        <f>'DAY 2 SCORES'!F90</f>
        <v>0</v>
      </c>
      <c r="AG89" s="24">
        <f>'DAY 1 SCORES'!G90</f>
        <v>0</v>
      </c>
      <c r="AH89" s="24">
        <f>'DAY 2 SCORES'!G90</f>
        <v>0</v>
      </c>
      <c r="AI89" s="24">
        <f t="shared" si="2"/>
        <v>0</v>
      </c>
      <c r="AJ89" s="24">
        <f>'DAY 1 SCORES'!H90</f>
        <v>120</v>
      </c>
      <c r="AK89" s="24">
        <f>'DAY 2 SCORES'!H90</f>
        <v>120</v>
      </c>
      <c r="AL89" s="24">
        <f t="shared" si="3"/>
        <v>240</v>
      </c>
    </row>
    <row r="90" spans="1:38" ht="24.75" customHeight="1">
      <c r="A90" s="58" t="str">
        <f>IF(B90="", "", ROW()-2)</f>
        <v/>
      </c>
      <c r="B90" s="59" t="str">
        <f>IF(REGISTRATION!B89="", "", REGISTRATION!B89)</f>
        <v/>
      </c>
      <c r="C90" s="59" t="str">
        <f>IF(B90="", "", _xlfn.XLOOKUP(B90, REGISTRATION!B:B, REGISTRATION!C:C, ""))</f>
        <v/>
      </c>
      <c r="D90" s="55">
        <f>IFERROR(INDEX('DAY 1 SCORES'!$E$4:$E$123, MATCH(B90, 'DAY 1 SCORES'!$B$4:$B$123, 0)), "")</f>
        <v>0</v>
      </c>
      <c r="E90" s="55">
        <f>SUMIF('DAY 1 SCORES'!$B$4:$B$123, B90, 'DAY 1 SCORES'!$F$4:$F$123)</f>
        <v>0</v>
      </c>
      <c r="F90" s="56">
        <f>IFERROR(INDEX('DAY 2 SCORES'!$E$4:$E$123, MATCH(B90, 'DAY 2 SCORES'!$B$4:$B$123, 0)), "")</f>
        <v>0</v>
      </c>
      <c r="G90" s="56">
        <f>SUMIF('DAY 2 SCORES'!$B$4:$B$123, B90, 'DAY 2 SCORES'!$F$4:$F$123)</f>
        <v>0</v>
      </c>
      <c r="H90" s="55">
        <f>SUMIF('DAY 1 SCORES'!$B$4:$B$123, B90, 'DAY 1 SCORES'!$D$4:$D$123)</f>
        <v>0</v>
      </c>
      <c r="I90" s="55">
        <f>SUMIF('DAY 2 SCORES'!$B$4:$B$123, B90, 'DAY 2 SCORES'!$D$4:$D$123)</f>
        <v>0</v>
      </c>
      <c r="J90" s="55">
        <f>H90+I90</f>
        <v>0</v>
      </c>
      <c r="K90" s="56">
        <f>SUMIF('DAY 1 SCORES'!$B$4:$B$123, B90, 'DAY 1 SCORES'!$H$4:$H$123)</f>
        <v>14400</v>
      </c>
      <c r="L90" s="56">
        <f>SUMIF('DAY 2 SCORES'!$B$4:$B$123, B90, 'DAY 2 SCORES'!$H$4:$H$123)</f>
        <v>14400</v>
      </c>
      <c r="M90" s="54">
        <f>IF(OR(B90="", B90=0), 999, SUM(K90:L90))</f>
        <v>999</v>
      </c>
      <c r="N90" s="24"/>
      <c r="O90" s="24"/>
      <c r="P90" s="24"/>
      <c r="Q90" s="24"/>
      <c r="R90" s="24"/>
      <c r="S90" s="24"/>
      <c r="T90" s="24"/>
      <c r="U90" s="24"/>
      <c r="V90" s="24"/>
      <c r="W90" s="24"/>
      <c r="X90" s="24"/>
      <c r="Y90" s="24"/>
      <c r="Z90" s="24"/>
      <c r="AA90" s="24"/>
      <c r="AB90" s="24" t="str">
        <f>REGISTRATION!C89</f>
        <v/>
      </c>
      <c r="AC90" s="24">
        <f>'DAY 1 SCORES'!E91</f>
        <v>0</v>
      </c>
      <c r="AD90" s="24">
        <f>'DAY 1 SCORES'!F91</f>
        <v>0</v>
      </c>
      <c r="AE90" s="24">
        <f>'DAY 2 SCORES'!E91</f>
        <v>0</v>
      </c>
      <c r="AF90" s="24">
        <f>'DAY 2 SCORES'!F91</f>
        <v>0</v>
      </c>
      <c r="AG90" s="24">
        <f>'DAY 1 SCORES'!G91</f>
        <v>0</v>
      </c>
      <c r="AH90" s="24">
        <f>'DAY 2 SCORES'!G91</f>
        <v>0</v>
      </c>
      <c r="AI90" s="24">
        <f t="shared" si="2"/>
        <v>0</v>
      </c>
      <c r="AJ90" s="24">
        <f>'DAY 1 SCORES'!H91</f>
        <v>120</v>
      </c>
      <c r="AK90" s="24">
        <f>'DAY 2 SCORES'!H91</f>
        <v>120</v>
      </c>
      <c r="AL90" s="24">
        <f t="shared" si="3"/>
        <v>240</v>
      </c>
    </row>
    <row r="91" spans="1:38" ht="24.75" customHeight="1">
      <c r="A91" s="58" t="str">
        <f>IF(B91="", "", ROW()-2)</f>
        <v/>
      </c>
      <c r="B91" s="59" t="str">
        <f>IF(REGISTRATION!B90="", "", REGISTRATION!B90)</f>
        <v/>
      </c>
      <c r="C91" s="59" t="str">
        <f>IF(B91="", "", _xlfn.XLOOKUP(B91, REGISTRATION!B:B, REGISTRATION!C:C, ""))</f>
        <v/>
      </c>
      <c r="D91" s="55">
        <f>IFERROR(INDEX('DAY 1 SCORES'!$E$4:$E$123, MATCH(B91, 'DAY 1 SCORES'!$B$4:$B$123, 0)), "")</f>
        <v>0</v>
      </c>
      <c r="E91" s="55">
        <f>SUMIF('DAY 1 SCORES'!$B$4:$B$123, B91, 'DAY 1 SCORES'!$F$4:$F$123)</f>
        <v>0</v>
      </c>
      <c r="F91" s="56">
        <f>IFERROR(INDEX('DAY 2 SCORES'!$E$4:$E$123, MATCH(B91, 'DAY 2 SCORES'!$B$4:$B$123, 0)), "")</f>
        <v>0</v>
      </c>
      <c r="G91" s="56">
        <f>SUMIF('DAY 2 SCORES'!$B$4:$B$123, B91, 'DAY 2 SCORES'!$F$4:$F$123)</f>
        <v>0</v>
      </c>
      <c r="H91" s="55">
        <f>SUMIF('DAY 1 SCORES'!$B$4:$B$123, B91, 'DAY 1 SCORES'!$D$4:$D$123)</f>
        <v>0</v>
      </c>
      <c r="I91" s="55">
        <f>SUMIF('DAY 2 SCORES'!$B$4:$B$123, B91, 'DAY 2 SCORES'!$D$4:$D$123)</f>
        <v>0</v>
      </c>
      <c r="J91" s="55">
        <f>H91+I91</f>
        <v>0</v>
      </c>
      <c r="K91" s="56">
        <f>SUMIF('DAY 1 SCORES'!$B$4:$B$123, B91, 'DAY 1 SCORES'!$H$4:$H$123)</f>
        <v>14400</v>
      </c>
      <c r="L91" s="56">
        <f>SUMIF('DAY 2 SCORES'!$B$4:$B$123, B91, 'DAY 2 SCORES'!$H$4:$H$123)</f>
        <v>14400</v>
      </c>
      <c r="M91" s="54">
        <f>IF(OR(B91="", B91=0), 999, SUM(K91:L91))</f>
        <v>999</v>
      </c>
      <c r="N91" s="24"/>
      <c r="O91" s="24"/>
      <c r="P91" s="24"/>
      <c r="Q91" s="24"/>
      <c r="R91" s="24"/>
      <c r="S91" s="24"/>
      <c r="T91" s="24"/>
      <c r="U91" s="24"/>
      <c r="V91" s="24"/>
      <c r="W91" s="24"/>
      <c r="X91" s="24"/>
      <c r="Y91" s="24"/>
      <c r="Z91" s="24"/>
      <c r="AA91" s="24"/>
      <c r="AB91" s="24" t="str">
        <f>REGISTRATION!C90</f>
        <v/>
      </c>
      <c r="AC91" s="24">
        <f>'DAY 1 SCORES'!E92</f>
        <v>0</v>
      </c>
      <c r="AD91" s="24">
        <f>'DAY 1 SCORES'!F92</f>
        <v>0</v>
      </c>
      <c r="AE91" s="24">
        <f>'DAY 2 SCORES'!E92</f>
        <v>0</v>
      </c>
      <c r="AF91" s="24">
        <f>'DAY 2 SCORES'!F92</f>
        <v>0</v>
      </c>
      <c r="AG91" s="24">
        <f>'DAY 1 SCORES'!G92</f>
        <v>0</v>
      </c>
      <c r="AH91" s="24">
        <f>'DAY 2 SCORES'!G92</f>
        <v>0</v>
      </c>
      <c r="AI91" s="24">
        <f t="shared" si="2"/>
        <v>0</v>
      </c>
      <c r="AJ91" s="24">
        <f>'DAY 1 SCORES'!H92</f>
        <v>120</v>
      </c>
      <c r="AK91" s="24">
        <f>'DAY 2 SCORES'!H92</f>
        <v>120</v>
      </c>
      <c r="AL91" s="24">
        <f t="shared" si="3"/>
        <v>240</v>
      </c>
    </row>
    <row r="92" spans="1:38" ht="24.75" customHeight="1">
      <c r="A92" s="58" t="str">
        <f>IF(B92="", "", ROW()-2)</f>
        <v/>
      </c>
      <c r="B92" s="59" t="str">
        <f>IF(REGISTRATION!B91="", "", REGISTRATION!B91)</f>
        <v/>
      </c>
      <c r="C92" s="59" t="str">
        <f>IF(B92="", "", _xlfn.XLOOKUP(B92, REGISTRATION!B:B, REGISTRATION!C:C, ""))</f>
        <v/>
      </c>
      <c r="D92" s="55">
        <f>IFERROR(INDEX('DAY 1 SCORES'!$E$4:$E$123, MATCH(B92, 'DAY 1 SCORES'!$B$4:$B$123, 0)), "")</f>
        <v>0</v>
      </c>
      <c r="E92" s="55">
        <f>SUMIF('DAY 1 SCORES'!$B$4:$B$123, B92, 'DAY 1 SCORES'!$F$4:$F$123)</f>
        <v>0</v>
      </c>
      <c r="F92" s="56">
        <f>IFERROR(INDEX('DAY 2 SCORES'!$E$4:$E$123, MATCH(B92, 'DAY 2 SCORES'!$B$4:$B$123, 0)), "")</f>
        <v>0</v>
      </c>
      <c r="G92" s="56">
        <f>SUMIF('DAY 2 SCORES'!$B$4:$B$123, B92, 'DAY 2 SCORES'!$F$4:$F$123)</f>
        <v>0</v>
      </c>
      <c r="H92" s="55">
        <f>SUMIF('DAY 1 SCORES'!$B$4:$B$123, B92, 'DAY 1 SCORES'!$D$4:$D$123)</f>
        <v>0</v>
      </c>
      <c r="I92" s="55">
        <f>SUMIF('DAY 2 SCORES'!$B$4:$B$123, B92, 'DAY 2 SCORES'!$D$4:$D$123)</f>
        <v>0</v>
      </c>
      <c r="J92" s="55">
        <f>H92+I92</f>
        <v>0</v>
      </c>
      <c r="K92" s="56">
        <f>SUMIF('DAY 1 SCORES'!$B$4:$B$123, B92, 'DAY 1 SCORES'!$H$4:$H$123)</f>
        <v>14400</v>
      </c>
      <c r="L92" s="56">
        <f>SUMIF('DAY 2 SCORES'!$B$4:$B$123, B92, 'DAY 2 SCORES'!$H$4:$H$123)</f>
        <v>14400</v>
      </c>
      <c r="M92" s="54">
        <f>IF(OR(B92="", B92=0), 999, SUM(K92:L92))</f>
        <v>999</v>
      </c>
      <c r="N92" s="24"/>
      <c r="O92" s="24"/>
      <c r="P92" s="24"/>
      <c r="Q92" s="24"/>
      <c r="R92" s="24"/>
      <c r="S92" s="24"/>
      <c r="T92" s="24"/>
      <c r="U92" s="24"/>
      <c r="V92" s="24"/>
      <c r="W92" s="24"/>
      <c r="X92" s="24"/>
      <c r="Y92" s="24"/>
      <c r="Z92" s="24"/>
      <c r="AA92" s="24"/>
      <c r="AB92" s="24" t="str">
        <f>REGISTRATION!C91</f>
        <v/>
      </c>
      <c r="AC92" s="24">
        <f>'DAY 1 SCORES'!E93</f>
        <v>0</v>
      </c>
      <c r="AD92" s="24">
        <f>'DAY 1 SCORES'!F93</f>
        <v>0</v>
      </c>
      <c r="AE92" s="24">
        <f>'DAY 2 SCORES'!E93</f>
        <v>0</v>
      </c>
      <c r="AF92" s="24">
        <f>'DAY 2 SCORES'!F93</f>
        <v>0</v>
      </c>
      <c r="AG92" s="24">
        <f>'DAY 1 SCORES'!G93</f>
        <v>0</v>
      </c>
      <c r="AH92" s="24">
        <f>'DAY 2 SCORES'!G93</f>
        <v>0</v>
      </c>
      <c r="AI92" s="24">
        <f t="shared" si="2"/>
        <v>0</v>
      </c>
      <c r="AJ92" s="24">
        <f>'DAY 1 SCORES'!H93</f>
        <v>120</v>
      </c>
      <c r="AK92" s="24">
        <f>'DAY 2 SCORES'!H93</f>
        <v>120</v>
      </c>
      <c r="AL92" s="24">
        <f t="shared" si="3"/>
        <v>240</v>
      </c>
    </row>
    <row r="93" spans="1:38" ht="24.75" customHeight="1">
      <c r="A93" s="58" t="str">
        <f>IF(B93="", "", ROW()-2)</f>
        <v/>
      </c>
      <c r="B93" s="59" t="str">
        <f>IF(REGISTRATION!B92="", "", REGISTRATION!B92)</f>
        <v/>
      </c>
      <c r="C93" s="59" t="str">
        <f>IF(B93="", "", _xlfn.XLOOKUP(B93, REGISTRATION!B:B, REGISTRATION!C:C, ""))</f>
        <v/>
      </c>
      <c r="D93" s="55">
        <f>IFERROR(INDEX('DAY 1 SCORES'!$E$4:$E$123, MATCH(B93, 'DAY 1 SCORES'!$B$4:$B$123, 0)), "")</f>
        <v>0</v>
      </c>
      <c r="E93" s="55">
        <f>SUMIF('DAY 1 SCORES'!$B$4:$B$123, B93, 'DAY 1 SCORES'!$F$4:$F$123)</f>
        <v>0</v>
      </c>
      <c r="F93" s="56">
        <f>IFERROR(INDEX('DAY 2 SCORES'!$E$4:$E$123, MATCH(B93, 'DAY 2 SCORES'!$B$4:$B$123, 0)), "")</f>
        <v>0</v>
      </c>
      <c r="G93" s="56">
        <f>SUMIF('DAY 2 SCORES'!$B$4:$B$123, B93, 'DAY 2 SCORES'!$F$4:$F$123)</f>
        <v>0</v>
      </c>
      <c r="H93" s="55">
        <f>SUMIF('DAY 1 SCORES'!$B$4:$B$123, B93, 'DAY 1 SCORES'!$D$4:$D$123)</f>
        <v>0</v>
      </c>
      <c r="I93" s="55">
        <f>SUMIF('DAY 2 SCORES'!$B$4:$B$123, B93, 'DAY 2 SCORES'!$D$4:$D$123)</f>
        <v>0</v>
      </c>
      <c r="J93" s="55">
        <f>H93+I93</f>
        <v>0</v>
      </c>
      <c r="K93" s="56">
        <f>SUMIF('DAY 1 SCORES'!$B$4:$B$123, B93, 'DAY 1 SCORES'!$H$4:$H$123)</f>
        <v>14400</v>
      </c>
      <c r="L93" s="56">
        <f>SUMIF('DAY 2 SCORES'!$B$4:$B$123, B93, 'DAY 2 SCORES'!$H$4:$H$123)</f>
        <v>14400</v>
      </c>
      <c r="M93" s="54">
        <f>IF(OR(B93="", B93=0), 999, SUM(K93:L93))</f>
        <v>999</v>
      </c>
      <c r="N93" s="24"/>
      <c r="O93" s="24"/>
      <c r="P93" s="24"/>
      <c r="Q93" s="24"/>
      <c r="R93" s="24"/>
      <c r="S93" s="24"/>
      <c r="T93" s="24"/>
      <c r="U93" s="24"/>
      <c r="V93" s="24"/>
      <c r="W93" s="24"/>
      <c r="X93" s="24"/>
      <c r="Y93" s="24"/>
      <c r="Z93" s="24"/>
      <c r="AA93" s="24"/>
      <c r="AB93" s="24" t="str">
        <f>REGISTRATION!C92</f>
        <v/>
      </c>
      <c r="AC93" s="24">
        <f>'DAY 1 SCORES'!E94</f>
        <v>0</v>
      </c>
      <c r="AD93" s="24">
        <f>'DAY 1 SCORES'!F94</f>
        <v>0</v>
      </c>
      <c r="AE93" s="24">
        <f>'DAY 2 SCORES'!E94</f>
        <v>0</v>
      </c>
      <c r="AF93" s="24">
        <f>'DAY 2 SCORES'!F94</f>
        <v>0</v>
      </c>
      <c r="AG93" s="24">
        <f>'DAY 1 SCORES'!G94</f>
        <v>0</v>
      </c>
      <c r="AH93" s="24">
        <f>'DAY 2 SCORES'!G94</f>
        <v>0</v>
      </c>
      <c r="AI93" s="24">
        <f t="shared" si="2"/>
        <v>0</v>
      </c>
      <c r="AJ93" s="24">
        <f>'DAY 1 SCORES'!H94</f>
        <v>120</v>
      </c>
      <c r="AK93" s="24">
        <f>'DAY 2 SCORES'!H94</f>
        <v>120</v>
      </c>
      <c r="AL93" s="24">
        <f t="shared" si="3"/>
        <v>240</v>
      </c>
    </row>
    <row r="94" spans="1:38" ht="24.75" customHeight="1">
      <c r="A94" s="58" t="str">
        <f>IF(B94="", "", ROW()-2)</f>
        <v/>
      </c>
      <c r="B94" s="59" t="str">
        <f>IF(REGISTRATION!B93="", "", REGISTRATION!B93)</f>
        <v/>
      </c>
      <c r="C94" s="59" t="str">
        <f>IF(B94="", "", _xlfn.XLOOKUP(B94, REGISTRATION!B:B, REGISTRATION!C:C, ""))</f>
        <v/>
      </c>
      <c r="D94" s="55">
        <f>IFERROR(INDEX('DAY 1 SCORES'!$E$4:$E$123, MATCH(B94, 'DAY 1 SCORES'!$B$4:$B$123, 0)), "")</f>
        <v>0</v>
      </c>
      <c r="E94" s="55">
        <f>SUMIF('DAY 1 SCORES'!$B$4:$B$123, B94, 'DAY 1 SCORES'!$F$4:$F$123)</f>
        <v>0</v>
      </c>
      <c r="F94" s="56">
        <f>IFERROR(INDEX('DAY 2 SCORES'!$E$4:$E$123, MATCH(B94, 'DAY 2 SCORES'!$B$4:$B$123, 0)), "")</f>
        <v>0</v>
      </c>
      <c r="G94" s="56">
        <f>SUMIF('DAY 2 SCORES'!$B$4:$B$123, B94, 'DAY 2 SCORES'!$F$4:$F$123)</f>
        <v>0</v>
      </c>
      <c r="H94" s="55">
        <f>SUMIF('DAY 1 SCORES'!$B$4:$B$123, B94, 'DAY 1 SCORES'!$D$4:$D$123)</f>
        <v>0</v>
      </c>
      <c r="I94" s="55">
        <f>SUMIF('DAY 2 SCORES'!$B$4:$B$123, B94, 'DAY 2 SCORES'!$D$4:$D$123)</f>
        <v>0</v>
      </c>
      <c r="J94" s="55">
        <f>H94+I94</f>
        <v>0</v>
      </c>
      <c r="K94" s="56">
        <f>SUMIF('DAY 1 SCORES'!$B$4:$B$123, B94, 'DAY 1 SCORES'!$H$4:$H$123)</f>
        <v>14400</v>
      </c>
      <c r="L94" s="56">
        <f>SUMIF('DAY 2 SCORES'!$B$4:$B$123, B94, 'DAY 2 SCORES'!$H$4:$H$123)</f>
        <v>14400</v>
      </c>
      <c r="M94" s="54">
        <f>IF(OR(B94="", B94=0), 999, SUM(K94:L94))</f>
        <v>999</v>
      </c>
      <c r="N94" s="24"/>
      <c r="O94" s="24"/>
      <c r="P94" s="24"/>
      <c r="Q94" s="24"/>
      <c r="R94" s="24"/>
      <c r="S94" s="24"/>
      <c r="T94" s="24"/>
      <c r="U94" s="24"/>
      <c r="V94" s="24"/>
      <c r="W94" s="24"/>
      <c r="X94" s="24"/>
      <c r="Y94" s="24"/>
      <c r="Z94" s="24"/>
      <c r="AA94" s="24"/>
      <c r="AB94" s="24" t="str">
        <f>REGISTRATION!C93</f>
        <v/>
      </c>
      <c r="AC94" s="24">
        <f>'DAY 1 SCORES'!E95</f>
        <v>0</v>
      </c>
      <c r="AD94" s="24">
        <f>'DAY 1 SCORES'!F95</f>
        <v>0</v>
      </c>
      <c r="AE94" s="24">
        <f>'DAY 2 SCORES'!E95</f>
        <v>0</v>
      </c>
      <c r="AF94" s="24">
        <f>'DAY 2 SCORES'!F95</f>
        <v>0</v>
      </c>
      <c r="AG94" s="24">
        <f>'DAY 1 SCORES'!G95</f>
        <v>0</v>
      </c>
      <c r="AH94" s="24">
        <f>'DAY 2 SCORES'!G95</f>
        <v>0</v>
      </c>
      <c r="AI94" s="24">
        <f t="shared" si="2"/>
        <v>0</v>
      </c>
      <c r="AJ94" s="24">
        <f>'DAY 1 SCORES'!H95</f>
        <v>120</v>
      </c>
      <c r="AK94" s="24">
        <f>'DAY 2 SCORES'!H95</f>
        <v>120</v>
      </c>
      <c r="AL94" s="24">
        <f t="shared" si="3"/>
        <v>240</v>
      </c>
    </row>
    <row r="95" spans="1:38" ht="24.75" customHeight="1">
      <c r="A95" s="58" t="str">
        <f>IF(B95="", "", ROW()-2)</f>
        <v/>
      </c>
      <c r="B95" s="59" t="str">
        <f>IF(REGISTRATION!B94="", "", REGISTRATION!B94)</f>
        <v/>
      </c>
      <c r="C95" s="59" t="str">
        <f>IF(B95="", "", _xlfn.XLOOKUP(B95, REGISTRATION!B:B, REGISTRATION!C:C, ""))</f>
        <v/>
      </c>
      <c r="D95" s="55">
        <f>IFERROR(INDEX('DAY 1 SCORES'!$E$4:$E$123, MATCH(B95, 'DAY 1 SCORES'!$B$4:$B$123, 0)), "")</f>
        <v>0</v>
      </c>
      <c r="E95" s="55">
        <f>SUMIF('DAY 1 SCORES'!$B$4:$B$123, B95, 'DAY 1 SCORES'!$F$4:$F$123)</f>
        <v>0</v>
      </c>
      <c r="F95" s="56">
        <f>IFERROR(INDEX('DAY 2 SCORES'!$E$4:$E$123, MATCH(B95, 'DAY 2 SCORES'!$B$4:$B$123, 0)), "")</f>
        <v>0</v>
      </c>
      <c r="G95" s="56">
        <f>SUMIF('DAY 2 SCORES'!$B$4:$B$123, B95, 'DAY 2 SCORES'!$F$4:$F$123)</f>
        <v>0</v>
      </c>
      <c r="H95" s="55">
        <f>SUMIF('DAY 1 SCORES'!$B$4:$B$123, B95, 'DAY 1 SCORES'!$D$4:$D$123)</f>
        <v>0</v>
      </c>
      <c r="I95" s="55">
        <f>SUMIF('DAY 2 SCORES'!$B$4:$B$123, B95, 'DAY 2 SCORES'!$D$4:$D$123)</f>
        <v>0</v>
      </c>
      <c r="J95" s="55">
        <f>H95+I95</f>
        <v>0</v>
      </c>
      <c r="K95" s="56">
        <f>SUMIF('DAY 1 SCORES'!$B$4:$B$123, B95, 'DAY 1 SCORES'!$H$4:$H$123)</f>
        <v>14400</v>
      </c>
      <c r="L95" s="56">
        <f>SUMIF('DAY 2 SCORES'!$B$4:$B$123, B95, 'DAY 2 SCORES'!$H$4:$H$123)</f>
        <v>14400</v>
      </c>
      <c r="M95" s="54">
        <f>IF(OR(B95="", B95=0), 999, SUM(K95:L95))</f>
        <v>999</v>
      </c>
      <c r="N95" s="24"/>
      <c r="O95" s="24"/>
      <c r="P95" s="24"/>
      <c r="Q95" s="24"/>
      <c r="R95" s="24"/>
      <c r="S95" s="24"/>
      <c r="T95" s="24"/>
      <c r="U95" s="24"/>
      <c r="V95" s="24"/>
      <c r="W95" s="24"/>
      <c r="X95" s="24"/>
      <c r="Y95" s="24"/>
      <c r="Z95" s="24"/>
      <c r="AA95" s="24"/>
      <c r="AB95" s="24" t="str">
        <f>REGISTRATION!C94</f>
        <v/>
      </c>
      <c r="AC95" s="24">
        <f>'DAY 1 SCORES'!E96</f>
        <v>0</v>
      </c>
      <c r="AD95" s="24">
        <f>'DAY 1 SCORES'!F96</f>
        <v>0</v>
      </c>
      <c r="AE95" s="24">
        <f>'DAY 2 SCORES'!E96</f>
        <v>0</v>
      </c>
      <c r="AF95" s="24">
        <f>'DAY 2 SCORES'!F96</f>
        <v>0</v>
      </c>
      <c r="AG95" s="24">
        <f>'DAY 1 SCORES'!G96</f>
        <v>0</v>
      </c>
      <c r="AH95" s="24">
        <f>'DAY 2 SCORES'!G96</f>
        <v>0</v>
      </c>
      <c r="AI95" s="24">
        <f t="shared" si="2"/>
        <v>0</v>
      </c>
      <c r="AJ95" s="24">
        <f>'DAY 1 SCORES'!H96</f>
        <v>120</v>
      </c>
      <c r="AK95" s="24">
        <f>'DAY 2 SCORES'!H96</f>
        <v>120</v>
      </c>
      <c r="AL95" s="24">
        <f t="shared" si="3"/>
        <v>240</v>
      </c>
    </row>
    <row r="96" spans="1:38" ht="24.75" customHeight="1">
      <c r="A96" s="58" t="str">
        <f>IF(B96="", "", ROW()-2)</f>
        <v/>
      </c>
      <c r="B96" s="59" t="str">
        <f>IF(REGISTRATION!B95="", "", REGISTRATION!B95)</f>
        <v/>
      </c>
      <c r="C96" s="59" t="str">
        <f>IF(B96="", "", _xlfn.XLOOKUP(B96, REGISTRATION!B:B, REGISTRATION!C:C, ""))</f>
        <v/>
      </c>
      <c r="D96" s="55">
        <f>IFERROR(INDEX('DAY 1 SCORES'!$E$4:$E$123, MATCH(B96, 'DAY 1 SCORES'!$B$4:$B$123, 0)), "")</f>
        <v>0</v>
      </c>
      <c r="E96" s="55">
        <f>SUMIF('DAY 1 SCORES'!$B$4:$B$123, B96, 'DAY 1 SCORES'!$F$4:$F$123)</f>
        <v>0</v>
      </c>
      <c r="F96" s="56">
        <f>IFERROR(INDEX('DAY 2 SCORES'!$E$4:$E$123, MATCH(B96, 'DAY 2 SCORES'!$B$4:$B$123, 0)), "")</f>
        <v>0</v>
      </c>
      <c r="G96" s="56">
        <f>SUMIF('DAY 2 SCORES'!$B$4:$B$123, B96, 'DAY 2 SCORES'!$F$4:$F$123)</f>
        <v>0</v>
      </c>
      <c r="H96" s="55">
        <f>SUMIF('DAY 1 SCORES'!$B$4:$B$123, B96, 'DAY 1 SCORES'!$D$4:$D$123)</f>
        <v>0</v>
      </c>
      <c r="I96" s="55">
        <f>SUMIF('DAY 2 SCORES'!$B$4:$B$123, B96, 'DAY 2 SCORES'!$D$4:$D$123)</f>
        <v>0</v>
      </c>
      <c r="J96" s="55">
        <f>H96+I96</f>
        <v>0</v>
      </c>
      <c r="K96" s="56">
        <f>SUMIF('DAY 1 SCORES'!$B$4:$B$123, B96, 'DAY 1 SCORES'!$H$4:$H$123)</f>
        <v>14400</v>
      </c>
      <c r="L96" s="56">
        <f>SUMIF('DAY 2 SCORES'!$B$4:$B$123, B96, 'DAY 2 SCORES'!$H$4:$H$123)</f>
        <v>14400</v>
      </c>
      <c r="M96" s="54">
        <f>IF(OR(B96="", B96=0), 999, SUM(K96:L96))</f>
        <v>999</v>
      </c>
      <c r="N96" s="24"/>
      <c r="O96" s="24"/>
      <c r="P96" s="24"/>
      <c r="Q96" s="24"/>
      <c r="R96" s="24"/>
      <c r="S96" s="24"/>
      <c r="T96" s="24"/>
      <c r="U96" s="24"/>
      <c r="V96" s="24"/>
      <c r="W96" s="24"/>
      <c r="X96" s="24"/>
      <c r="Y96" s="24"/>
      <c r="Z96" s="24"/>
      <c r="AA96" s="24"/>
      <c r="AB96" s="24" t="str">
        <f>REGISTRATION!C95</f>
        <v/>
      </c>
      <c r="AC96" s="24">
        <f>'DAY 1 SCORES'!E97</f>
        <v>0</v>
      </c>
      <c r="AD96" s="24">
        <f>'DAY 1 SCORES'!F97</f>
        <v>0</v>
      </c>
      <c r="AE96" s="24">
        <f>'DAY 2 SCORES'!E97</f>
        <v>0</v>
      </c>
      <c r="AF96" s="24">
        <f>'DAY 2 SCORES'!F97</f>
        <v>0</v>
      </c>
      <c r="AG96" s="24">
        <f>'DAY 1 SCORES'!G97</f>
        <v>0</v>
      </c>
      <c r="AH96" s="24">
        <f>'DAY 2 SCORES'!G97</f>
        <v>0</v>
      </c>
      <c r="AI96" s="24">
        <f t="shared" si="2"/>
        <v>0</v>
      </c>
      <c r="AJ96" s="24">
        <f>'DAY 1 SCORES'!H97</f>
        <v>120</v>
      </c>
      <c r="AK96" s="24">
        <f>'DAY 2 SCORES'!H97</f>
        <v>120</v>
      </c>
      <c r="AL96" s="24">
        <f t="shared" si="3"/>
        <v>240</v>
      </c>
    </row>
    <row r="97" spans="1:38" ht="24.75" customHeight="1">
      <c r="A97" s="58" t="str">
        <f>IF(B97="", "", ROW()-2)</f>
        <v/>
      </c>
      <c r="B97" s="59" t="str">
        <f>IF(REGISTRATION!B96="", "", REGISTRATION!B96)</f>
        <v/>
      </c>
      <c r="C97" s="59" t="str">
        <f>IF(B97="", "", _xlfn.XLOOKUP(B97, REGISTRATION!B:B, REGISTRATION!C:C, ""))</f>
        <v/>
      </c>
      <c r="D97" s="55">
        <f>IFERROR(INDEX('DAY 1 SCORES'!$E$4:$E$123, MATCH(B97, 'DAY 1 SCORES'!$B$4:$B$123, 0)), "")</f>
        <v>0</v>
      </c>
      <c r="E97" s="55">
        <f>SUMIF('DAY 1 SCORES'!$B$4:$B$123, B97, 'DAY 1 SCORES'!$F$4:$F$123)</f>
        <v>0</v>
      </c>
      <c r="F97" s="56">
        <f>IFERROR(INDEX('DAY 2 SCORES'!$E$4:$E$123, MATCH(B97, 'DAY 2 SCORES'!$B$4:$B$123, 0)), "")</f>
        <v>0</v>
      </c>
      <c r="G97" s="56">
        <f>SUMIF('DAY 2 SCORES'!$B$4:$B$123, B97, 'DAY 2 SCORES'!$F$4:$F$123)</f>
        <v>0</v>
      </c>
      <c r="H97" s="55">
        <f>SUMIF('DAY 1 SCORES'!$B$4:$B$123, B97, 'DAY 1 SCORES'!$D$4:$D$123)</f>
        <v>0</v>
      </c>
      <c r="I97" s="55">
        <f>SUMIF('DAY 2 SCORES'!$B$4:$B$123, B97, 'DAY 2 SCORES'!$D$4:$D$123)</f>
        <v>0</v>
      </c>
      <c r="J97" s="55">
        <f>H97+I97</f>
        <v>0</v>
      </c>
      <c r="K97" s="56">
        <f>SUMIF('DAY 1 SCORES'!$B$4:$B$123, B97, 'DAY 1 SCORES'!$H$4:$H$123)</f>
        <v>14400</v>
      </c>
      <c r="L97" s="56">
        <f>SUMIF('DAY 2 SCORES'!$B$4:$B$123, B97, 'DAY 2 SCORES'!$H$4:$H$123)</f>
        <v>14400</v>
      </c>
      <c r="M97" s="54">
        <f>IF(OR(B97="", B97=0), 999, SUM(K97:L97))</f>
        <v>999</v>
      </c>
      <c r="N97" s="24"/>
      <c r="O97" s="24"/>
      <c r="P97" s="24"/>
      <c r="Q97" s="24"/>
      <c r="R97" s="24"/>
      <c r="S97" s="24"/>
      <c r="T97" s="24"/>
      <c r="U97" s="24"/>
      <c r="V97" s="24"/>
      <c r="W97" s="24"/>
      <c r="X97" s="24"/>
      <c r="Y97" s="24"/>
      <c r="Z97" s="24"/>
      <c r="AA97" s="24"/>
      <c r="AB97" s="24" t="str">
        <f>REGISTRATION!C96</f>
        <v/>
      </c>
      <c r="AC97" s="24">
        <f>'DAY 1 SCORES'!E98</f>
        <v>0</v>
      </c>
      <c r="AD97" s="24">
        <f>'DAY 1 SCORES'!F98</f>
        <v>0</v>
      </c>
      <c r="AE97" s="24">
        <f>'DAY 2 SCORES'!E98</f>
        <v>0</v>
      </c>
      <c r="AF97" s="24">
        <f>'DAY 2 SCORES'!F98</f>
        <v>0</v>
      </c>
      <c r="AG97" s="24">
        <f>'DAY 1 SCORES'!G98</f>
        <v>0</v>
      </c>
      <c r="AH97" s="24">
        <f>'DAY 2 SCORES'!G98</f>
        <v>0</v>
      </c>
      <c r="AI97" s="24">
        <f t="shared" si="2"/>
        <v>0</v>
      </c>
      <c r="AJ97" s="24">
        <f>'DAY 1 SCORES'!H98</f>
        <v>120</v>
      </c>
      <c r="AK97" s="24">
        <f>'DAY 2 SCORES'!H98</f>
        <v>120</v>
      </c>
      <c r="AL97" s="24">
        <f t="shared" si="3"/>
        <v>240</v>
      </c>
    </row>
    <row r="98" spans="1:38" ht="24.75" customHeight="1">
      <c r="A98" s="58" t="str">
        <f>IF(B98="", "", ROW()-2)</f>
        <v/>
      </c>
      <c r="B98" s="59" t="str">
        <f>IF(REGISTRATION!B97="", "", REGISTRATION!B97)</f>
        <v/>
      </c>
      <c r="C98" s="59" t="str">
        <f>IF(B98="", "", _xlfn.XLOOKUP(B98, REGISTRATION!B:B, REGISTRATION!C:C, ""))</f>
        <v/>
      </c>
      <c r="D98" s="55">
        <f>IFERROR(INDEX('DAY 1 SCORES'!$E$4:$E$123, MATCH(B98, 'DAY 1 SCORES'!$B$4:$B$123, 0)), "")</f>
        <v>0</v>
      </c>
      <c r="E98" s="55">
        <f>SUMIF('DAY 1 SCORES'!$B$4:$B$123, B98, 'DAY 1 SCORES'!$F$4:$F$123)</f>
        <v>0</v>
      </c>
      <c r="F98" s="56">
        <f>IFERROR(INDEX('DAY 2 SCORES'!$E$4:$E$123, MATCH(B98, 'DAY 2 SCORES'!$B$4:$B$123, 0)), "")</f>
        <v>0</v>
      </c>
      <c r="G98" s="56">
        <f>SUMIF('DAY 2 SCORES'!$B$4:$B$123, B98, 'DAY 2 SCORES'!$F$4:$F$123)</f>
        <v>0</v>
      </c>
      <c r="H98" s="55">
        <f>SUMIF('DAY 1 SCORES'!$B$4:$B$123, B98, 'DAY 1 SCORES'!$D$4:$D$123)</f>
        <v>0</v>
      </c>
      <c r="I98" s="55">
        <f>SUMIF('DAY 2 SCORES'!$B$4:$B$123, B98, 'DAY 2 SCORES'!$D$4:$D$123)</f>
        <v>0</v>
      </c>
      <c r="J98" s="55">
        <f>H98+I98</f>
        <v>0</v>
      </c>
      <c r="K98" s="56">
        <f>SUMIF('DAY 1 SCORES'!$B$4:$B$123, B98, 'DAY 1 SCORES'!$H$4:$H$123)</f>
        <v>14400</v>
      </c>
      <c r="L98" s="56">
        <f>SUMIF('DAY 2 SCORES'!$B$4:$B$123, B98, 'DAY 2 SCORES'!$H$4:$H$123)</f>
        <v>14400</v>
      </c>
      <c r="M98" s="54">
        <f>IF(OR(B98="", B98=0), 999, SUM(K98:L98))</f>
        <v>999</v>
      </c>
      <c r="N98" s="24"/>
      <c r="O98" s="24"/>
      <c r="P98" s="24"/>
      <c r="Q98" s="24"/>
      <c r="R98" s="24"/>
      <c r="S98" s="24"/>
      <c r="T98" s="24"/>
      <c r="U98" s="24"/>
      <c r="V98" s="24"/>
      <c r="W98" s="24"/>
      <c r="X98" s="24"/>
      <c r="Y98" s="24"/>
      <c r="Z98" s="24"/>
      <c r="AA98" s="24"/>
      <c r="AB98" s="24" t="str">
        <f>REGISTRATION!C97</f>
        <v/>
      </c>
      <c r="AC98" s="24">
        <f>'DAY 1 SCORES'!E99</f>
        <v>0</v>
      </c>
      <c r="AD98" s="24">
        <f>'DAY 1 SCORES'!F99</f>
        <v>0</v>
      </c>
      <c r="AE98" s="24">
        <f>'DAY 2 SCORES'!E99</f>
        <v>0</v>
      </c>
      <c r="AF98" s="24">
        <f>'DAY 2 SCORES'!F99</f>
        <v>0</v>
      </c>
      <c r="AG98" s="24">
        <f>'DAY 1 SCORES'!G99</f>
        <v>0</v>
      </c>
      <c r="AH98" s="24">
        <f>'DAY 2 SCORES'!G99</f>
        <v>0</v>
      </c>
      <c r="AI98" s="24">
        <f t="shared" si="2"/>
        <v>0</v>
      </c>
      <c r="AJ98" s="24">
        <f>'DAY 1 SCORES'!H99</f>
        <v>120</v>
      </c>
      <c r="AK98" s="24">
        <f>'DAY 2 SCORES'!H99</f>
        <v>120</v>
      </c>
      <c r="AL98" s="24">
        <f t="shared" si="3"/>
        <v>240</v>
      </c>
    </row>
    <row r="99" spans="1:38" ht="24.75" customHeight="1">
      <c r="A99" s="58" t="str">
        <f>IF(B99="", "", ROW()-2)</f>
        <v/>
      </c>
      <c r="B99" s="59" t="str">
        <f>IF(REGISTRATION!B98="", "", REGISTRATION!B98)</f>
        <v/>
      </c>
      <c r="C99" s="59" t="str">
        <f>IF(B99="", "", _xlfn.XLOOKUP(B99, REGISTRATION!B:B, REGISTRATION!C:C, ""))</f>
        <v/>
      </c>
      <c r="D99" s="55">
        <f>IFERROR(INDEX('DAY 1 SCORES'!$E$4:$E$123, MATCH(B99, 'DAY 1 SCORES'!$B$4:$B$123, 0)), "")</f>
        <v>0</v>
      </c>
      <c r="E99" s="55">
        <f>SUMIF('DAY 1 SCORES'!$B$4:$B$123, B99, 'DAY 1 SCORES'!$F$4:$F$123)</f>
        <v>0</v>
      </c>
      <c r="F99" s="56">
        <f>IFERROR(INDEX('DAY 2 SCORES'!$E$4:$E$123, MATCH(B99, 'DAY 2 SCORES'!$B$4:$B$123, 0)), "")</f>
        <v>0</v>
      </c>
      <c r="G99" s="56">
        <f>SUMIF('DAY 2 SCORES'!$B$4:$B$123, B99, 'DAY 2 SCORES'!$F$4:$F$123)</f>
        <v>0</v>
      </c>
      <c r="H99" s="55">
        <f>SUMIF('DAY 1 SCORES'!$B$4:$B$123, B99, 'DAY 1 SCORES'!$D$4:$D$123)</f>
        <v>0</v>
      </c>
      <c r="I99" s="55">
        <f>SUMIF('DAY 2 SCORES'!$B$4:$B$123, B99, 'DAY 2 SCORES'!$D$4:$D$123)</f>
        <v>0</v>
      </c>
      <c r="J99" s="55">
        <f>H99+I99</f>
        <v>0</v>
      </c>
      <c r="K99" s="56">
        <f>SUMIF('DAY 1 SCORES'!$B$4:$B$123, B99, 'DAY 1 SCORES'!$H$4:$H$123)</f>
        <v>14400</v>
      </c>
      <c r="L99" s="56">
        <f>SUMIF('DAY 2 SCORES'!$B$4:$B$123, B99, 'DAY 2 SCORES'!$H$4:$H$123)</f>
        <v>14400</v>
      </c>
      <c r="M99" s="54">
        <f>IF(OR(B99="", B99=0), 999, SUM(K99:L99))</f>
        <v>999</v>
      </c>
      <c r="N99" s="24"/>
      <c r="O99" s="24"/>
      <c r="P99" s="24"/>
      <c r="Q99" s="24"/>
      <c r="R99" s="24"/>
      <c r="S99" s="24"/>
      <c r="T99" s="24"/>
      <c r="U99" s="24"/>
      <c r="V99" s="24"/>
      <c r="W99" s="24"/>
      <c r="X99" s="24"/>
      <c r="Y99" s="24"/>
      <c r="Z99" s="24"/>
      <c r="AA99" s="24"/>
      <c r="AB99" s="24" t="str">
        <f>REGISTRATION!C98</f>
        <v/>
      </c>
      <c r="AC99" s="24">
        <f>'DAY 1 SCORES'!E100</f>
        <v>0</v>
      </c>
      <c r="AD99" s="24">
        <f>'DAY 1 SCORES'!F100</f>
        <v>0</v>
      </c>
      <c r="AE99" s="24">
        <f>'DAY 2 SCORES'!E100</f>
        <v>0</v>
      </c>
      <c r="AF99" s="24">
        <f>'DAY 2 SCORES'!F100</f>
        <v>0</v>
      </c>
      <c r="AG99" s="24">
        <f>'DAY 1 SCORES'!G100</f>
        <v>0</v>
      </c>
      <c r="AH99" s="24">
        <f>'DAY 2 SCORES'!G100</f>
        <v>0</v>
      </c>
      <c r="AI99" s="24">
        <f t="shared" si="2"/>
        <v>0</v>
      </c>
      <c r="AJ99" s="24">
        <f>'DAY 1 SCORES'!H100</f>
        <v>120</v>
      </c>
      <c r="AK99" s="24">
        <f>'DAY 2 SCORES'!H100</f>
        <v>120</v>
      </c>
      <c r="AL99" s="24">
        <f t="shared" si="3"/>
        <v>240</v>
      </c>
    </row>
    <row r="100" spans="1:38" ht="24.75" customHeight="1">
      <c r="A100" s="58" t="str">
        <f>IF(B100="", "", ROW()-2)</f>
        <v/>
      </c>
      <c r="B100" s="59" t="str">
        <f>IF(REGISTRATION!B99="", "", REGISTRATION!B99)</f>
        <v/>
      </c>
      <c r="C100" s="59" t="str">
        <f>IF(B100="", "", _xlfn.XLOOKUP(B100, REGISTRATION!B:B, REGISTRATION!C:C, ""))</f>
        <v/>
      </c>
      <c r="D100" s="55">
        <f>IFERROR(INDEX('DAY 1 SCORES'!$E$4:$E$123, MATCH(B100, 'DAY 1 SCORES'!$B$4:$B$123, 0)), "")</f>
        <v>0</v>
      </c>
      <c r="E100" s="55">
        <f>SUMIF('DAY 1 SCORES'!$B$4:$B$123, B100, 'DAY 1 SCORES'!$F$4:$F$123)</f>
        <v>0</v>
      </c>
      <c r="F100" s="56">
        <f>IFERROR(INDEX('DAY 2 SCORES'!$E$4:$E$123, MATCH(B100, 'DAY 2 SCORES'!$B$4:$B$123, 0)), "")</f>
        <v>0</v>
      </c>
      <c r="G100" s="56">
        <f>SUMIF('DAY 2 SCORES'!$B$4:$B$123, B100, 'DAY 2 SCORES'!$F$4:$F$123)</f>
        <v>0</v>
      </c>
      <c r="H100" s="55">
        <f>SUMIF('DAY 1 SCORES'!$B$4:$B$123, B100, 'DAY 1 SCORES'!$D$4:$D$123)</f>
        <v>0</v>
      </c>
      <c r="I100" s="55">
        <f>SUMIF('DAY 2 SCORES'!$B$4:$B$123, B100, 'DAY 2 SCORES'!$D$4:$D$123)</f>
        <v>0</v>
      </c>
      <c r="J100" s="55">
        <f>H100+I100</f>
        <v>0</v>
      </c>
      <c r="K100" s="56">
        <f>SUMIF('DAY 1 SCORES'!$B$4:$B$123, B100, 'DAY 1 SCORES'!$H$4:$H$123)</f>
        <v>14400</v>
      </c>
      <c r="L100" s="56">
        <f>SUMIF('DAY 2 SCORES'!$B$4:$B$123, B100, 'DAY 2 SCORES'!$H$4:$H$123)</f>
        <v>14400</v>
      </c>
      <c r="M100" s="54">
        <f>IF(OR(B100="", B100=0), 999, SUM(K100:L100))</f>
        <v>999</v>
      </c>
      <c r="N100" s="24"/>
      <c r="O100" s="24"/>
      <c r="P100" s="24"/>
      <c r="Q100" s="24"/>
      <c r="R100" s="24"/>
      <c r="S100" s="24"/>
      <c r="T100" s="24"/>
      <c r="U100" s="24"/>
      <c r="V100" s="24"/>
      <c r="W100" s="24"/>
      <c r="X100" s="24"/>
      <c r="Y100" s="24"/>
      <c r="Z100" s="24"/>
      <c r="AA100" s="24"/>
      <c r="AB100" s="24" t="str">
        <f>REGISTRATION!C99</f>
        <v/>
      </c>
      <c r="AC100" s="24">
        <f>'DAY 1 SCORES'!E101</f>
        <v>0</v>
      </c>
      <c r="AD100" s="24">
        <f>'DAY 1 SCORES'!F101</f>
        <v>0</v>
      </c>
      <c r="AE100" s="24">
        <f>'DAY 2 SCORES'!E101</f>
        <v>0</v>
      </c>
      <c r="AF100" s="24">
        <f>'DAY 2 SCORES'!F101</f>
        <v>0</v>
      </c>
      <c r="AG100" s="24">
        <f>'DAY 1 SCORES'!G101</f>
        <v>0</v>
      </c>
      <c r="AH100" s="24">
        <f>'DAY 2 SCORES'!G101</f>
        <v>0</v>
      </c>
      <c r="AI100" s="24">
        <f t="shared" si="2"/>
        <v>0</v>
      </c>
      <c r="AJ100" s="24">
        <f>'DAY 1 SCORES'!H101</f>
        <v>120</v>
      </c>
      <c r="AK100" s="24">
        <f>'DAY 2 SCORES'!H101</f>
        <v>120</v>
      </c>
      <c r="AL100" s="24">
        <f t="shared" si="3"/>
        <v>240</v>
      </c>
    </row>
    <row r="101" spans="1:38" ht="24.75" customHeight="1">
      <c r="A101" s="58" t="str">
        <f>IF(B101="", "", ROW()-2)</f>
        <v/>
      </c>
      <c r="B101" s="59" t="str">
        <f>IF(REGISTRATION!B100="", "", REGISTRATION!B100)</f>
        <v/>
      </c>
      <c r="C101" s="59" t="str">
        <f>IF(B101="", "", _xlfn.XLOOKUP(B101, REGISTRATION!B:B, REGISTRATION!C:C, ""))</f>
        <v/>
      </c>
      <c r="D101" s="55">
        <f>IFERROR(INDEX('DAY 1 SCORES'!$E$4:$E$123, MATCH(B101, 'DAY 1 SCORES'!$B$4:$B$123, 0)), "")</f>
        <v>0</v>
      </c>
      <c r="E101" s="55">
        <f>SUMIF('DAY 1 SCORES'!$B$4:$B$123, B101, 'DAY 1 SCORES'!$F$4:$F$123)</f>
        <v>0</v>
      </c>
      <c r="F101" s="56">
        <f>IFERROR(INDEX('DAY 2 SCORES'!$E$4:$E$123, MATCH(B101, 'DAY 2 SCORES'!$B$4:$B$123, 0)), "")</f>
        <v>0</v>
      </c>
      <c r="G101" s="56">
        <f>SUMIF('DAY 2 SCORES'!$B$4:$B$123, B101, 'DAY 2 SCORES'!$F$4:$F$123)</f>
        <v>0</v>
      </c>
      <c r="H101" s="55">
        <f>SUMIF('DAY 1 SCORES'!$B$4:$B$123, B101, 'DAY 1 SCORES'!$D$4:$D$123)</f>
        <v>0</v>
      </c>
      <c r="I101" s="55">
        <f>SUMIF('DAY 2 SCORES'!$B$4:$B$123, B101, 'DAY 2 SCORES'!$D$4:$D$123)</f>
        <v>0</v>
      </c>
      <c r="J101" s="55">
        <f>H101+I101</f>
        <v>0</v>
      </c>
      <c r="K101" s="56">
        <f>SUMIF('DAY 1 SCORES'!$B$4:$B$123, B101, 'DAY 1 SCORES'!$H$4:$H$123)</f>
        <v>14400</v>
      </c>
      <c r="L101" s="56">
        <f>SUMIF('DAY 2 SCORES'!$B$4:$B$123, B101, 'DAY 2 SCORES'!$H$4:$H$123)</f>
        <v>14400</v>
      </c>
      <c r="M101" s="54">
        <f>IF(OR(B101="", B101=0), 999, SUM(K101:L101))</f>
        <v>999</v>
      </c>
      <c r="N101" s="24"/>
      <c r="O101" s="24"/>
      <c r="P101" s="24"/>
      <c r="Q101" s="24"/>
      <c r="R101" s="24"/>
      <c r="S101" s="24"/>
      <c r="T101" s="24"/>
      <c r="U101" s="24"/>
      <c r="V101" s="24"/>
      <c r="W101" s="24"/>
      <c r="X101" s="24"/>
      <c r="Y101" s="24"/>
      <c r="Z101" s="24"/>
      <c r="AA101" s="24"/>
      <c r="AB101" s="24" t="str">
        <f>REGISTRATION!C100</f>
        <v/>
      </c>
      <c r="AC101" s="24">
        <f>'DAY 1 SCORES'!E102</f>
        <v>0</v>
      </c>
      <c r="AD101" s="24">
        <f>'DAY 1 SCORES'!F102</f>
        <v>0</v>
      </c>
      <c r="AE101" s="24">
        <f>'DAY 2 SCORES'!E102</f>
        <v>0</v>
      </c>
      <c r="AF101" s="24">
        <f>'DAY 2 SCORES'!F102</f>
        <v>0</v>
      </c>
      <c r="AG101" s="24">
        <f>'DAY 1 SCORES'!G102</f>
        <v>0</v>
      </c>
      <c r="AH101" s="24">
        <f>'DAY 2 SCORES'!G102</f>
        <v>0</v>
      </c>
      <c r="AI101" s="24">
        <f t="shared" si="2"/>
        <v>0</v>
      </c>
      <c r="AJ101" s="24">
        <f>'DAY 1 SCORES'!H102</f>
        <v>120</v>
      </c>
      <c r="AK101" s="24">
        <f>'DAY 2 SCORES'!H102</f>
        <v>120</v>
      </c>
      <c r="AL101" s="24">
        <f t="shared" si="3"/>
        <v>240</v>
      </c>
    </row>
    <row r="102" spans="1:38" ht="24.75" customHeight="1">
      <c r="A102" s="58" t="str">
        <f>IF(B102="", "", ROW()-2)</f>
        <v/>
      </c>
      <c r="B102" s="59" t="str">
        <f>IF(REGISTRATION!B101="", "", REGISTRATION!B101)</f>
        <v/>
      </c>
      <c r="C102" s="59" t="str">
        <f>IF(B102="", "", _xlfn.XLOOKUP(B102, REGISTRATION!B:B, REGISTRATION!C:C, ""))</f>
        <v/>
      </c>
      <c r="D102" s="55">
        <f>IFERROR(INDEX('DAY 1 SCORES'!$E$4:$E$123, MATCH(B102, 'DAY 1 SCORES'!$B$4:$B$123, 0)), "")</f>
        <v>0</v>
      </c>
      <c r="E102" s="55">
        <f>SUMIF('DAY 1 SCORES'!$B$4:$B$123, B102, 'DAY 1 SCORES'!$F$4:$F$123)</f>
        <v>0</v>
      </c>
      <c r="F102" s="56">
        <f>IFERROR(INDEX('DAY 2 SCORES'!$E$4:$E$123, MATCH(B102, 'DAY 2 SCORES'!$B$4:$B$123, 0)), "")</f>
        <v>0</v>
      </c>
      <c r="G102" s="56">
        <f>SUMIF('DAY 2 SCORES'!$B$4:$B$123, B102, 'DAY 2 SCORES'!$F$4:$F$123)</f>
        <v>0</v>
      </c>
      <c r="H102" s="55">
        <f>SUMIF('DAY 1 SCORES'!$B$4:$B$123, B102, 'DAY 1 SCORES'!$D$4:$D$123)</f>
        <v>0</v>
      </c>
      <c r="I102" s="55">
        <f>SUMIF('DAY 2 SCORES'!$B$4:$B$123, B102, 'DAY 2 SCORES'!$D$4:$D$123)</f>
        <v>0</v>
      </c>
      <c r="J102" s="55">
        <f>H102+I102</f>
        <v>0</v>
      </c>
      <c r="K102" s="56">
        <f>SUMIF('DAY 1 SCORES'!$B$4:$B$123, B102, 'DAY 1 SCORES'!$H$4:$H$123)</f>
        <v>14400</v>
      </c>
      <c r="L102" s="56">
        <f>SUMIF('DAY 2 SCORES'!$B$4:$B$123, B102, 'DAY 2 SCORES'!$H$4:$H$123)</f>
        <v>14400</v>
      </c>
      <c r="M102" s="54">
        <f>IF(OR(B102="", B102=0), 999, SUM(K102:L102))</f>
        <v>999</v>
      </c>
      <c r="N102" s="24"/>
      <c r="O102" s="24"/>
      <c r="P102" s="24"/>
      <c r="Q102" s="24"/>
      <c r="R102" s="24"/>
      <c r="S102" s="24"/>
      <c r="T102" s="24"/>
      <c r="U102" s="24"/>
      <c r="V102" s="24"/>
      <c r="W102" s="24"/>
      <c r="X102" s="24"/>
      <c r="Y102" s="24"/>
      <c r="Z102" s="24"/>
      <c r="AA102" s="24"/>
      <c r="AB102" s="24" t="str">
        <f>REGISTRATION!C101</f>
        <v/>
      </c>
      <c r="AC102" s="24">
        <f>'DAY 1 SCORES'!E103</f>
        <v>0</v>
      </c>
      <c r="AD102" s="24">
        <f>'DAY 1 SCORES'!F103</f>
        <v>0</v>
      </c>
      <c r="AE102" s="24">
        <f>'DAY 2 SCORES'!E103</f>
        <v>0</v>
      </c>
      <c r="AF102" s="24">
        <f>'DAY 2 SCORES'!F103</f>
        <v>0</v>
      </c>
      <c r="AG102" s="24">
        <f>'DAY 1 SCORES'!G103</f>
        <v>0</v>
      </c>
      <c r="AH102" s="24">
        <f>'DAY 2 SCORES'!G103</f>
        <v>0</v>
      </c>
      <c r="AI102" s="24">
        <f t="shared" si="2"/>
        <v>0</v>
      </c>
      <c r="AJ102" s="24">
        <f>'DAY 1 SCORES'!H103</f>
        <v>120</v>
      </c>
      <c r="AK102" s="24">
        <f>'DAY 2 SCORES'!H103</f>
        <v>120</v>
      </c>
      <c r="AL102" s="24">
        <f t="shared" si="3"/>
        <v>240</v>
      </c>
    </row>
    <row r="103" spans="1:38" ht="24.75" customHeight="1">
      <c r="A103" s="58" t="str">
        <f>IF(B103="", "", ROW()-2)</f>
        <v/>
      </c>
      <c r="B103" s="59" t="str">
        <f>IF(REGISTRATION!B102="", "", REGISTRATION!B102)</f>
        <v/>
      </c>
      <c r="C103" s="59" t="str">
        <f>IF(B103="", "", _xlfn.XLOOKUP(B103, REGISTRATION!B:B, REGISTRATION!C:C, ""))</f>
        <v/>
      </c>
      <c r="D103" s="55">
        <f>IFERROR(INDEX('DAY 1 SCORES'!$E$4:$E$123, MATCH(B103, 'DAY 1 SCORES'!$B$4:$B$123, 0)), "")</f>
        <v>0</v>
      </c>
      <c r="E103" s="55">
        <f>SUMIF('DAY 1 SCORES'!$B$4:$B$123, B103, 'DAY 1 SCORES'!$F$4:$F$123)</f>
        <v>0</v>
      </c>
      <c r="F103" s="56">
        <f>IFERROR(INDEX('DAY 2 SCORES'!$E$4:$E$123, MATCH(B103, 'DAY 2 SCORES'!$B$4:$B$123, 0)), "")</f>
        <v>0</v>
      </c>
      <c r="G103" s="56">
        <f>SUMIF('DAY 2 SCORES'!$B$4:$B$123, B103, 'DAY 2 SCORES'!$F$4:$F$123)</f>
        <v>0</v>
      </c>
      <c r="H103" s="55">
        <f>SUMIF('DAY 1 SCORES'!$B$4:$B$123, B103, 'DAY 1 SCORES'!$D$4:$D$123)</f>
        <v>0</v>
      </c>
      <c r="I103" s="55">
        <f>SUMIF('DAY 2 SCORES'!$B$4:$B$123, B103, 'DAY 2 SCORES'!$D$4:$D$123)</f>
        <v>0</v>
      </c>
      <c r="J103" s="55">
        <f>H103+I103</f>
        <v>0</v>
      </c>
      <c r="K103" s="56">
        <f>SUMIF('DAY 1 SCORES'!$B$4:$B$123, B103, 'DAY 1 SCORES'!$H$4:$H$123)</f>
        <v>14400</v>
      </c>
      <c r="L103" s="56">
        <f>SUMIF('DAY 2 SCORES'!$B$4:$B$123, B103, 'DAY 2 SCORES'!$H$4:$H$123)</f>
        <v>14400</v>
      </c>
      <c r="M103" s="54">
        <f>IF(OR(B103="", B103=0), 999, SUM(K103:L103))</f>
        <v>999</v>
      </c>
      <c r="N103" s="24"/>
      <c r="O103" s="24"/>
      <c r="P103" s="24"/>
      <c r="Q103" s="24"/>
      <c r="R103" s="24"/>
      <c r="S103" s="24"/>
      <c r="T103" s="24"/>
      <c r="U103" s="24"/>
      <c r="V103" s="24"/>
      <c r="W103" s="24"/>
      <c r="X103" s="24"/>
      <c r="Y103" s="24"/>
      <c r="Z103" s="24"/>
      <c r="AA103" s="24"/>
      <c r="AB103" s="24" t="str">
        <f>REGISTRATION!C102</f>
        <v/>
      </c>
      <c r="AC103" s="24">
        <f>'DAY 1 SCORES'!E104</f>
        <v>0</v>
      </c>
      <c r="AD103" s="24">
        <f>'DAY 1 SCORES'!F104</f>
        <v>0</v>
      </c>
      <c r="AE103" s="24">
        <f>'DAY 2 SCORES'!E104</f>
        <v>0</v>
      </c>
      <c r="AF103" s="24">
        <f>'DAY 2 SCORES'!F104</f>
        <v>0</v>
      </c>
      <c r="AG103" s="24">
        <f>'DAY 1 SCORES'!G104</f>
        <v>0</v>
      </c>
      <c r="AH103" s="24">
        <f>'DAY 2 SCORES'!G104</f>
        <v>0</v>
      </c>
      <c r="AI103" s="24">
        <f t="shared" si="2"/>
        <v>0</v>
      </c>
      <c r="AJ103" s="24">
        <f>'DAY 1 SCORES'!H104</f>
        <v>120</v>
      </c>
      <c r="AK103" s="24">
        <f>'DAY 2 SCORES'!H104</f>
        <v>120</v>
      </c>
      <c r="AL103" s="24">
        <f t="shared" si="3"/>
        <v>240</v>
      </c>
    </row>
    <row r="104" spans="1:38" ht="24.75" customHeight="1">
      <c r="A104" s="58" t="str">
        <f>IF(B104="", "", ROW()-2)</f>
        <v/>
      </c>
      <c r="B104" s="59" t="str">
        <f>IF(REGISTRATION!B103="", "", REGISTRATION!B103)</f>
        <v/>
      </c>
      <c r="C104" s="59" t="str">
        <f>IF(B104="", "", _xlfn.XLOOKUP(B104, REGISTRATION!B:B, REGISTRATION!C:C, ""))</f>
        <v/>
      </c>
      <c r="D104" s="55">
        <f>IFERROR(INDEX('DAY 1 SCORES'!$E$4:$E$123, MATCH(B104, 'DAY 1 SCORES'!$B$4:$B$123, 0)), "")</f>
        <v>0</v>
      </c>
      <c r="E104" s="55">
        <f>SUMIF('DAY 1 SCORES'!$B$4:$B$123, B104, 'DAY 1 SCORES'!$F$4:$F$123)</f>
        <v>0</v>
      </c>
      <c r="F104" s="56">
        <f>IFERROR(INDEX('DAY 2 SCORES'!$E$4:$E$123, MATCH(B104, 'DAY 2 SCORES'!$B$4:$B$123, 0)), "")</f>
        <v>0</v>
      </c>
      <c r="G104" s="56">
        <f>SUMIF('DAY 2 SCORES'!$B$4:$B$123, B104, 'DAY 2 SCORES'!$F$4:$F$123)</f>
        <v>0</v>
      </c>
      <c r="H104" s="55">
        <f>SUMIF('DAY 1 SCORES'!$B$4:$B$123, B104, 'DAY 1 SCORES'!$D$4:$D$123)</f>
        <v>0</v>
      </c>
      <c r="I104" s="55">
        <f>SUMIF('DAY 2 SCORES'!$B$4:$B$123, B104, 'DAY 2 SCORES'!$D$4:$D$123)</f>
        <v>0</v>
      </c>
      <c r="J104" s="55">
        <f>H104+I104</f>
        <v>0</v>
      </c>
      <c r="K104" s="56">
        <f>SUMIF('DAY 1 SCORES'!$B$4:$B$123, B104, 'DAY 1 SCORES'!$H$4:$H$123)</f>
        <v>14400</v>
      </c>
      <c r="L104" s="56">
        <f>SUMIF('DAY 2 SCORES'!$B$4:$B$123, B104, 'DAY 2 SCORES'!$H$4:$H$123)</f>
        <v>14400</v>
      </c>
      <c r="M104" s="54">
        <f>IF(OR(B104="", B104=0), 999, SUM(K104:L104))</f>
        <v>999</v>
      </c>
      <c r="N104" s="24"/>
      <c r="O104" s="24"/>
      <c r="P104" s="24"/>
      <c r="Q104" s="24"/>
      <c r="R104" s="24"/>
      <c r="S104" s="24"/>
      <c r="T104" s="24"/>
      <c r="U104" s="24"/>
      <c r="V104" s="24"/>
      <c r="W104" s="24"/>
      <c r="X104" s="24"/>
      <c r="Y104" s="24"/>
      <c r="Z104" s="24"/>
      <c r="AA104" s="24"/>
      <c r="AB104" s="24" t="str">
        <f>REGISTRATION!C103</f>
        <v/>
      </c>
      <c r="AC104" s="24">
        <f>'DAY 1 SCORES'!E105</f>
        <v>0</v>
      </c>
      <c r="AD104" s="24">
        <f>'DAY 1 SCORES'!F105</f>
        <v>0</v>
      </c>
      <c r="AE104" s="24">
        <f>'DAY 2 SCORES'!E105</f>
        <v>0</v>
      </c>
      <c r="AF104" s="24">
        <f>'DAY 2 SCORES'!F105</f>
        <v>0</v>
      </c>
      <c r="AG104" s="24">
        <f>'DAY 1 SCORES'!G105</f>
        <v>0</v>
      </c>
      <c r="AH104" s="24">
        <f>'DAY 2 SCORES'!G105</f>
        <v>0</v>
      </c>
      <c r="AI104" s="24">
        <f t="shared" si="2"/>
        <v>0</v>
      </c>
      <c r="AJ104" s="24">
        <f>'DAY 1 SCORES'!H105</f>
        <v>120</v>
      </c>
      <c r="AK104" s="24">
        <f>'DAY 2 SCORES'!H105</f>
        <v>120</v>
      </c>
      <c r="AL104" s="24">
        <f t="shared" si="3"/>
        <v>240</v>
      </c>
    </row>
    <row r="105" spans="1:38" ht="24.75" customHeight="1">
      <c r="A105" s="58" t="str">
        <f>IF(B105="", "", ROW()-2)</f>
        <v/>
      </c>
      <c r="B105" s="59" t="str">
        <f>IF(REGISTRATION!B104="", "", REGISTRATION!B104)</f>
        <v/>
      </c>
      <c r="C105" s="59" t="str">
        <f>IF(B105="", "", _xlfn.XLOOKUP(B105, REGISTRATION!B:B, REGISTRATION!C:C, ""))</f>
        <v/>
      </c>
      <c r="D105" s="55">
        <f>IFERROR(INDEX('DAY 1 SCORES'!$E$4:$E$123, MATCH(B105, 'DAY 1 SCORES'!$B$4:$B$123, 0)), "")</f>
        <v>0</v>
      </c>
      <c r="E105" s="55">
        <f>SUMIF('DAY 1 SCORES'!$B$4:$B$123, B105, 'DAY 1 SCORES'!$F$4:$F$123)</f>
        <v>0</v>
      </c>
      <c r="F105" s="56">
        <f>IFERROR(INDEX('DAY 2 SCORES'!$E$4:$E$123, MATCH(B105, 'DAY 2 SCORES'!$B$4:$B$123, 0)), "")</f>
        <v>0</v>
      </c>
      <c r="G105" s="56">
        <f>SUMIF('DAY 2 SCORES'!$B$4:$B$123, B105, 'DAY 2 SCORES'!$F$4:$F$123)</f>
        <v>0</v>
      </c>
      <c r="H105" s="55">
        <f>SUMIF('DAY 1 SCORES'!$B$4:$B$123, B105, 'DAY 1 SCORES'!$D$4:$D$123)</f>
        <v>0</v>
      </c>
      <c r="I105" s="55">
        <f>SUMIF('DAY 2 SCORES'!$B$4:$B$123, B105, 'DAY 2 SCORES'!$D$4:$D$123)</f>
        <v>0</v>
      </c>
      <c r="J105" s="55">
        <f>H105+I105</f>
        <v>0</v>
      </c>
      <c r="K105" s="56">
        <f>SUMIF('DAY 1 SCORES'!$B$4:$B$123, B105, 'DAY 1 SCORES'!$H$4:$H$123)</f>
        <v>14400</v>
      </c>
      <c r="L105" s="56">
        <f>SUMIF('DAY 2 SCORES'!$B$4:$B$123, B105, 'DAY 2 SCORES'!$H$4:$H$123)</f>
        <v>14400</v>
      </c>
      <c r="M105" s="54">
        <f>IF(OR(B105="", B105=0), 999, SUM(K105:L105))</f>
        <v>999</v>
      </c>
      <c r="N105" s="24"/>
      <c r="O105" s="24"/>
      <c r="P105" s="24"/>
      <c r="Q105" s="24"/>
      <c r="R105" s="24"/>
      <c r="S105" s="24"/>
      <c r="T105" s="24"/>
      <c r="U105" s="24"/>
      <c r="V105" s="24"/>
      <c r="W105" s="24"/>
      <c r="X105" s="24"/>
      <c r="Y105" s="24"/>
      <c r="Z105" s="24"/>
      <c r="AA105" s="24"/>
      <c r="AB105" s="24" t="str">
        <f>REGISTRATION!C104</f>
        <v/>
      </c>
      <c r="AC105" s="24">
        <f>'DAY 1 SCORES'!E106</f>
        <v>0</v>
      </c>
      <c r="AD105" s="24">
        <f>'DAY 1 SCORES'!F106</f>
        <v>0</v>
      </c>
      <c r="AE105" s="24">
        <f>'DAY 2 SCORES'!E106</f>
        <v>0</v>
      </c>
      <c r="AF105" s="24">
        <f>'DAY 2 SCORES'!F106</f>
        <v>0</v>
      </c>
      <c r="AG105" s="24">
        <f>'DAY 1 SCORES'!G106</f>
        <v>0</v>
      </c>
      <c r="AH105" s="24">
        <f>'DAY 2 SCORES'!G106</f>
        <v>0</v>
      </c>
      <c r="AI105" s="24">
        <f t="shared" si="2"/>
        <v>0</v>
      </c>
      <c r="AJ105" s="24">
        <f>'DAY 1 SCORES'!H106</f>
        <v>120</v>
      </c>
      <c r="AK105" s="24">
        <f>'DAY 2 SCORES'!H106</f>
        <v>120</v>
      </c>
      <c r="AL105" s="24">
        <f t="shared" si="3"/>
        <v>240</v>
      </c>
    </row>
    <row r="106" spans="1:38" ht="24.75" customHeight="1">
      <c r="A106" s="58" t="str">
        <f>IF(B106="", "", ROW()-2)</f>
        <v/>
      </c>
      <c r="B106" s="59" t="str">
        <f>IF(REGISTRATION!B105="", "", REGISTRATION!B105)</f>
        <v/>
      </c>
      <c r="C106" s="59" t="str">
        <f>IF(B106="", "", _xlfn.XLOOKUP(B106, REGISTRATION!B:B, REGISTRATION!C:C, ""))</f>
        <v/>
      </c>
      <c r="D106" s="55">
        <f>IFERROR(INDEX('DAY 1 SCORES'!$E$4:$E$123, MATCH(B106, 'DAY 1 SCORES'!$B$4:$B$123, 0)), "")</f>
        <v>0</v>
      </c>
      <c r="E106" s="55">
        <f>SUMIF('DAY 1 SCORES'!$B$4:$B$123, B106, 'DAY 1 SCORES'!$F$4:$F$123)</f>
        <v>0</v>
      </c>
      <c r="F106" s="56">
        <f>IFERROR(INDEX('DAY 2 SCORES'!$E$4:$E$123, MATCH(B106, 'DAY 2 SCORES'!$B$4:$B$123, 0)), "")</f>
        <v>0</v>
      </c>
      <c r="G106" s="56">
        <f>SUMIF('DAY 2 SCORES'!$B$4:$B$123, B106, 'DAY 2 SCORES'!$F$4:$F$123)</f>
        <v>0</v>
      </c>
      <c r="H106" s="55">
        <f>SUMIF('DAY 1 SCORES'!$B$4:$B$123, B106, 'DAY 1 SCORES'!$D$4:$D$123)</f>
        <v>0</v>
      </c>
      <c r="I106" s="55">
        <f>SUMIF('DAY 2 SCORES'!$B$4:$B$123, B106, 'DAY 2 SCORES'!$D$4:$D$123)</f>
        <v>0</v>
      </c>
      <c r="J106" s="55">
        <f>H106+I106</f>
        <v>0</v>
      </c>
      <c r="K106" s="56">
        <f>SUMIF('DAY 1 SCORES'!$B$4:$B$123, B106, 'DAY 1 SCORES'!$H$4:$H$123)</f>
        <v>14400</v>
      </c>
      <c r="L106" s="56">
        <f>SUMIF('DAY 2 SCORES'!$B$4:$B$123, B106, 'DAY 2 SCORES'!$H$4:$H$123)</f>
        <v>14400</v>
      </c>
      <c r="M106" s="54">
        <f>IF(OR(B106="", B106=0), 999, SUM(K106:L106))</f>
        <v>999</v>
      </c>
      <c r="N106" s="24"/>
      <c r="O106" s="24"/>
      <c r="P106" s="24"/>
      <c r="Q106" s="24"/>
      <c r="R106" s="24"/>
      <c r="S106" s="24"/>
      <c r="T106" s="24"/>
      <c r="U106" s="24"/>
      <c r="V106" s="24"/>
      <c r="W106" s="24"/>
      <c r="X106" s="24"/>
      <c r="Y106" s="24"/>
      <c r="Z106" s="24"/>
      <c r="AA106" s="24"/>
      <c r="AB106" s="24" t="str">
        <f>REGISTRATION!C105</f>
        <v/>
      </c>
      <c r="AC106" s="24">
        <f>'DAY 1 SCORES'!E107</f>
        <v>0</v>
      </c>
      <c r="AD106" s="24">
        <f>'DAY 1 SCORES'!F107</f>
        <v>0</v>
      </c>
      <c r="AE106" s="24">
        <f>'DAY 2 SCORES'!E107</f>
        <v>0</v>
      </c>
      <c r="AF106" s="24">
        <f>'DAY 2 SCORES'!F107</f>
        <v>0</v>
      </c>
      <c r="AG106" s="24">
        <f>'DAY 1 SCORES'!G107</f>
        <v>0</v>
      </c>
      <c r="AH106" s="24">
        <f>'DAY 2 SCORES'!G107</f>
        <v>0</v>
      </c>
      <c r="AI106" s="24">
        <f t="shared" si="2"/>
        <v>0</v>
      </c>
      <c r="AJ106" s="24">
        <f>'DAY 1 SCORES'!H107</f>
        <v>120</v>
      </c>
      <c r="AK106" s="24">
        <f>'DAY 2 SCORES'!H107</f>
        <v>120</v>
      </c>
      <c r="AL106" s="24">
        <f t="shared" si="3"/>
        <v>240</v>
      </c>
    </row>
    <row r="107" spans="1:38" ht="24.75" customHeight="1">
      <c r="A107" s="58" t="str">
        <f>IF(B107="", "", ROW()-2)</f>
        <v/>
      </c>
      <c r="B107" s="59" t="str">
        <f>IF(REGISTRATION!B106="", "", REGISTRATION!B106)</f>
        <v/>
      </c>
      <c r="C107" s="59" t="str">
        <f>IF(B107="", "", _xlfn.XLOOKUP(B107, REGISTRATION!B:B, REGISTRATION!C:C, ""))</f>
        <v/>
      </c>
      <c r="D107" s="55">
        <f>IFERROR(INDEX('DAY 1 SCORES'!$E$4:$E$123, MATCH(B107, 'DAY 1 SCORES'!$B$4:$B$123, 0)), "")</f>
        <v>0</v>
      </c>
      <c r="E107" s="55">
        <f>SUMIF('DAY 1 SCORES'!$B$4:$B$123, B107, 'DAY 1 SCORES'!$F$4:$F$123)</f>
        <v>0</v>
      </c>
      <c r="F107" s="56">
        <f>IFERROR(INDEX('DAY 2 SCORES'!$E$4:$E$123, MATCH(B107, 'DAY 2 SCORES'!$B$4:$B$123, 0)), "")</f>
        <v>0</v>
      </c>
      <c r="G107" s="56">
        <f>SUMIF('DAY 2 SCORES'!$B$4:$B$123, B107, 'DAY 2 SCORES'!$F$4:$F$123)</f>
        <v>0</v>
      </c>
      <c r="H107" s="55">
        <f>SUMIF('DAY 1 SCORES'!$B$4:$B$123, B107, 'DAY 1 SCORES'!$D$4:$D$123)</f>
        <v>0</v>
      </c>
      <c r="I107" s="55">
        <f>SUMIF('DAY 2 SCORES'!$B$4:$B$123, B107, 'DAY 2 SCORES'!$D$4:$D$123)</f>
        <v>0</v>
      </c>
      <c r="J107" s="55">
        <f>H107+I107</f>
        <v>0</v>
      </c>
      <c r="K107" s="56">
        <f>SUMIF('DAY 1 SCORES'!$B$4:$B$123, B107, 'DAY 1 SCORES'!$H$4:$H$123)</f>
        <v>14400</v>
      </c>
      <c r="L107" s="56">
        <f>SUMIF('DAY 2 SCORES'!$B$4:$B$123, B107, 'DAY 2 SCORES'!$H$4:$H$123)</f>
        <v>14400</v>
      </c>
      <c r="M107" s="54">
        <f>IF(OR(B107="", B107=0), 999, SUM(K107:L107))</f>
        <v>999</v>
      </c>
      <c r="N107" s="24"/>
      <c r="O107" s="24"/>
      <c r="P107" s="24"/>
      <c r="Q107" s="24"/>
      <c r="R107" s="24"/>
      <c r="S107" s="24"/>
      <c r="T107" s="24"/>
      <c r="U107" s="24"/>
      <c r="V107" s="24"/>
      <c r="W107" s="24"/>
      <c r="X107" s="24"/>
      <c r="Y107" s="24"/>
      <c r="Z107" s="24"/>
      <c r="AA107" s="24"/>
      <c r="AB107" s="24" t="str">
        <f>REGISTRATION!C106</f>
        <v/>
      </c>
      <c r="AC107" s="24">
        <f>'DAY 1 SCORES'!E108</f>
        <v>0</v>
      </c>
      <c r="AD107" s="24">
        <f>'DAY 1 SCORES'!F108</f>
        <v>0</v>
      </c>
      <c r="AE107" s="24">
        <f>'DAY 2 SCORES'!E108</f>
        <v>0</v>
      </c>
      <c r="AF107" s="24">
        <f>'DAY 2 SCORES'!F108</f>
        <v>0</v>
      </c>
      <c r="AG107" s="24">
        <f>'DAY 1 SCORES'!G108</f>
        <v>0</v>
      </c>
      <c r="AH107" s="24">
        <f>'DAY 2 SCORES'!G108</f>
        <v>0</v>
      </c>
      <c r="AI107" s="24">
        <f t="shared" si="2"/>
        <v>0</v>
      </c>
      <c r="AJ107" s="24">
        <f>'DAY 1 SCORES'!H108</f>
        <v>120</v>
      </c>
      <c r="AK107" s="24">
        <f>'DAY 2 SCORES'!H108</f>
        <v>120</v>
      </c>
      <c r="AL107" s="24">
        <f t="shared" si="3"/>
        <v>240</v>
      </c>
    </row>
    <row r="108" spans="1:38" ht="24.75" customHeight="1">
      <c r="A108" s="58" t="str">
        <f>IF(B108="", "", ROW()-2)</f>
        <v/>
      </c>
      <c r="B108" s="59" t="str">
        <f>IF(REGISTRATION!B107="", "", REGISTRATION!B107)</f>
        <v/>
      </c>
      <c r="C108" s="59" t="str">
        <f>IF(B108="", "", _xlfn.XLOOKUP(B108, REGISTRATION!B:B, REGISTRATION!C:C, ""))</f>
        <v/>
      </c>
      <c r="D108" s="55">
        <f>IFERROR(INDEX('DAY 1 SCORES'!$E$4:$E$123, MATCH(B108, 'DAY 1 SCORES'!$B$4:$B$123, 0)), "")</f>
        <v>0</v>
      </c>
      <c r="E108" s="55">
        <f>SUMIF('DAY 1 SCORES'!$B$4:$B$123, B108, 'DAY 1 SCORES'!$F$4:$F$123)</f>
        <v>0</v>
      </c>
      <c r="F108" s="56">
        <f>IFERROR(INDEX('DAY 2 SCORES'!$E$4:$E$123, MATCH(B108, 'DAY 2 SCORES'!$B$4:$B$123, 0)), "")</f>
        <v>0</v>
      </c>
      <c r="G108" s="56">
        <f>SUMIF('DAY 2 SCORES'!$B$4:$B$123, B108, 'DAY 2 SCORES'!$F$4:$F$123)</f>
        <v>0</v>
      </c>
      <c r="H108" s="55">
        <f>SUMIF('DAY 1 SCORES'!$B$4:$B$123, B108, 'DAY 1 SCORES'!$D$4:$D$123)</f>
        <v>0</v>
      </c>
      <c r="I108" s="55">
        <f>SUMIF('DAY 2 SCORES'!$B$4:$B$123, B108, 'DAY 2 SCORES'!$D$4:$D$123)</f>
        <v>0</v>
      </c>
      <c r="J108" s="55">
        <f>H108+I108</f>
        <v>0</v>
      </c>
      <c r="K108" s="56">
        <f>SUMIF('DAY 1 SCORES'!$B$4:$B$123, B108, 'DAY 1 SCORES'!$H$4:$H$123)</f>
        <v>14400</v>
      </c>
      <c r="L108" s="56">
        <f>SUMIF('DAY 2 SCORES'!$B$4:$B$123, B108, 'DAY 2 SCORES'!$H$4:$H$123)</f>
        <v>14400</v>
      </c>
      <c r="M108" s="54">
        <f>IF(OR(B108="", B108=0), 999, SUM(K108:L108))</f>
        <v>999</v>
      </c>
      <c r="N108" s="24"/>
      <c r="O108" s="24"/>
      <c r="P108" s="24"/>
      <c r="Q108" s="24"/>
      <c r="R108" s="24"/>
      <c r="S108" s="24"/>
      <c r="T108" s="24"/>
      <c r="U108" s="24"/>
      <c r="V108" s="24"/>
      <c r="W108" s="24"/>
      <c r="X108" s="24"/>
      <c r="Y108" s="24"/>
      <c r="Z108" s="24"/>
      <c r="AA108" s="24"/>
      <c r="AB108" s="24" t="str">
        <f>REGISTRATION!C107</f>
        <v/>
      </c>
      <c r="AC108" s="24">
        <f>'DAY 1 SCORES'!E109</f>
        <v>0</v>
      </c>
      <c r="AD108" s="24">
        <f>'DAY 1 SCORES'!F109</f>
        <v>0</v>
      </c>
      <c r="AE108" s="24">
        <f>'DAY 2 SCORES'!E109</f>
        <v>0</v>
      </c>
      <c r="AF108" s="24">
        <f>'DAY 2 SCORES'!F109</f>
        <v>0</v>
      </c>
      <c r="AG108" s="24">
        <f>'DAY 1 SCORES'!G109</f>
        <v>0</v>
      </c>
      <c r="AH108" s="24">
        <f>'DAY 2 SCORES'!G109</f>
        <v>0</v>
      </c>
      <c r="AI108" s="24">
        <f t="shared" si="2"/>
        <v>0</v>
      </c>
      <c r="AJ108" s="24">
        <f>'DAY 1 SCORES'!H109</f>
        <v>120</v>
      </c>
      <c r="AK108" s="24">
        <f>'DAY 2 SCORES'!H109</f>
        <v>120</v>
      </c>
      <c r="AL108" s="24">
        <f t="shared" si="3"/>
        <v>240</v>
      </c>
    </row>
    <row r="109" spans="1:38" ht="24.75" customHeight="1">
      <c r="A109" s="58" t="str">
        <f>IF(B109="", "", ROW()-2)</f>
        <v/>
      </c>
      <c r="B109" s="59" t="str">
        <f>IF(REGISTRATION!B108="", "", REGISTRATION!B108)</f>
        <v/>
      </c>
      <c r="C109" s="59" t="str">
        <f>IF(B109="", "", _xlfn.XLOOKUP(B109, REGISTRATION!B:B, REGISTRATION!C:C, ""))</f>
        <v/>
      </c>
      <c r="D109" s="55">
        <f>IFERROR(INDEX('DAY 1 SCORES'!$E$4:$E$123, MATCH(B109, 'DAY 1 SCORES'!$B$4:$B$123, 0)), "")</f>
        <v>0</v>
      </c>
      <c r="E109" s="55">
        <f>SUMIF('DAY 1 SCORES'!$B$4:$B$123, B109, 'DAY 1 SCORES'!$F$4:$F$123)</f>
        <v>0</v>
      </c>
      <c r="F109" s="56">
        <f>IFERROR(INDEX('DAY 2 SCORES'!$E$4:$E$123, MATCH(B109, 'DAY 2 SCORES'!$B$4:$B$123, 0)), "")</f>
        <v>0</v>
      </c>
      <c r="G109" s="56">
        <f>SUMIF('DAY 2 SCORES'!$B$4:$B$123, B109, 'DAY 2 SCORES'!$F$4:$F$123)</f>
        <v>0</v>
      </c>
      <c r="H109" s="55">
        <f>SUMIF('DAY 1 SCORES'!$B$4:$B$123, B109, 'DAY 1 SCORES'!$D$4:$D$123)</f>
        <v>0</v>
      </c>
      <c r="I109" s="55">
        <f>SUMIF('DAY 2 SCORES'!$B$4:$B$123, B109, 'DAY 2 SCORES'!$D$4:$D$123)</f>
        <v>0</v>
      </c>
      <c r="J109" s="55">
        <f>H109+I109</f>
        <v>0</v>
      </c>
      <c r="K109" s="56">
        <f>SUMIF('DAY 1 SCORES'!$B$4:$B$123, B109, 'DAY 1 SCORES'!$H$4:$H$123)</f>
        <v>14400</v>
      </c>
      <c r="L109" s="56">
        <f>SUMIF('DAY 2 SCORES'!$B$4:$B$123, B109, 'DAY 2 SCORES'!$H$4:$H$123)</f>
        <v>14400</v>
      </c>
      <c r="M109" s="54">
        <f>IF(OR(B109="", B109=0), 999, SUM(K109:L109))</f>
        <v>999</v>
      </c>
      <c r="N109" s="24"/>
      <c r="O109" s="24"/>
      <c r="P109" s="24"/>
      <c r="Q109" s="24"/>
      <c r="R109" s="24"/>
      <c r="S109" s="24"/>
      <c r="T109" s="24"/>
      <c r="U109" s="24"/>
      <c r="V109" s="24"/>
      <c r="W109" s="24"/>
      <c r="X109" s="24"/>
      <c r="Y109" s="24"/>
      <c r="Z109" s="24"/>
      <c r="AA109" s="24"/>
      <c r="AB109" s="24" t="str">
        <f>REGISTRATION!C108</f>
        <v/>
      </c>
      <c r="AC109" s="24">
        <f>'DAY 1 SCORES'!E110</f>
        <v>0</v>
      </c>
      <c r="AD109" s="24">
        <f>'DAY 1 SCORES'!F110</f>
        <v>0</v>
      </c>
      <c r="AE109" s="24">
        <f>'DAY 2 SCORES'!E110</f>
        <v>0</v>
      </c>
      <c r="AF109" s="24">
        <f>'DAY 2 SCORES'!F110</f>
        <v>0</v>
      </c>
      <c r="AG109" s="24">
        <f>'DAY 1 SCORES'!G110</f>
        <v>0</v>
      </c>
      <c r="AH109" s="24">
        <f>'DAY 2 SCORES'!G110</f>
        <v>0</v>
      </c>
      <c r="AI109" s="24">
        <f t="shared" si="2"/>
        <v>0</v>
      </c>
      <c r="AJ109" s="24">
        <f>'DAY 1 SCORES'!H110</f>
        <v>120</v>
      </c>
      <c r="AK109" s="24">
        <f>'DAY 2 SCORES'!H110</f>
        <v>120</v>
      </c>
      <c r="AL109" s="24">
        <f t="shared" si="3"/>
        <v>240</v>
      </c>
    </row>
    <row r="110" spans="1:38" ht="24.75" customHeight="1">
      <c r="A110" s="58" t="str">
        <f>IF(B110="", "", ROW()-2)</f>
        <v/>
      </c>
      <c r="B110" s="59" t="str">
        <f>IF(REGISTRATION!B109="", "", REGISTRATION!B109)</f>
        <v/>
      </c>
      <c r="C110" s="59" t="str">
        <f>IF(B110="", "", _xlfn.XLOOKUP(B110, REGISTRATION!B:B, REGISTRATION!C:C, ""))</f>
        <v/>
      </c>
      <c r="D110" s="55">
        <f>IFERROR(INDEX('DAY 1 SCORES'!$E$4:$E$123, MATCH(B110, 'DAY 1 SCORES'!$B$4:$B$123, 0)), "")</f>
        <v>0</v>
      </c>
      <c r="E110" s="55">
        <f>SUMIF('DAY 1 SCORES'!$B$4:$B$123, B110, 'DAY 1 SCORES'!$F$4:$F$123)</f>
        <v>0</v>
      </c>
      <c r="F110" s="56">
        <f>IFERROR(INDEX('DAY 2 SCORES'!$E$4:$E$123, MATCH(B110, 'DAY 2 SCORES'!$B$4:$B$123, 0)), "")</f>
        <v>0</v>
      </c>
      <c r="G110" s="56">
        <f>SUMIF('DAY 2 SCORES'!$B$4:$B$123, B110, 'DAY 2 SCORES'!$F$4:$F$123)</f>
        <v>0</v>
      </c>
      <c r="H110" s="55">
        <f>SUMIF('DAY 1 SCORES'!$B$4:$B$123, B110, 'DAY 1 SCORES'!$D$4:$D$123)</f>
        <v>0</v>
      </c>
      <c r="I110" s="55">
        <f>SUMIF('DAY 2 SCORES'!$B$4:$B$123, B110, 'DAY 2 SCORES'!$D$4:$D$123)</f>
        <v>0</v>
      </c>
      <c r="J110" s="55">
        <f>H110+I110</f>
        <v>0</v>
      </c>
      <c r="K110" s="56">
        <f>SUMIF('DAY 1 SCORES'!$B$4:$B$123, B110, 'DAY 1 SCORES'!$H$4:$H$123)</f>
        <v>14400</v>
      </c>
      <c r="L110" s="56">
        <f>SUMIF('DAY 2 SCORES'!$B$4:$B$123, B110, 'DAY 2 SCORES'!$H$4:$H$123)</f>
        <v>14400</v>
      </c>
      <c r="M110" s="54">
        <f>IF(OR(B110="", B110=0), 999, SUM(K110:L110))</f>
        <v>999</v>
      </c>
      <c r="N110" s="24"/>
      <c r="O110" s="24"/>
      <c r="P110" s="24"/>
      <c r="Q110" s="24"/>
      <c r="R110" s="24"/>
      <c r="S110" s="24"/>
      <c r="T110" s="24"/>
      <c r="U110" s="24"/>
      <c r="V110" s="24"/>
      <c r="W110" s="24"/>
      <c r="X110" s="24"/>
      <c r="Y110" s="24"/>
      <c r="Z110" s="24"/>
      <c r="AA110" s="24"/>
      <c r="AB110" s="24" t="str">
        <f>REGISTRATION!C109</f>
        <v/>
      </c>
      <c r="AC110" s="24">
        <f>'DAY 1 SCORES'!E111</f>
        <v>0</v>
      </c>
      <c r="AD110" s="24">
        <f>'DAY 1 SCORES'!F111</f>
        <v>0</v>
      </c>
      <c r="AE110" s="24">
        <f>'DAY 2 SCORES'!E111</f>
        <v>0</v>
      </c>
      <c r="AF110" s="24">
        <f>'DAY 2 SCORES'!F111</f>
        <v>0</v>
      </c>
      <c r="AG110" s="24">
        <f>'DAY 1 SCORES'!G111</f>
        <v>0</v>
      </c>
      <c r="AH110" s="24">
        <f>'DAY 2 SCORES'!G111</f>
        <v>0</v>
      </c>
      <c r="AI110" s="24">
        <f t="shared" si="2"/>
        <v>0</v>
      </c>
      <c r="AJ110" s="24">
        <f>'DAY 1 SCORES'!H111</f>
        <v>120</v>
      </c>
      <c r="AK110" s="24">
        <f>'DAY 2 SCORES'!H111</f>
        <v>120</v>
      </c>
      <c r="AL110" s="24">
        <f t="shared" si="3"/>
        <v>240</v>
      </c>
    </row>
    <row r="111" spans="1:38" ht="24.75" customHeight="1">
      <c r="A111" s="58" t="str">
        <f>IF(B111="", "", ROW()-2)</f>
        <v/>
      </c>
      <c r="B111" s="59" t="str">
        <f>IF(REGISTRATION!B110="", "", REGISTRATION!B110)</f>
        <v/>
      </c>
      <c r="C111" s="59" t="str">
        <f>IF(B111="", "", _xlfn.XLOOKUP(B111, REGISTRATION!B:B, REGISTRATION!C:C, ""))</f>
        <v/>
      </c>
      <c r="D111" s="55">
        <f>IFERROR(INDEX('DAY 1 SCORES'!$E$4:$E$123, MATCH(B111, 'DAY 1 SCORES'!$B$4:$B$123, 0)), "")</f>
        <v>0</v>
      </c>
      <c r="E111" s="55">
        <f>SUMIF('DAY 1 SCORES'!$B$4:$B$123, B111, 'DAY 1 SCORES'!$F$4:$F$123)</f>
        <v>0</v>
      </c>
      <c r="F111" s="56">
        <f>IFERROR(INDEX('DAY 2 SCORES'!$E$4:$E$123, MATCH(B111, 'DAY 2 SCORES'!$B$4:$B$123, 0)), "")</f>
        <v>0</v>
      </c>
      <c r="G111" s="56">
        <f>SUMIF('DAY 2 SCORES'!$B$4:$B$123, B111, 'DAY 2 SCORES'!$F$4:$F$123)</f>
        <v>0</v>
      </c>
      <c r="H111" s="55">
        <f>SUMIF('DAY 1 SCORES'!$B$4:$B$123, B111, 'DAY 1 SCORES'!$D$4:$D$123)</f>
        <v>0</v>
      </c>
      <c r="I111" s="55">
        <f>SUMIF('DAY 2 SCORES'!$B$4:$B$123, B111, 'DAY 2 SCORES'!$D$4:$D$123)</f>
        <v>0</v>
      </c>
      <c r="J111" s="55">
        <f>H111+I111</f>
        <v>0</v>
      </c>
      <c r="K111" s="56">
        <f>SUMIF('DAY 1 SCORES'!$B$4:$B$123, B111, 'DAY 1 SCORES'!$H$4:$H$123)</f>
        <v>14400</v>
      </c>
      <c r="L111" s="56">
        <f>SUMIF('DAY 2 SCORES'!$B$4:$B$123, B111, 'DAY 2 SCORES'!$H$4:$H$123)</f>
        <v>14400</v>
      </c>
      <c r="M111" s="54">
        <f>IF(OR(B111="", B111=0), 999, SUM(K111:L111))</f>
        <v>999</v>
      </c>
      <c r="N111" s="24"/>
      <c r="O111" s="24"/>
      <c r="P111" s="24"/>
      <c r="Q111" s="24"/>
      <c r="R111" s="24"/>
      <c r="S111" s="24"/>
      <c r="T111" s="24"/>
      <c r="U111" s="24"/>
      <c r="V111" s="24"/>
      <c r="W111" s="24"/>
      <c r="X111" s="24"/>
      <c r="Y111" s="24"/>
      <c r="Z111" s="24"/>
      <c r="AA111" s="24"/>
      <c r="AB111" s="24" t="str">
        <f>REGISTRATION!C110</f>
        <v/>
      </c>
      <c r="AC111" s="24">
        <f>'DAY 1 SCORES'!E112</f>
        <v>0</v>
      </c>
      <c r="AD111" s="24">
        <f>'DAY 1 SCORES'!F112</f>
        <v>0</v>
      </c>
      <c r="AE111" s="24">
        <f>'DAY 2 SCORES'!E112</f>
        <v>0</v>
      </c>
      <c r="AF111" s="24">
        <f>'DAY 2 SCORES'!F112</f>
        <v>0</v>
      </c>
      <c r="AG111" s="24">
        <f>'DAY 1 SCORES'!G112</f>
        <v>0</v>
      </c>
      <c r="AH111" s="24">
        <f>'DAY 2 SCORES'!G112</f>
        <v>0</v>
      </c>
      <c r="AI111" s="24">
        <f t="shared" si="2"/>
        <v>0</v>
      </c>
      <c r="AJ111" s="24">
        <f>'DAY 1 SCORES'!H112</f>
        <v>120</v>
      </c>
      <c r="AK111" s="24">
        <f>'DAY 2 SCORES'!H112</f>
        <v>120</v>
      </c>
      <c r="AL111" s="24">
        <f t="shared" si="3"/>
        <v>240</v>
      </c>
    </row>
    <row r="112" spans="1:38" ht="24.75" customHeight="1">
      <c r="A112" s="58" t="str">
        <f>IF(B112="", "", ROW()-2)</f>
        <v/>
      </c>
      <c r="B112" s="59" t="str">
        <f>IF(REGISTRATION!B111="", "", REGISTRATION!B111)</f>
        <v/>
      </c>
      <c r="C112" s="59" t="str">
        <f>IF(B112="", "", _xlfn.XLOOKUP(B112, REGISTRATION!B:B, REGISTRATION!C:C, ""))</f>
        <v/>
      </c>
      <c r="D112" s="55">
        <f>IFERROR(INDEX('DAY 1 SCORES'!$E$4:$E$123, MATCH(B112, 'DAY 1 SCORES'!$B$4:$B$123, 0)), "")</f>
        <v>0</v>
      </c>
      <c r="E112" s="55">
        <f>SUMIF('DAY 1 SCORES'!$B$4:$B$123, B112, 'DAY 1 SCORES'!$F$4:$F$123)</f>
        <v>0</v>
      </c>
      <c r="F112" s="56">
        <f>IFERROR(INDEX('DAY 2 SCORES'!$E$4:$E$123, MATCH(B112, 'DAY 2 SCORES'!$B$4:$B$123, 0)), "")</f>
        <v>0</v>
      </c>
      <c r="G112" s="56">
        <f>SUMIF('DAY 2 SCORES'!$B$4:$B$123, B112, 'DAY 2 SCORES'!$F$4:$F$123)</f>
        <v>0</v>
      </c>
      <c r="H112" s="55">
        <f>SUMIF('DAY 1 SCORES'!$B$4:$B$123, B112, 'DAY 1 SCORES'!$D$4:$D$123)</f>
        <v>0</v>
      </c>
      <c r="I112" s="55">
        <f>SUMIF('DAY 2 SCORES'!$B$4:$B$123, B112, 'DAY 2 SCORES'!$D$4:$D$123)</f>
        <v>0</v>
      </c>
      <c r="J112" s="55">
        <f>H112+I112</f>
        <v>0</v>
      </c>
      <c r="K112" s="56">
        <f>SUMIF('DAY 1 SCORES'!$B$4:$B$123, B112, 'DAY 1 SCORES'!$H$4:$H$123)</f>
        <v>14400</v>
      </c>
      <c r="L112" s="56">
        <f>SUMIF('DAY 2 SCORES'!$B$4:$B$123, B112, 'DAY 2 SCORES'!$H$4:$H$123)</f>
        <v>14400</v>
      </c>
      <c r="M112" s="54">
        <f>IF(OR(B112="", B112=0), 999, SUM(K112:L112))</f>
        <v>999</v>
      </c>
      <c r="N112" s="24"/>
      <c r="O112" s="24"/>
      <c r="P112" s="24"/>
      <c r="Q112" s="24"/>
      <c r="R112" s="24"/>
      <c r="S112" s="24"/>
      <c r="T112" s="24"/>
      <c r="U112" s="24"/>
      <c r="V112" s="24"/>
      <c r="W112" s="24"/>
      <c r="X112" s="24"/>
      <c r="Y112" s="24"/>
      <c r="Z112" s="24"/>
      <c r="AA112" s="24"/>
      <c r="AB112" s="24" t="str">
        <f>REGISTRATION!C111</f>
        <v/>
      </c>
      <c r="AC112" s="24">
        <f>'DAY 1 SCORES'!E113</f>
        <v>0</v>
      </c>
      <c r="AD112" s="24">
        <f>'DAY 1 SCORES'!F113</f>
        <v>0</v>
      </c>
      <c r="AE112" s="24">
        <f>'DAY 2 SCORES'!E113</f>
        <v>0</v>
      </c>
      <c r="AF112" s="24">
        <f>'DAY 2 SCORES'!F113</f>
        <v>0</v>
      </c>
      <c r="AG112" s="24">
        <f>'DAY 1 SCORES'!G113</f>
        <v>0</v>
      </c>
      <c r="AH112" s="24">
        <f>'DAY 2 SCORES'!G113</f>
        <v>0</v>
      </c>
      <c r="AI112" s="24">
        <f t="shared" si="2"/>
        <v>0</v>
      </c>
      <c r="AJ112" s="24">
        <f>'DAY 1 SCORES'!H113</f>
        <v>120</v>
      </c>
      <c r="AK112" s="24">
        <f>'DAY 2 SCORES'!H113</f>
        <v>120</v>
      </c>
      <c r="AL112" s="24">
        <f t="shared" si="3"/>
        <v>240</v>
      </c>
    </row>
    <row r="113" spans="1:38" ht="24.75" customHeight="1">
      <c r="A113" s="58" t="str">
        <f>IF(B113="", "", ROW()-2)</f>
        <v/>
      </c>
      <c r="B113" s="59" t="str">
        <f>IF(REGISTRATION!B112="", "", REGISTRATION!B112)</f>
        <v/>
      </c>
      <c r="C113" s="59" t="str">
        <f>IF(B113="", "", _xlfn.XLOOKUP(B113, REGISTRATION!B:B, REGISTRATION!C:C, ""))</f>
        <v/>
      </c>
      <c r="D113" s="55">
        <f>IFERROR(INDEX('DAY 1 SCORES'!$E$4:$E$123, MATCH(B113, 'DAY 1 SCORES'!$B$4:$B$123, 0)), "")</f>
        <v>0</v>
      </c>
      <c r="E113" s="55">
        <f>SUMIF('DAY 1 SCORES'!$B$4:$B$123, B113, 'DAY 1 SCORES'!$F$4:$F$123)</f>
        <v>0</v>
      </c>
      <c r="F113" s="56">
        <f>IFERROR(INDEX('DAY 2 SCORES'!$E$4:$E$123, MATCH(B113, 'DAY 2 SCORES'!$B$4:$B$123, 0)), "")</f>
        <v>0</v>
      </c>
      <c r="G113" s="56">
        <f>SUMIF('DAY 2 SCORES'!$B$4:$B$123, B113, 'DAY 2 SCORES'!$F$4:$F$123)</f>
        <v>0</v>
      </c>
      <c r="H113" s="55">
        <f>SUMIF('DAY 1 SCORES'!$B$4:$B$123, B113, 'DAY 1 SCORES'!$D$4:$D$123)</f>
        <v>0</v>
      </c>
      <c r="I113" s="55">
        <f>SUMIF('DAY 2 SCORES'!$B$4:$B$123, B113, 'DAY 2 SCORES'!$D$4:$D$123)</f>
        <v>0</v>
      </c>
      <c r="J113" s="55">
        <f>H113+I113</f>
        <v>0</v>
      </c>
      <c r="K113" s="56">
        <f>SUMIF('DAY 1 SCORES'!$B$4:$B$123, B113, 'DAY 1 SCORES'!$H$4:$H$123)</f>
        <v>14400</v>
      </c>
      <c r="L113" s="56">
        <f>SUMIF('DAY 2 SCORES'!$B$4:$B$123, B113, 'DAY 2 SCORES'!$H$4:$H$123)</f>
        <v>14400</v>
      </c>
      <c r="M113" s="54">
        <f>IF(OR(B113="", B113=0), 999, SUM(K113:L113))</f>
        <v>999</v>
      </c>
      <c r="N113" s="24"/>
      <c r="O113" s="24"/>
      <c r="P113" s="24"/>
      <c r="Q113" s="24"/>
      <c r="R113" s="24"/>
      <c r="S113" s="24"/>
      <c r="T113" s="24"/>
      <c r="U113" s="24"/>
      <c r="V113" s="24"/>
      <c r="W113" s="24"/>
      <c r="X113" s="24"/>
      <c r="Y113" s="24"/>
      <c r="Z113" s="24"/>
      <c r="AA113" s="24"/>
      <c r="AB113" s="24" t="str">
        <f>REGISTRATION!C112</f>
        <v/>
      </c>
      <c r="AC113" s="24">
        <f>'DAY 1 SCORES'!E114</f>
        <v>0</v>
      </c>
      <c r="AD113" s="24">
        <f>'DAY 1 SCORES'!F114</f>
        <v>0</v>
      </c>
      <c r="AE113" s="24">
        <f>'DAY 2 SCORES'!E114</f>
        <v>0</v>
      </c>
      <c r="AF113" s="24">
        <f>'DAY 2 SCORES'!F114</f>
        <v>0</v>
      </c>
      <c r="AG113" s="24">
        <f>'DAY 1 SCORES'!G114</f>
        <v>0</v>
      </c>
      <c r="AH113" s="24">
        <f>'DAY 2 SCORES'!G114</f>
        <v>0</v>
      </c>
      <c r="AI113" s="24">
        <f t="shared" si="2"/>
        <v>0</v>
      </c>
      <c r="AJ113" s="24">
        <f>'DAY 1 SCORES'!H114</f>
        <v>120</v>
      </c>
      <c r="AK113" s="24">
        <f>'DAY 2 SCORES'!H114</f>
        <v>120</v>
      </c>
      <c r="AL113" s="24">
        <f t="shared" si="3"/>
        <v>240</v>
      </c>
    </row>
    <row r="114" spans="1:38" ht="24.75" customHeight="1">
      <c r="A114" s="58" t="str">
        <f>IF(B114="", "", ROW()-2)</f>
        <v/>
      </c>
      <c r="B114" s="59" t="str">
        <f>IF(REGISTRATION!B113="", "", REGISTRATION!B113)</f>
        <v/>
      </c>
      <c r="C114" s="59" t="str">
        <f>IF(B114="", "", _xlfn.XLOOKUP(B114, REGISTRATION!B:B, REGISTRATION!C:C, ""))</f>
        <v/>
      </c>
      <c r="D114" s="55">
        <f>IFERROR(INDEX('DAY 1 SCORES'!$E$4:$E$123, MATCH(B114, 'DAY 1 SCORES'!$B$4:$B$123, 0)), "")</f>
        <v>0</v>
      </c>
      <c r="E114" s="55">
        <f>SUMIF('DAY 1 SCORES'!$B$4:$B$123, B114, 'DAY 1 SCORES'!$F$4:$F$123)</f>
        <v>0</v>
      </c>
      <c r="F114" s="56">
        <f>IFERROR(INDEX('DAY 2 SCORES'!$E$4:$E$123, MATCH(B114, 'DAY 2 SCORES'!$B$4:$B$123, 0)), "")</f>
        <v>0</v>
      </c>
      <c r="G114" s="56">
        <f>SUMIF('DAY 2 SCORES'!$B$4:$B$123, B114, 'DAY 2 SCORES'!$F$4:$F$123)</f>
        <v>0</v>
      </c>
      <c r="H114" s="55">
        <f>SUMIF('DAY 1 SCORES'!$B$4:$B$123, B114, 'DAY 1 SCORES'!$D$4:$D$123)</f>
        <v>0</v>
      </c>
      <c r="I114" s="55">
        <f>SUMIF('DAY 2 SCORES'!$B$4:$B$123, B114, 'DAY 2 SCORES'!$D$4:$D$123)</f>
        <v>0</v>
      </c>
      <c r="J114" s="55">
        <f>H114+I114</f>
        <v>0</v>
      </c>
      <c r="K114" s="56">
        <f>SUMIF('DAY 1 SCORES'!$B$4:$B$123, B114, 'DAY 1 SCORES'!$H$4:$H$123)</f>
        <v>14400</v>
      </c>
      <c r="L114" s="56">
        <f>SUMIF('DAY 2 SCORES'!$B$4:$B$123, B114, 'DAY 2 SCORES'!$H$4:$H$123)</f>
        <v>14400</v>
      </c>
      <c r="M114" s="54">
        <f>IF(OR(B114="", B114=0), 999, SUM(K114:L114))</f>
        <v>999</v>
      </c>
      <c r="N114" s="24"/>
      <c r="O114" s="24"/>
      <c r="P114" s="24"/>
      <c r="Q114" s="24"/>
      <c r="R114" s="24"/>
      <c r="S114" s="24"/>
      <c r="T114" s="24"/>
      <c r="U114" s="24"/>
      <c r="V114" s="24"/>
      <c r="W114" s="24"/>
      <c r="X114" s="24"/>
      <c r="Y114" s="24"/>
      <c r="Z114" s="24"/>
      <c r="AA114" s="24"/>
      <c r="AB114" s="24" t="str">
        <f>REGISTRATION!C113</f>
        <v/>
      </c>
      <c r="AC114" s="24">
        <f>'DAY 1 SCORES'!E115</f>
        <v>0</v>
      </c>
      <c r="AD114" s="24">
        <f>'DAY 1 SCORES'!F115</f>
        <v>0</v>
      </c>
      <c r="AE114" s="24">
        <f>'DAY 2 SCORES'!E115</f>
        <v>0</v>
      </c>
      <c r="AF114" s="24">
        <f>'DAY 2 SCORES'!F115</f>
        <v>0</v>
      </c>
      <c r="AG114" s="24">
        <f>'DAY 1 SCORES'!G115</f>
        <v>0</v>
      </c>
      <c r="AH114" s="24">
        <f>'DAY 2 SCORES'!G115</f>
        <v>0</v>
      </c>
      <c r="AI114" s="24">
        <f t="shared" si="2"/>
        <v>0</v>
      </c>
      <c r="AJ114" s="24">
        <f>'DAY 1 SCORES'!H115</f>
        <v>120</v>
      </c>
      <c r="AK114" s="24">
        <f>'DAY 2 SCORES'!H115</f>
        <v>120</v>
      </c>
      <c r="AL114" s="24">
        <f t="shared" si="3"/>
        <v>240</v>
      </c>
    </row>
    <row r="115" spans="1:38" ht="24.75" customHeight="1">
      <c r="A115" s="58" t="str">
        <f>IF(B115="", "", ROW()-2)</f>
        <v/>
      </c>
      <c r="B115" s="59" t="str">
        <f>IF(REGISTRATION!B114="", "", REGISTRATION!B114)</f>
        <v/>
      </c>
      <c r="C115" s="59" t="str">
        <f>IF(B115="", "", _xlfn.XLOOKUP(B115, REGISTRATION!B:B, REGISTRATION!C:C, ""))</f>
        <v/>
      </c>
      <c r="D115" s="55">
        <f>IFERROR(INDEX('DAY 1 SCORES'!$E$4:$E$123, MATCH(B115, 'DAY 1 SCORES'!$B$4:$B$123, 0)), "")</f>
        <v>0</v>
      </c>
      <c r="E115" s="55">
        <f>SUMIF('DAY 1 SCORES'!$B$4:$B$123, B115, 'DAY 1 SCORES'!$F$4:$F$123)</f>
        <v>0</v>
      </c>
      <c r="F115" s="56">
        <f>IFERROR(INDEX('DAY 2 SCORES'!$E$4:$E$123, MATCH(B115, 'DAY 2 SCORES'!$B$4:$B$123, 0)), "")</f>
        <v>0</v>
      </c>
      <c r="G115" s="56">
        <f>SUMIF('DAY 2 SCORES'!$B$4:$B$123, B115, 'DAY 2 SCORES'!$F$4:$F$123)</f>
        <v>0</v>
      </c>
      <c r="H115" s="55">
        <f>SUMIF('DAY 1 SCORES'!$B$4:$B$123, B115, 'DAY 1 SCORES'!$D$4:$D$123)</f>
        <v>0</v>
      </c>
      <c r="I115" s="55">
        <f>SUMIF('DAY 2 SCORES'!$B$4:$B$123, B115, 'DAY 2 SCORES'!$D$4:$D$123)</f>
        <v>0</v>
      </c>
      <c r="J115" s="55">
        <f>H115+I115</f>
        <v>0</v>
      </c>
      <c r="K115" s="56">
        <f>SUMIF('DAY 1 SCORES'!$B$4:$B$123, B115, 'DAY 1 SCORES'!$H$4:$H$123)</f>
        <v>14400</v>
      </c>
      <c r="L115" s="56">
        <f>SUMIF('DAY 2 SCORES'!$B$4:$B$123, B115, 'DAY 2 SCORES'!$H$4:$H$123)</f>
        <v>14400</v>
      </c>
      <c r="M115" s="54">
        <f>IF(OR(B115="", B115=0), 999, SUM(K115:L115))</f>
        <v>999</v>
      </c>
      <c r="N115" s="24"/>
      <c r="O115" s="24"/>
      <c r="P115" s="24"/>
      <c r="Q115" s="24"/>
      <c r="R115" s="24"/>
      <c r="S115" s="24"/>
      <c r="T115" s="24"/>
      <c r="U115" s="24"/>
      <c r="V115" s="24"/>
      <c r="W115" s="24"/>
      <c r="X115" s="24"/>
      <c r="Y115" s="24"/>
      <c r="Z115" s="24"/>
      <c r="AA115" s="24"/>
      <c r="AB115" s="24" t="str">
        <f>REGISTRATION!C114</f>
        <v/>
      </c>
      <c r="AC115" s="24">
        <f>'DAY 1 SCORES'!E116</f>
        <v>0</v>
      </c>
      <c r="AD115" s="24">
        <f>'DAY 1 SCORES'!F116</f>
        <v>0</v>
      </c>
      <c r="AE115" s="24">
        <f>'DAY 2 SCORES'!E116</f>
        <v>0</v>
      </c>
      <c r="AF115" s="24">
        <f>'DAY 2 SCORES'!F116</f>
        <v>0</v>
      </c>
      <c r="AG115" s="24">
        <f>'DAY 1 SCORES'!G116</f>
        <v>0</v>
      </c>
      <c r="AH115" s="24">
        <f>'DAY 2 SCORES'!G116</f>
        <v>0</v>
      </c>
      <c r="AI115" s="24">
        <f t="shared" si="2"/>
        <v>0</v>
      </c>
      <c r="AJ115" s="24">
        <f>'DAY 1 SCORES'!H116</f>
        <v>120</v>
      </c>
      <c r="AK115" s="24">
        <f>'DAY 2 SCORES'!H116</f>
        <v>120</v>
      </c>
      <c r="AL115" s="24">
        <f t="shared" si="3"/>
        <v>240</v>
      </c>
    </row>
    <row r="116" spans="1:38" ht="24.75" customHeight="1">
      <c r="A116" s="58" t="str">
        <f>IF(B116="", "", ROW()-2)</f>
        <v/>
      </c>
      <c r="B116" s="59" t="str">
        <f>IF(REGISTRATION!B115="", "", REGISTRATION!B115)</f>
        <v/>
      </c>
      <c r="C116" s="59" t="str">
        <f>IF(B116="", "", _xlfn.XLOOKUP(B116, REGISTRATION!B:B, REGISTRATION!C:C, ""))</f>
        <v/>
      </c>
      <c r="D116" s="55">
        <f>IFERROR(INDEX('DAY 1 SCORES'!$E$4:$E$123, MATCH(B116, 'DAY 1 SCORES'!$B$4:$B$123, 0)), "")</f>
        <v>0</v>
      </c>
      <c r="E116" s="55">
        <f>SUMIF('DAY 1 SCORES'!$B$4:$B$123, B116, 'DAY 1 SCORES'!$F$4:$F$123)</f>
        <v>0</v>
      </c>
      <c r="F116" s="56">
        <f>IFERROR(INDEX('DAY 2 SCORES'!$E$4:$E$123, MATCH(B116, 'DAY 2 SCORES'!$B$4:$B$123, 0)), "")</f>
        <v>0</v>
      </c>
      <c r="G116" s="56">
        <f>SUMIF('DAY 2 SCORES'!$B$4:$B$123, B116, 'DAY 2 SCORES'!$F$4:$F$123)</f>
        <v>0</v>
      </c>
      <c r="H116" s="55">
        <f>SUMIF('DAY 1 SCORES'!$B$4:$B$123, B116, 'DAY 1 SCORES'!$D$4:$D$123)</f>
        <v>0</v>
      </c>
      <c r="I116" s="55">
        <f>SUMIF('DAY 2 SCORES'!$B$4:$B$123, B116, 'DAY 2 SCORES'!$D$4:$D$123)</f>
        <v>0</v>
      </c>
      <c r="J116" s="55">
        <f>H116+I116</f>
        <v>0</v>
      </c>
      <c r="K116" s="56">
        <f>SUMIF('DAY 1 SCORES'!$B$4:$B$123, B116, 'DAY 1 SCORES'!$H$4:$H$123)</f>
        <v>14400</v>
      </c>
      <c r="L116" s="56">
        <f>SUMIF('DAY 2 SCORES'!$B$4:$B$123, B116, 'DAY 2 SCORES'!$H$4:$H$123)</f>
        <v>14400</v>
      </c>
      <c r="M116" s="54">
        <f>IF(OR(B116="", B116=0), 999, SUM(K116:L116))</f>
        <v>999</v>
      </c>
      <c r="N116" s="24"/>
      <c r="O116" s="24"/>
      <c r="P116" s="24"/>
      <c r="Q116" s="24"/>
      <c r="R116" s="24"/>
      <c r="S116" s="24"/>
      <c r="T116" s="24"/>
      <c r="U116" s="24"/>
      <c r="V116" s="24"/>
      <c r="W116" s="24"/>
      <c r="X116" s="24"/>
      <c r="Y116" s="24"/>
      <c r="Z116" s="24"/>
      <c r="AA116" s="24"/>
      <c r="AB116" s="24" t="str">
        <f>REGISTRATION!C115</f>
        <v/>
      </c>
      <c r="AC116" s="24">
        <f>'DAY 1 SCORES'!E117</f>
        <v>0</v>
      </c>
      <c r="AD116" s="24">
        <f>'DAY 1 SCORES'!F117</f>
        <v>0</v>
      </c>
      <c r="AE116" s="24">
        <f>'DAY 2 SCORES'!E117</f>
        <v>0</v>
      </c>
      <c r="AF116" s="24">
        <f>'DAY 2 SCORES'!F117</f>
        <v>0</v>
      </c>
      <c r="AG116" s="24">
        <f>'DAY 1 SCORES'!G117</f>
        <v>0</v>
      </c>
      <c r="AH116" s="24">
        <f>'DAY 2 SCORES'!G117</f>
        <v>0</v>
      </c>
      <c r="AI116" s="24">
        <f t="shared" si="2"/>
        <v>0</v>
      </c>
      <c r="AJ116" s="24">
        <f>'DAY 1 SCORES'!H117</f>
        <v>120</v>
      </c>
      <c r="AK116" s="24">
        <f>'DAY 2 SCORES'!H117</f>
        <v>120</v>
      </c>
      <c r="AL116" s="24">
        <f t="shared" si="3"/>
        <v>240</v>
      </c>
    </row>
    <row r="117" spans="1:38" ht="24.75" customHeight="1">
      <c r="A117" s="58" t="str">
        <f>IF(B117="", "", ROW()-2)</f>
        <v/>
      </c>
      <c r="B117" s="59" t="str">
        <f>IF(REGISTRATION!B116="", "", REGISTRATION!B116)</f>
        <v/>
      </c>
      <c r="C117" s="59" t="str">
        <f>IF(B117="", "", _xlfn.XLOOKUP(B117, REGISTRATION!B:B, REGISTRATION!C:C, ""))</f>
        <v/>
      </c>
      <c r="D117" s="55">
        <f>IFERROR(INDEX('DAY 1 SCORES'!$E$4:$E$123, MATCH(B117, 'DAY 1 SCORES'!$B$4:$B$123, 0)), "")</f>
        <v>0</v>
      </c>
      <c r="E117" s="55">
        <f>SUMIF('DAY 1 SCORES'!$B$4:$B$123, B117, 'DAY 1 SCORES'!$F$4:$F$123)</f>
        <v>0</v>
      </c>
      <c r="F117" s="56">
        <f>IFERROR(INDEX('DAY 2 SCORES'!$E$4:$E$123, MATCH(B117, 'DAY 2 SCORES'!$B$4:$B$123, 0)), "")</f>
        <v>0</v>
      </c>
      <c r="G117" s="56">
        <f>SUMIF('DAY 2 SCORES'!$B$4:$B$123, B117, 'DAY 2 SCORES'!$F$4:$F$123)</f>
        <v>0</v>
      </c>
      <c r="H117" s="55">
        <f>SUMIF('DAY 1 SCORES'!$B$4:$B$123, B117, 'DAY 1 SCORES'!$D$4:$D$123)</f>
        <v>0</v>
      </c>
      <c r="I117" s="55">
        <f>SUMIF('DAY 2 SCORES'!$B$4:$B$123, B117, 'DAY 2 SCORES'!$D$4:$D$123)</f>
        <v>0</v>
      </c>
      <c r="J117" s="55">
        <f>H117+I117</f>
        <v>0</v>
      </c>
      <c r="K117" s="56">
        <f>SUMIF('DAY 1 SCORES'!$B$4:$B$123, B117, 'DAY 1 SCORES'!$H$4:$H$123)</f>
        <v>14400</v>
      </c>
      <c r="L117" s="56">
        <f>SUMIF('DAY 2 SCORES'!$B$4:$B$123, B117, 'DAY 2 SCORES'!$H$4:$H$123)</f>
        <v>14400</v>
      </c>
      <c r="M117" s="54">
        <f>IF(OR(B117="", B117=0), 999, SUM(K117:L117))</f>
        <v>999</v>
      </c>
      <c r="N117" s="24"/>
      <c r="O117" s="24"/>
      <c r="P117" s="24"/>
      <c r="Q117" s="24"/>
      <c r="R117" s="24"/>
      <c r="S117" s="24"/>
      <c r="T117" s="24"/>
      <c r="U117" s="24"/>
      <c r="V117" s="24"/>
      <c r="W117" s="24"/>
      <c r="X117" s="24"/>
      <c r="Y117" s="24"/>
      <c r="Z117" s="24"/>
      <c r="AA117" s="24"/>
      <c r="AB117" s="24" t="str">
        <f>REGISTRATION!C116</f>
        <v/>
      </c>
      <c r="AC117" s="24">
        <f>'DAY 1 SCORES'!E118</f>
        <v>0</v>
      </c>
      <c r="AD117" s="24">
        <f>'DAY 1 SCORES'!F118</f>
        <v>0</v>
      </c>
      <c r="AE117" s="24">
        <f>'DAY 2 SCORES'!E118</f>
        <v>0</v>
      </c>
      <c r="AF117" s="24">
        <f>'DAY 2 SCORES'!F118</f>
        <v>0</v>
      </c>
      <c r="AG117" s="24">
        <f>'DAY 1 SCORES'!G118</f>
        <v>0</v>
      </c>
      <c r="AH117" s="24">
        <f>'DAY 2 SCORES'!G118</f>
        <v>0</v>
      </c>
      <c r="AI117" s="24">
        <f t="shared" si="2"/>
        <v>0</v>
      </c>
      <c r="AJ117" s="24">
        <f>'DAY 1 SCORES'!H118</f>
        <v>120</v>
      </c>
      <c r="AK117" s="24">
        <f>'DAY 2 SCORES'!H118</f>
        <v>120</v>
      </c>
      <c r="AL117" s="24">
        <f t="shared" si="3"/>
        <v>240</v>
      </c>
    </row>
    <row r="118" spans="1:38" ht="24.75" customHeight="1">
      <c r="A118" s="58" t="str">
        <f>IF(B118="", "", ROW()-2)</f>
        <v/>
      </c>
      <c r="B118" s="59" t="str">
        <f>IF(REGISTRATION!B117="", "", REGISTRATION!B117)</f>
        <v/>
      </c>
      <c r="C118" s="59" t="str">
        <f>IF(B118="", "", _xlfn.XLOOKUP(B118, REGISTRATION!B:B, REGISTRATION!C:C, ""))</f>
        <v/>
      </c>
      <c r="D118" s="55">
        <f>IFERROR(INDEX('DAY 1 SCORES'!$E$4:$E$123, MATCH(B118, 'DAY 1 SCORES'!$B$4:$B$123, 0)), "")</f>
        <v>0</v>
      </c>
      <c r="E118" s="55">
        <f>SUMIF('DAY 1 SCORES'!$B$4:$B$123, B118, 'DAY 1 SCORES'!$F$4:$F$123)</f>
        <v>0</v>
      </c>
      <c r="F118" s="56">
        <f>IFERROR(INDEX('DAY 2 SCORES'!$E$4:$E$123, MATCH(B118, 'DAY 2 SCORES'!$B$4:$B$123, 0)), "")</f>
        <v>0</v>
      </c>
      <c r="G118" s="56">
        <f>SUMIF('DAY 2 SCORES'!$B$4:$B$123, B118, 'DAY 2 SCORES'!$F$4:$F$123)</f>
        <v>0</v>
      </c>
      <c r="H118" s="55">
        <f>SUMIF('DAY 1 SCORES'!$B$4:$B$123, B118, 'DAY 1 SCORES'!$D$4:$D$123)</f>
        <v>0</v>
      </c>
      <c r="I118" s="55">
        <f>SUMIF('DAY 2 SCORES'!$B$4:$B$123, B118, 'DAY 2 SCORES'!$D$4:$D$123)</f>
        <v>0</v>
      </c>
      <c r="J118" s="55">
        <f>H118+I118</f>
        <v>0</v>
      </c>
      <c r="K118" s="56">
        <f>SUMIF('DAY 1 SCORES'!$B$4:$B$123, B118, 'DAY 1 SCORES'!$H$4:$H$123)</f>
        <v>14400</v>
      </c>
      <c r="L118" s="56">
        <f>SUMIF('DAY 2 SCORES'!$B$4:$B$123, B118, 'DAY 2 SCORES'!$H$4:$H$123)</f>
        <v>14400</v>
      </c>
      <c r="M118" s="54">
        <f>IF(OR(B118="", B118=0), 999, SUM(K118:L118))</f>
        <v>999</v>
      </c>
      <c r="N118" s="24"/>
      <c r="O118" s="24"/>
      <c r="P118" s="24"/>
      <c r="Q118" s="24"/>
      <c r="R118" s="24"/>
      <c r="S118" s="24"/>
      <c r="T118" s="24"/>
      <c r="U118" s="24"/>
      <c r="V118" s="24"/>
      <c r="W118" s="24"/>
      <c r="X118" s="24"/>
      <c r="Y118" s="24"/>
      <c r="Z118" s="24"/>
      <c r="AA118" s="24"/>
      <c r="AB118" s="24" t="str">
        <f>REGISTRATION!C117</f>
        <v/>
      </c>
      <c r="AC118" s="24">
        <f>'DAY 1 SCORES'!E119</f>
        <v>0</v>
      </c>
      <c r="AD118" s="24">
        <f>'DAY 1 SCORES'!F119</f>
        <v>0</v>
      </c>
      <c r="AE118" s="24">
        <f>'DAY 2 SCORES'!E119</f>
        <v>0</v>
      </c>
      <c r="AF118" s="24">
        <f>'DAY 2 SCORES'!F119</f>
        <v>0</v>
      </c>
      <c r="AG118" s="24">
        <f>'DAY 1 SCORES'!G119</f>
        <v>0</v>
      </c>
      <c r="AH118" s="24">
        <f>'DAY 2 SCORES'!G119</f>
        <v>0</v>
      </c>
      <c r="AI118" s="24">
        <f t="shared" si="2"/>
        <v>0</v>
      </c>
      <c r="AJ118" s="24">
        <f>'DAY 1 SCORES'!H119</f>
        <v>120</v>
      </c>
      <c r="AK118" s="24">
        <f>'DAY 2 SCORES'!H119</f>
        <v>120</v>
      </c>
      <c r="AL118" s="24">
        <f t="shared" si="3"/>
        <v>240</v>
      </c>
    </row>
    <row r="119" spans="1:38" ht="24.75" customHeight="1">
      <c r="A119" s="58" t="str">
        <f>IF(B119="", "", ROW()-2)</f>
        <v/>
      </c>
      <c r="B119" s="59" t="str">
        <f>IF(REGISTRATION!B118="", "", REGISTRATION!B118)</f>
        <v/>
      </c>
      <c r="C119" s="59" t="str">
        <f>IF(B119="", "", _xlfn.XLOOKUP(B119, REGISTRATION!B:B, REGISTRATION!C:C, ""))</f>
        <v/>
      </c>
      <c r="D119" s="55">
        <f>IFERROR(INDEX('DAY 1 SCORES'!$E$4:$E$123, MATCH(B119, 'DAY 1 SCORES'!$B$4:$B$123, 0)), "")</f>
        <v>0</v>
      </c>
      <c r="E119" s="55">
        <f>SUMIF('DAY 1 SCORES'!$B$4:$B$123, B119, 'DAY 1 SCORES'!$F$4:$F$123)</f>
        <v>0</v>
      </c>
      <c r="F119" s="56">
        <f>IFERROR(INDEX('DAY 2 SCORES'!$E$4:$E$123, MATCH(B119, 'DAY 2 SCORES'!$B$4:$B$123, 0)), "")</f>
        <v>0</v>
      </c>
      <c r="G119" s="56">
        <f>SUMIF('DAY 2 SCORES'!$B$4:$B$123, B119, 'DAY 2 SCORES'!$F$4:$F$123)</f>
        <v>0</v>
      </c>
      <c r="H119" s="55">
        <f>SUMIF('DAY 1 SCORES'!$B$4:$B$123, B119, 'DAY 1 SCORES'!$D$4:$D$123)</f>
        <v>0</v>
      </c>
      <c r="I119" s="55">
        <f>SUMIF('DAY 2 SCORES'!$B$4:$B$123, B119, 'DAY 2 SCORES'!$D$4:$D$123)</f>
        <v>0</v>
      </c>
      <c r="J119" s="55">
        <f>H119+I119</f>
        <v>0</v>
      </c>
      <c r="K119" s="56">
        <f>SUMIF('DAY 1 SCORES'!$B$4:$B$123, B119, 'DAY 1 SCORES'!$H$4:$H$123)</f>
        <v>14400</v>
      </c>
      <c r="L119" s="56">
        <f>SUMIF('DAY 2 SCORES'!$B$4:$B$123, B119, 'DAY 2 SCORES'!$H$4:$H$123)</f>
        <v>14400</v>
      </c>
      <c r="M119" s="54">
        <f>IF(OR(B119="", B119=0), 999, SUM(K119:L119))</f>
        <v>999</v>
      </c>
      <c r="N119" s="24"/>
      <c r="O119" s="24"/>
      <c r="P119" s="24"/>
      <c r="Q119" s="24"/>
      <c r="R119" s="24"/>
      <c r="S119" s="24"/>
      <c r="T119" s="24"/>
      <c r="U119" s="24"/>
      <c r="V119" s="24"/>
      <c r="W119" s="24"/>
      <c r="X119" s="24"/>
      <c r="Y119" s="24"/>
      <c r="Z119" s="24"/>
      <c r="AA119" s="24"/>
      <c r="AB119" s="24" t="str">
        <f>REGISTRATION!C118</f>
        <v/>
      </c>
      <c r="AC119" s="24">
        <f>'DAY 1 SCORES'!E120</f>
        <v>0</v>
      </c>
      <c r="AD119" s="24">
        <f>'DAY 1 SCORES'!F120</f>
        <v>0</v>
      </c>
      <c r="AE119" s="24">
        <f>'DAY 2 SCORES'!E120</f>
        <v>0</v>
      </c>
      <c r="AF119" s="24">
        <f>'DAY 2 SCORES'!F120</f>
        <v>0</v>
      </c>
      <c r="AG119" s="24">
        <f>'DAY 1 SCORES'!G120</f>
        <v>0</v>
      </c>
      <c r="AH119" s="24">
        <f>'DAY 2 SCORES'!G120</f>
        <v>0</v>
      </c>
      <c r="AI119" s="24">
        <f t="shared" si="2"/>
        <v>0</v>
      </c>
      <c r="AJ119" s="24">
        <f>'DAY 1 SCORES'!H120</f>
        <v>120</v>
      </c>
      <c r="AK119" s="24">
        <f>'DAY 2 SCORES'!H120</f>
        <v>120</v>
      </c>
      <c r="AL119" s="24">
        <f t="shared" si="3"/>
        <v>240</v>
      </c>
    </row>
    <row r="120" spans="1:38" ht="24.75" customHeight="1">
      <c r="A120" s="58" t="str">
        <f>IF(B120="", "", ROW()-2)</f>
        <v/>
      </c>
      <c r="B120" s="59" t="str">
        <f>IF(REGISTRATION!B119="", "", REGISTRATION!B119)</f>
        <v/>
      </c>
      <c r="C120" s="59" t="str">
        <f>IF(B120="", "", _xlfn.XLOOKUP(B120, REGISTRATION!B:B, REGISTRATION!C:C, ""))</f>
        <v/>
      </c>
      <c r="D120" s="55">
        <f>IFERROR(INDEX('DAY 1 SCORES'!$E$4:$E$123, MATCH(B120, 'DAY 1 SCORES'!$B$4:$B$123, 0)), "")</f>
        <v>0</v>
      </c>
      <c r="E120" s="55">
        <f>SUMIF('DAY 1 SCORES'!$B$4:$B$123, B120, 'DAY 1 SCORES'!$F$4:$F$123)</f>
        <v>0</v>
      </c>
      <c r="F120" s="56">
        <f>IFERROR(INDEX('DAY 2 SCORES'!$E$4:$E$123, MATCH(B120, 'DAY 2 SCORES'!$B$4:$B$123, 0)), "")</f>
        <v>0</v>
      </c>
      <c r="G120" s="56">
        <f>SUMIF('DAY 2 SCORES'!$B$4:$B$123, B120, 'DAY 2 SCORES'!$F$4:$F$123)</f>
        <v>0</v>
      </c>
      <c r="H120" s="55">
        <f>SUMIF('DAY 1 SCORES'!$B$4:$B$123, B120, 'DAY 1 SCORES'!$D$4:$D$123)</f>
        <v>0</v>
      </c>
      <c r="I120" s="55">
        <f>SUMIF('DAY 2 SCORES'!$B$4:$B$123, B120, 'DAY 2 SCORES'!$D$4:$D$123)</f>
        <v>0</v>
      </c>
      <c r="J120" s="55">
        <f>H120+I120</f>
        <v>0</v>
      </c>
      <c r="K120" s="56">
        <f>SUMIF('DAY 1 SCORES'!$B$4:$B$123, B120, 'DAY 1 SCORES'!$H$4:$H$123)</f>
        <v>14400</v>
      </c>
      <c r="L120" s="56">
        <f>SUMIF('DAY 2 SCORES'!$B$4:$B$123, B120, 'DAY 2 SCORES'!$H$4:$H$123)</f>
        <v>14400</v>
      </c>
      <c r="M120" s="54">
        <f>IF(OR(B120="", B120=0), 999, SUM(K120:L120))</f>
        <v>999</v>
      </c>
      <c r="N120" s="24"/>
      <c r="O120" s="24"/>
      <c r="P120" s="24"/>
      <c r="Q120" s="24"/>
      <c r="R120" s="24"/>
      <c r="S120" s="24"/>
      <c r="T120" s="24"/>
      <c r="U120" s="24"/>
      <c r="V120" s="24"/>
      <c r="W120" s="24"/>
      <c r="X120" s="24"/>
      <c r="Y120" s="24"/>
      <c r="Z120" s="24"/>
      <c r="AA120" s="24"/>
      <c r="AB120" s="24" t="str">
        <f>REGISTRATION!C119</f>
        <v/>
      </c>
      <c r="AC120" s="24">
        <f>'DAY 1 SCORES'!E121</f>
        <v>0</v>
      </c>
      <c r="AD120" s="24">
        <f>'DAY 1 SCORES'!F121</f>
        <v>0</v>
      </c>
      <c r="AE120" s="24">
        <f>'DAY 2 SCORES'!E121</f>
        <v>0</v>
      </c>
      <c r="AF120" s="24">
        <f>'DAY 2 SCORES'!F121</f>
        <v>0</v>
      </c>
      <c r="AG120" s="24">
        <f>'DAY 1 SCORES'!G121</f>
        <v>0</v>
      </c>
      <c r="AH120" s="24">
        <f>'DAY 2 SCORES'!G121</f>
        <v>0</v>
      </c>
      <c r="AI120" s="24">
        <f t="shared" si="2"/>
        <v>0</v>
      </c>
      <c r="AJ120" s="24">
        <f>'DAY 1 SCORES'!H121</f>
        <v>120</v>
      </c>
      <c r="AK120" s="24">
        <f>'DAY 2 SCORES'!H121</f>
        <v>120</v>
      </c>
      <c r="AL120" s="24">
        <f t="shared" si="3"/>
        <v>240</v>
      </c>
    </row>
    <row r="121" spans="1:38" ht="24.75" customHeight="1">
      <c r="A121" s="60" t="str">
        <f>IF(B121="", "", ROW()-2)</f>
        <v/>
      </c>
      <c r="B121" s="59" t="str">
        <f>IF(REGISTRATION!B120="", "", REGISTRATION!B120)</f>
        <v/>
      </c>
      <c r="C121" s="59" t="str">
        <f>IF(B121="", "", _xlfn.XLOOKUP(B121, REGISTRATION!B:B, REGISTRATION!C:C, ""))</f>
        <v/>
      </c>
      <c r="D121" s="61">
        <f>IFERROR(INDEX('DAY 1 SCORES'!$E$4:$E$123, MATCH(B121, 'DAY 1 SCORES'!$B$4:$B$123, 0)), "")</f>
        <v>0</v>
      </c>
      <c r="E121" s="61">
        <f>SUMIF('DAY 1 SCORES'!$B$4:$B$123, B121, 'DAY 1 SCORES'!$F$4:$F$123)</f>
        <v>0</v>
      </c>
      <c r="F121" s="62">
        <f>IFERROR(INDEX('DAY 2 SCORES'!$E$4:$E$123, MATCH(B121, 'DAY 2 SCORES'!$B$4:$B$123, 0)), "")</f>
        <v>0</v>
      </c>
      <c r="G121" s="62">
        <f>SUMIF('DAY 2 SCORES'!$B$4:$B$123, B121, 'DAY 2 SCORES'!$F$4:$F$123)</f>
        <v>0</v>
      </c>
      <c r="H121" s="61">
        <f>SUMIF('DAY 1 SCORES'!$B$4:$B$123, B121, 'DAY 1 SCORES'!$D$4:$D$123)</f>
        <v>0</v>
      </c>
      <c r="I121" s="61">
        <f>SUMIF('DAY 2 SCORES'!$B$4:$B$123, B121, 'DAY 2 SCORES'!$D$4:$D$123)</f>
        <v>0</v>
      </c>
      <c r="J121" s="61">
        <f>H121+I121</f>
        <v>0</v>
      </c>
      <c r="K121" s="62">
        <f>SUMIF('DAY 1 SCORES'!$B$4:$B$123, B121, 'DAY 1 SCORES'!$H$4:$H$123)</f>
        <v>14400</v>
      </c>
      <c r="L121" s="62">
        <f>SUMIF('DAY 2 SCORES'!$B$4:$B$123, B121, 'DAY 2 SCORES'!$H$4:$H$123)</f>
        <v>14400</v>
      </c>
      <c r="M121" s="63">
        <f>IF(OR(B121="", B121=0), 999, SUM(K121:L121))</f>
        <v>999</v>
      </c>
      <c r="N121" s="24"/>
      <c r="O121" s="24"/>
      <c r="P121" s="24"/>
      <c r="Q121" s="24"/>
      <c r="R121" s="24"/>
      <c r="S121" s="24"/>
      <c r="T121" s="24"/>
      <c r="U121" s="24"/>
      <c r="V121" s="24"/>
      <c r="W121" s="24"/>
      <c r="X121" s="24"/>
      <c r="Y121" s="24"/>
      <c r="Z121" s="24"/>
      <c r="AA121" s="24"/>
      <c r="AB121" s="24" t="str">
        <f>REGISTRATION!C120</f>
        <v/>
      </c>
      <c r="AC121" s="24">
        <f>'DAY 1 SCORES'!E122</f>
        <v>0</v>
      </c>
      <c r="AD121" s="24">
        <f>'DAY 1 SCORES'!F122</f>
        <v>0</v>
      </c>
      <c r="AE121" s="24">
        <f>'DAY 2 SCORES'!E122</f>
        <v>0</v>
      </c>
      <c r="AF121" s="24">
        <f>'DAY 2 SCORES'!F122</f>
        <v>0</v>
      </c>
      <c r="AG121" s="24">
        <f>'DAY 1 SCORES'!G122</f>
        <v>0</v>
      </c>
      <c r="AH121" s="24">
        <f>'DAY 2 SCORES'!G122</f>
        <v>0</v>
      </c>
      <c r="AI121" s="24">
        <f t="shared" si="2"/>
        <v>0</v>
      </c>
      <c r="AJ121" s="24">
        <f>'DAY 1 SCORES'!H122</f>
        <v>120</v>
      </c>
      <c r="AK121" s="24">
        <f>'DAY 2 SCORES'!H122</f>
        <v>120</v>
      </c>
      <c r="AL121" s="24">
        <f t="shared" si="3"/>
        <v>240</v>
      </c>
    </row>
    <row r="136" spans="38:38" ht="24.75" hidden="1" customHeight="1">
      <c r="AL136" s="24"/>
    </row>
  </sheetData>
  <sheetProtection formatColumns="0" sort="0" autoFilter="0"/>
  <protectedRanges>
    <protectedRange sqref="J1:J1048576" name="Length Sort"/>
    <protectedRange sqref="M1:M1048576" name="points Score"/>
  </protectedRanges>
  <sortState xmlns:xlrd2="http://schemas.microsoft.com/office/spreadsheetml/2017/richdata2" ref="A4:M121">
    <sortCondition ref="M4:M121"/>
  </sortState>
  <mergeCells count="1">
    <mergeCell ref="A1:M1"/>
  </mergeCells>
  <pageMargins left="0.7" right="0.7" top="0.75" bottom="0.75" header="0.3" footer="0.3"/>
  <tableParts count="2">
    <tablePart r:id="rId1"/>
    <tablePart r:id="rId2"/>
  </tableParts>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A8DBA2-0DE2-40DE-B5E8-9A8D05775BC7}">
  <dimension ref="A1:L126"/>
  <sheetViews>
    <sheetView workbookViewId="0">
      <pane ySplit="4" topLeftCell="A5" activePane="bottomLeft" state="frozen"/>
      <selection pane="bottomLeft" activeCell="A5" sqref="A5"/>
    </sheetView>
  </sheetViews>
  <sheetFormatPr defaultColWidth="0" defaultRowHeight="12.75" zeroHeight="1"/>
  <cols>
    <col min="1" max="1" width="12.5703125" customWidth="1"/>
    <col min="2" max="2" width="25.42578125" customWidth="1"/>
    <col min="3" max="3" width="31.5703125" customWidth="1"/>
    <col min="4" max="4" width="14.85546875" bestFit="1" customWidth="1"/>
    <col min="5" max="5" width="47.42578125" customWidth="1"/>
    <col min="6" max="7" width="9.140625" hidden="1" customWidth="1"/>
    <col min="8" max="8" width="14.85546875" hidden="1" customWidth="1"/>
    <col min="9" max="9" width="11.5703125" hidden="1" customWidth="1"/>
    <col min="10" max="10" width="13.85546875" hidden="1" customWidth="1"/>
    <col min="11" max="11" width="15.42578125" hidden="1" customWidth="1"/>
    <col min="12" max="12" width="15.7109375" hidden="1" customWidth="1"/>
  </cols>
  <sheetData>
    <row r="1" spans="1:12" s="260" customFormat="1" ht="18" customHeight="1">
      <c r="A1" s="329" t="s">
        <v>76</v>
      </c>
      <c r="B1" s="329"/>
      <c r="C1" s="329"/>
      <c r="D1" s="329"/>
      <c r="E1" s="329"/>
      <c r="F1" s="329"/>
      <c r="G1" s="329"/>
      <c r="H1" s="329"/>
      <c r="I1" s="329"/>
      <c r="J1" s="329"/>
      <c r="K1" s="329"/>
      <c r="L1" s="329"/>
    </row>
    <row r="2" spans="1:12" ht="17.25" customHeight="1">
      <c r="A2" s="327" t="s">
        <v>77</v>
      </c>
      <c r="B2" s="328"/>
      <c r="C2" s="328"/>
      <c r="D2" s="328"/>
      <c r="E2" s="328"/>
      <c r="F2" s="328"/>
      <c r="G2" s="328"/>
      <c r="H2" s="328"/>
      <c r="I2" s="328"/>
      <c r="J2" s="328"/>
      <c r="K2" s="328"/>
      <c r="L2" s="328"/>
    </row>
    <row r="3" spans="1:12" ht="14.25" customHeight="1">
      <c r="A3" s="330" t="s">
        <v>78</v>
      </c>
      <c r="B3" s="330"/>
      <c r="C3" s="330"/>
      <c r="D3" s="330"/>
      <c r="E3" s="330"/>
      <c r="F3" s="263"/>
      <c r="G3" s="263"/>
      <c r="H3" s="263"/>
      <c r="I3" s="263"/>
      <c r="J3" s="263"/>
      <c r="K3" s="263"/>
      <c r="L3" s="263"/>
    </row>
    <row r="4" spans="1:12" ht="21.75" customHeight="1">
      <c r="A4" s="262" t="s">
        <v>62</v>
      </c>
      <c r="B4" s="262" t="s">
        <v>45</v>
      </c>
      <c r="C4" s="262" t="s">
        <v>29</v>
      </c>
      <c r="D4" s="262" t="s">
        <v>79</v>
      </c>
      <c r="E4" s="262" t="s">
        <v>80</v>
      </c>
      <c r="F4" s="261" t="s">
        <v>71</v>
      </c>
      <c r="G4" s="261" t="s">
        <v>72</v>
      </c>
      <c r="H4" s="261" t="s">
        <v>70</v>
      </c>
      <c r="I4" s="261" t="s">
        <v>81</v>
      </c>
      <c r="J4" s="261" t="s">
        <v>50</v>
      </c>
      <c r="K4" s="261" t="s">
        <v>82</v>
      </c>
      <c r="L4" s="261" t="s">
        <v>52</v>
      </c>
    </row>
    <row r="5" spans="1:12" ht="15">
      <c r="A5" s="264" t="str">
        <f>IF(B5="", "", RANK(L5, $L$5:$L$124, 1))</f>
        <v/>
      </c>
      <c r="B5" s="266" t="str">
        <f>IF(REGISTRATION!$B10="", "", REGISTRATION!$B10)</f>
        <v/>
      </c>
      <c r="C5" s="268" t="str">
        <f>IF(B5="", "", REGISTRATION!$C10)</f>
        <v/>
      </c>
      <c r="D5" s="129">
        <f>F5 + G5</f>
        <v>240</v>
      </c>
      <c r="E5" s="267" t="str">
        <f>IF($B5="", "", H5 &amp; " / " &amp; I5 &amp; " / " &amp; J5 &amp; " / " &amp; K5)</f>
        <v/>
      </c>
      <c r="F5" s="259">
        <f>IFERROR(VLOOKUP($B5, 'DAY 1 SCORES'!$B:$H, 7, FALSE), 0)</f>
        <v>120</v>
      </c>
      <c r="G5" s="259">
        <f>IFERROR(VLOOKUP($B5, 'DAY 2 SCORES'!$B:$H, 7, FALSE), 0)</f>
        <v>120</v>
      </c>
      <c r="H5" s="259">
        <f>IFERROR(VLOOKUP($B5, 'DAY 1 SCORES'!$B:$D, 3, FALSE), 0) + IFERROR(VLOOKUP($B5, 'DAY 2 SCORES'!$B:$D, 3, FALSE), 0)</f>
        <v>0</v>
      </c>
      <c r="I5" s="259">
        <f>IFERROR(VLOOKUP($B5, 'DAY 1 SCORES'!$B:$F, 5, FALSE), 0) + IFERROR(VLOOKUP($B5, 'DAY 2 SCORES'!$B:$F, 5, FALSE), 0)</f>
        <v>0</v>
      </c>
      <c r="J5" s="259">
        <f>MAX(IFERROR(VLOOKUP($B5, 'DAY 1 SCORES'!$B:$G, 6, FALSE), 0), IFERROR(VLOOKUP($B5, 'DAY 2 SCORES'!$B:$G, 6, FALSE), 0))</f>
        <v>0</v>
      </c>
      <c r="K5" s="259">
        <f>IFERROR(VLOOKUP($B5, 'DAY 1 SCORES'!$B:$E, 4, FALSE), 0) + IFERROR(VLOOKUP($B5, 'DAY 2 SCORES'!$B:$E, 4, FALSE), 0)</f>
        <v>0</v>
      </c>
      <c r="L5" s="259">
        <f>IF(B5="", 999, D5 - (H5/10000) - (I5/1000000) - (J5/100000000) - (K5/10000000000))</f>
        <v>999</v>
      </c>
    </row>
    <row r="6" spans="1:12" ht="15">
      <c r="A6" s="264" t="str">
        <f>IF(B6="", "", RANK(L6, $L$5:$L$124, 1))</f>
        <v/>
      </c>
      <c r="B6" s="266" t="str">
        <f>IF(REGISTRATION!$B17="", "", REGISTRATION!$B17)</f>
        <v/>
      </c>
      <c r="C6" s="268" t="str">
        <f>IF(B6="", "", REGISTRATION!$C17)</f>
        <v/>
      </c>
      <c r="D6" s="129">
        <f>F6 + G6</f>
        <v>240</v>
      </c>
      <c r="E6" s="267" t="str">
        <f>IF($B6="", "", H6 &amp; " / " &amp; I6 &amp; " / " &amp; J6 &amp; " / " &amp; K6)</f>
        <v/>
      </c>
      <c r="F6" s="259">
        <f>IFERROR(VLOOKUP($B6, 'DAY 1 SCORES'!$B:$H, 7, FALSE), 0)</f>
        <v>120</v>
      </c>
      <c r="G6" s="259">
        <f>IFERROR(VLOOKUP($B6, 'DAY 2 SCORES'!$B:$H, 7, FALSE), 0)</f>
        <v>120</v>
      </c>
      <c r="H6" s="259">
        <f>IFERROR(VLOOKUP($B6, 'DAY 1 SCORES'!$B:$D, 3, FALSE), 0) + IFERROR(VLOOKUP($B6, 'DAY 2 SCORES'!$B:$D, 3, FALSE), 0)</f>
        <v>0</v>
      </c>
      <c r="I6" s="259">
        <f>IFERROR(VLOOKUP($B6, 'DAY 1 SCORES'!$B:$F, 5, FALSE), 0) + IFERROR(VLOOKUP($B6, 'DAY 2 SCORES'!$B:$F, 5, FALSE), 0)</f>
        <v>0</v>
      </c>
      <c r="J6" s="259">
        <f>MAX(IFERROR(VLOOKUP($B6, 'DAY 1 SCORES'!$B:$G, 6, FALSE), 0), IFERROR(VLOOKUP($B6, 'DAY 2 SCORES'!$B:$G, 6, FALSE), 0))</f>
        <v>0</v>
      </c>
      <c r="K6" s="259">
        <f>IFERROR(VLOOKUP($B6, 'DAY 1 SCORES'!$B:$E, 4, FALSE), 0) + IFERROR(VLOOKUP($B6, 'DAY 2 SCORES'!$B:$E, 4, FALSE), 0)</f>
        <v>0</v>
      </c>
      <c r="L6" s="259">
        <f>IF(B6="", 999, D6 - (H6/10000) - (I6/1000000) - (J6/100000000) - (K6/10000000000))</f>
        <v>999</v>
      </c>
    </row>
    <row r="7" spans="1:12" ht="15">
      <c r="A7" s="264" t="str">
        <f>IF(B7="", "", RANK(L7, $L$5:$L$124, 1))</f>
        <v/>
      </c>
      <c r="B7" s="266" t="str">
        <f>IF(REGISTRATION!$B15="", "", REGISTRATION!$B15)</f>
        <v/>
      </c>
      <c r="C7" s="268" t="str">
        <f>IF(B7="", "", REGISTRATION!$C15)</f>
        <v/>
      </c>
      <c r="D7" s="129">
        <f>F7 + G7</f>
        <v>240</v>
      </c>
      <c r="E7" s="267" t="str">
        <f>IF($B7="", "", H7 &amp; " / " &amp; I7 &amp; " / " &amp; J7 &amp; " / " &amp; K7)</f>
        <v/>
      </c>
      <c r="F7" s="259">
        <f>IFERROR(VLOOKUP($B7, 'DAY 1 SCORES'!$B:$H, 7, FALSE), 0)</f>
        <v>120</v>
      </c>
      <c r="G7" s="259">
        <f>IFERROR(VLOOKUP($B7, 'DAY 2 SCORES'!$B:$H, 7, FALSE), 0)</f>
        <v>120</v>
      </c>
      <c r="H7" s="259">
        <f>IFERROR(VLOOKUP($B7, 'DAY 1 SCORES'!$B:$D, 3, FALSE), 0) + IFERROR(VLOOKUP($B7, 'DAY 2 SCORES'!$B:$D, 3, FALSE), 0)</f>
        <v>0</v>
      </c>
      <c r="I7" s="259">
        <f>IFERROR(VLOOKUP($B7, 'DAY 1 SCORES'!$B:$F, 5, FALSE), 0) + IFERROR(VLOOKUP($B7, 'DAY 2 SCORES'!$B:$F, 5, FALSE), 0)</f>
        <v>0</v>
      </c>
      <c r="J7" s="259">
        <f>MAX(IFERROR(VLOOKUP($B7, 'DAY 1 SCORES'!$B:$G, 6, FALSE), 0), IFERROR(VLOOKUP($B7, 'DAY 2 SCORES'!$B:$G, 6, FALSE), 0))</f>
        <v>0</v>
      </c>
      <c r="K7" s="259">
        <f>IFERROR(VLOOKUP($B7, 'DAY 1 SCORES'!$B:$E, 4, FALSE), 0) + IFERROR(VLOOKUP($B7, 'DAY 2 SCORES'!$B:$E, 4, FALSE), 0)</f>
        <v>0</v>
      </c>
      <c r="L7" s="259">
        <f>IF(B7="", 999, D7 - (H7/10000) - (I7/1000000) - (J7/100000000) - (K7/10000000000))</f>
        <v>999</v>
      </c>
    </row>
    <row r="8" spans="1:12" ht="15">
      <c r="A8" s="264" t="str">
        <f>IF(B8="", "", RANK(L8, $L$5:$L$124, 1))</f>
        <v/>
      </c>
      <c r="B8" s="266" t="str">
        <f>IF(REGISTRATION!$B51="", "", REGISTRATION!$B51)</f>
        <v/>
      </c>
      <c r="C8" s="268" t="str">
        <f>IF(B8="", "", REGISTRATION!$C51)</f>
        <v/>
      </c>
      <c r="D8" s="129">
        <f>F8 + G8</f>
        <v>240</v>
      </c>
      <c r="E8" s="267" t="str">
        <f>IF($B8="", "", H8 &amp; " / " &amp; I8 &amp; " / " &amp; J8 &amp; " / " &amp; K8)</f>
        <v/>
      </c>
      <c r="F8" s="259">
        <f>IFERROR(VLOOKUP($B8, 'DAY 1 SCORES'!$B:$H, 7, FALSE), 0)</f>
        <v>120</v>
      </c>
      <c r="G8" s="259">
        <f>IFERROR(VLOOKUP($B8, 'DAY 2 SCORES'!$B:$H, 7, FALSE), 0)</f>
        <v>120</v>
      </c>
      <c r="H8" s="259">
        <f>IFERROR(VLOOKUP($B8, 'DAY 1 SCORES'!$B:$D, 3, FALSE), 0) + IFERROR(VLOOKUP($B8, 'DAY 2 SCORES'!$B:$D, 3, FALSE), 0)</f>
        <v>0</v>
      </c>
      <c r="I8" s="259">
        <f>IFERROR(VLOOKUP($B8, 'DAY 1 SCORES'!$B:$F, 5, FALSE), 0) + IFERROR(VLOOKUP($B8, 'DAY 2 SCORES'!$B:$F, 5, FALSE), 0)</f>
        <v>0</v>
      </c>
      <c r="J8" s="259">
        <f>MAX(IFERROR(VLOOKUP($B8, 'DAY 1 SCORES'!$B:$G, 6, FALSE), 0), IFERROR(VLOOKUP($B8, 'DAY 2 SCORES'!$B:$G, 6, FALSE), 0))</f>
        <v>0</v>
      </c>
      <c r="K8" s="259">
        <f>IFERROR(VLOOKUP($B8, 'DAY 1 SCORES'!$B:$E, 4, FALSE), 0) + IFERROR(VLOOKUP($B8, 'DAY 2 SCORES'!$B:$E, 4, FALSE), 0)</f>
        <v>0</v>
      </c>
      <c r="L8" s="259">
        <f>IF(B8="", 999, D8 - (H8/10000) - (I8/1000000) - (J8/100000000) - (K8/10000000000))</f>
        <v>999</v>
      </c>
    </row>
    <row r="9" spans="1:12" ht="15">
      <c r="A9" s="264" t="str">
        <f>IF(B9="", "", RANK(L9, $L$5:$L$124, 1))</f>
        <v/>
      </c>
      <c r="B9" s="266" t="str">
        <f>IF(REGISTRATION!$B30="", "", REGISTRATION!$B30)</f>
        <v/>
      </c>
      <c r="C9" s="268" t="str">
        <f>IF(B9="", "", REGISTRATION!$C30)</f>
        <v/>
      </c>
      <c r="D9" s="129">
        <f>F9 + G9</f>
        <v>240</v>
      </c>
      <c r="E9" s="267" t="str">
        <f>IF($B9="", "", H9 &amp; " / " &amp; I9 &amp; " / " &amp; J9 &amp; " / " &amp; K9)</f>
        <v/>
      </c>
      <c r="F9" s="259">
        <f>IFERROR(VLOOKUP($B9, 'DAY 1 SCORES'!$B:$H, 7, FALSE), 0)</f>
        <v>120</v>
      </c>
      <c r="G9" s="259">
        <f>IFERROR(VLOOKUP($B9, 'DAY 2 SCORES'!$B:$H, 7, FALSE), 0)</f>
        <v>120</v>
      </c>
      <c r="H9" s="259">
        <f>IFERROR(VLOOKUP($B9, 'DAY 1 SCORES'!$B:$D, 3, FALSE), 0) + IFERROR(VLOOKUP($B9, 'DAY 2 SCORES'!$B:$D, 3, FALSE), 0)</f>
        <v>0</v>
      </c>
      <c r="I9" s="259">
        <f>IFERROR(VLOOKUP($B9, 'DAY 1 SCORES'!$B:$F, 5, FALSE), 0) + IFERROR(VLOOKUP($B9, 'DAY 2 SCORES'!$B:$F, 5, FALSE), 0)</f>
        <v>0</v>
      </c>
      <c r="J9" s="259">
        <f>MAX(IFERROR(VLOOKUP($B9, 'DAY 1 SCORES'!$B:$G, 6, FALSE), 0), IFERROR(VLOOKUP($B9, 'DAY 2 SCORES'!$B:$G, 6, FALSE), 0))</f>
        <v>0</v>
      </c>
      <c r="K9" s="259">
        <f>IFERROR(VLOOKUP($B9, 'DAY 1 SCORES'!$B:$E, 4, FALSE), 0) + IFERROR(VLOOKUP($B9, 'DAY 2 SCORES'!$B:$E, 4, FALSE), 0)</f>
        <v>0</v>
      </c>
      <c r="L9" s="259">
        <f>IF(B9="", 999, D9 - (H9/10000) - (I9/1000000) - (J9/100000000) - (K9/10000000000))</f>
        <v>999</v>
      </c>
    </row>
    <row r="10" spans="1:12" ht="15">
      <c r="A10" s="264" t="str">
        <f>IF(B10="", "", RANK(L10, $L$5:$L$124, 1))</f>
        <v/>
      </c>
      <c r="B10" s="266" t="str">
        <f>IF(REGISTRATION!$B60="", "", REGISTRATION!$B60)</f>
        <v/>
      </c>
      <c r="C10" s="268" t="str">
        <f>IF(B10="", "", REGISTRATION!$C60)</f>
        <v/>
      </c>
      <c r="D10" s="129">
        <f>F10 + G10</f>
        <v>240</v>
      </c>
      <c r="E10" s="267" t="str">
        <f>IF($B10="", "", H10 &amp; " / " &amp; I10 &amp; " / " &amp; J10 &amp; " / " &amp; K10)</f>
        <v/>
      </c>
      <c r="F10" s="259">
        <f>IFERROR(VLOOKUP($B10, 'DAY 1 SCORES'!$B:$H, 7, FALSE), 0)</f>
        <v>120</v>
      </c>
      <c r="G10" s="259">
        <f>IFERROR(VLOOKUP($B10, 'DAY 2 SCORES'!$B:$H, 7, FALSE), 0)</f>
        <v>120</v>
      </c>
      <c r="H10" s="259">
        <f>IFERROR(VLOOKUP($B10, 'DAY 1 SCORES'!$B:$D, 3, FALSE), 0) + IFERROR(VLOOKUP($B10, 'DAY 2 SCORES'!$B:$D, 3, FALSE), 0)</f>
        <v>0</v>
      </c>
      <c r="I10" s="259">
        <f>IFERROR(VLOOKUP($B10, 'DAY 1 SCORES'!$B:$F, 5, FALSE), 0) + IFERROR(VLOOKUP($B10, 'DAY 2 SCORES'!$B:$F, 5, FALSE), 0)</f>
        <v>0</v>
      </c>
      <c r="J10" s="259">
        <f>MAX(IFERROR(VLOOKUP($B10, 'DAY 1 SCORES'!$B:$G, 6, FALSE), 0), IFERROR(VLOOKUP($B10, 'DAY 2 SCORES'!$B:$G, 6, FALSE), 0))</f>
        <v>0</v>
      </c>
      <c r="K10" s="259">
        <f>IFERROR(VLOOKUP($B10, 'DAY 1 SCORES'!$B:$E, 4, FALSE), 0) + IFERROR(VLOOKUP($B10, 'DAY 2 SCORES'!$B:$E, 4, FALSE), 0)</f>
        <v>0</v>
      </c>
      <c r="L10" s="259">
        <f>IF(B10="", 999, D10 - (H10/10000) - (I10/1000000) - (J10/100000000) - (K10/10000000000))</f>
        <v>999</v>
      </c>
    </row>
    <row r="11" spans="1:12" ht="15">
      <c r="A11" s="264" t="str">
        <f>IF(B11="", "", RANK(L11, $L$5:$L$124, 1))</f>
        <v/>
      </c>
      <c r="B11" s="266" t="str">
        <f>IF(REGISTRATION!$B16="", "", REGISTRATION!$B16)</f>
        <v/>
      </c>
      <c r="C11" s="268" t="str">
        <f>IF(B11="", "", REGISTRATION!$C16)</f>
        <v/>
      </c>
      <c r="D11" s="129">
        <f>F11 + G11</f>
        <v>240</v>
      </c>
      <c r="E11" s="267" t="str">
        <f>IF($B11="", "", H11 &amp; " / " &amp; I11 &amp; " / " &amp; J11 &amp; " / " &amp; K11)</f>
        <v/>
      </c>
      <c r="F11" s="259">
        <f>IFERROR(VLOOKUP($B11, 'DAY 1 SCORES'!$B:$H, 7, FALSE), 0)</f>
        <v>120</v>
      </c>
      <c r="G11" s="259">
        <f>IFERROR(VLOOKUP($B11, 'DAY 2 SCORES'!$B:$H, 7, FALSE), 0)</f>
        <v>120</v>
      </c>
      <c r="H11" s="259">
        <f>IFERROR(VLOOKUP($B11, 'DAY 1 SCORES'!$B:$D, 3, FALSE), 0) + IFERROR(VLOOKUP($B11, 'DAY 2 SCORES'!$B:$D, 3, FALSE), 0)</f>
        <v>0</v>
      </c>
      <c r="I11" s="259">
        <f>IFERROR(VLOOKUP($B11, 'DAY 1 SCORES'!$B:$F, 5, FALSE), 0) + IFERROR(VLOOKUP($B11, 'DAY 2 SCORES'!$B:$F, 5, FALSE), 0)</f>
        <v>0</v>
      </c>
      <c r="J11" s="259">
        <f>MAX(IFERROR(VLOOKUP($B11, 'DAY 1 SCORES'!$B:$G, 6, FALSE), 0), IFERROR(VLOOKUP($B11, 'DAY 2 SCORES'!$B:$G, 6, FALSE), 0))</f>
        <v>0</v>
      </c>
      <c r="K11" s="259">
        <f>IFERROR(VLOOKUP($B11, 'DAY 1 SCORES'!$B:$E, 4, FALSE), 0) + IFERROR(VLOOKUP($B11, 'DAY 2 SCORES'!$B:$E, 4, FALSE), 0)</f>
        <v>0</v>
      </c>
      <c r="L11" s="259">
        <f>IF(B11="", 999, D11 - (H11/10000) - (I11/1000000) - (J11/100000000) - (K11/10000000000))</f>
        <v>999</v>
      </c>
    </row>
    <row r="12" spans="1:12" ht="15">
      <c r="A12" s="264" t="str">
        <f>IF(B12="", "", RANK(L12, $L$5:$L$124, 1))</f>
        <v/>
      </c>
      <c r="B12" s="266" t="str">
        <f>IF(REGISTRATION!$B24="", "", REGISTRATION!$B24)</f>
        <v/>
      </c>
      <c r="C12" s="268" t="str">
        <f>IF(B12="", "", REGISTRATION!$C24)</f>
        <v/>
      </c>
      <c r="D12" s="129">
        <f>F12 + G12</f>
        <v>240</v>
      </c>
      <c r="E12" s="267" t="str">
        <f>IF($B12="", "", H12 &amp; " / " &amp; I12 &amp; " / " &amp; J12 &amp; " / " &amp; K12)</f>
        <v/>
      </c>
      <c r="F12" s="259">
        <f>IFERROR(VLOOKUP($B12, 'DAY 1 SCORES'!$B:$H, 7, FALSE), 0)</f>
        <v>120</v>
      </c>
      <c r="G12" s="259">
        <f>IFERROR(VLOOKUP($B12, 'DAY 2 SCORES'!$B:$H, 7, FALSE), 0)</f>
        <v>120</v>
      </c>
      <c r="H12" s="259">
        <f>IFERROR(VLOOKUP($B12, 'DAY 1 SCORES'!$B:$D, 3, FALSE), 0) + IFERROR(VLOOKUP($B12, 'DAY 2 SCORES'!$B:$D, 3, FALSE), 0)</f>
        <v>0</v>
      </c>
      <c r="I12" s="259">
        <f>IFERROR(VLOOKUP($B12, 'DAY 1 SCORES'!$B:$F, 5, FALSE), 0) + IFERROR(VLOOKUP($B12, 'DAY 2 SCORES'!$B:$F, 5, FALSE), 0)</f>
        <v>0</v>
      </c>
      <c r="J12" s="259">
        <f>MAX(IFERROR(VLOOKUP($B12, 'DAY 1 SCORES'!$B:$G, 6, FALSE), 0), IFERROR(VLOOKUP($B12, 'DAY 2 SCORES'!$B:$G, 6, FALSE), 0))</f>
        <v>0</v>
      </c>
      <c r="K12" s="259">
        <f>IFERROR(VLOOKUP($B12, 'DAY 1 SCORES'!$B:$E, 4, FALSE), 0) + IFERROR(VLOOKUP($B12, 'DAY 2 SCORES'!$B:$E, 4, FALSE), 0)</f>
        <v>0</v>
      </c>
      <c r="L12" s="259">
        <f>IF(B12="", 999, D12 - (H12/10000) - (I12/1000000) - (J12/100000000) - (K12/10000000000))</f>
        <v>999</v>
      </c>
    </row>
    <row r="13" spans="1:12" ht="15">
      <c r="A13" s="264" t="str">
        <f>IF(B13="", "", RANK(L13, $L$5:$L$124, 1))</f>
        <v/>
      </c>
      <c r="B13" s="266" t="str">
        <f>IF(REGISTRATION!$B9="", "", REGISTRATION!$B9)</f>
        <v/>
      </c>
      <c r="C13" s="268" t="str">
        <f>IF(B13="", "", REGISTRATION!$C9)</f>
        <v/>
      </c>
      <c r="D13" s="129">
        <f>F13 + G13</f>
        <v>240</v>
      </c>
      <c r="E13" s="267" t="str">
        <f>IF($B13="", "", H13 &amp; " / " &amp; I13 &amp; " / " &amp; J13 &amp; " / " &amp; K13)</f>
        <v/>
      </c>
      <c r="F13" s="259">
        <f>IFERROR(VLOOKUP($B13, 'DAY 1 SCORES'!$B:$H, 7, FALSE), 0)</f>
        <v>120</v>
      </c>
      <c r="G13" s="259">
        <f>IFERROR(VLOOKUP($B13, 'DAY 2 SCORES'!$B:$H, 7, FALSE), 0)</f>
        <v>120</v>
      </c>
      <c r="H13" s="259">
        <f>IFERROR(VLOOKUP($B13, 'DAY 1 SCORES'!$B:$D, 3, FALSE), 0) + IFERROR(VLOOKUP($B13, 'DAY 2 SCORES'!$B:$D, 3, FALSE), 0)</f>
        <v>0</v>
      </c>
      <c r="I13" s="259">
        <f>IFERROR(VLOOKUP($B13, 'DAY 1 SCORES'!$B:$F, 5, FALSE), 0) + IFERROR(VLOOKUP($B13, 'DAY 2 SCORES'!$B:$F, 5, FALSE), 0)</f>
        <v>0</v>
      </c>
      <c r="J13" s="259">
        <f>MAX(IFERROR(VLOOKUP($B13, 'DAY 1 SCORES'!$B:$G, 6, FALSE), 0), IFERROR(VLOOKUP($B13, 'DAY 2 SCORES'!$B:$G, 6, FALSE), 0))</f>
        <v>0</v>
      </c>
      <c r="K13" s="259">
        <f>IFERROR(VLOOKUP($B13, 'DAY 1 SCORES'!$B:$E, 4, FALSE), 0) + IFERROR(VLOOKUP($B13, 'DAY 2 SCORES'!$B:$E, 4, FALSE), 0)</f>
        <v>0</v>
      </c>
      <c r="L13" s="259">
        <f>IF(B13="", 999, D13 - (H13/10000) - (I13/1000000) - (J13/100000000) - (K13/10000000000))</f>
        <v>999</v>
      </c>
    </row>
    <row r="14" spans="1:12" ht="15">
      <c r="A14" s="264" t="str">
        <f>IF(B14="", "", RANK(L14, $L$5:$L$124, 1))</f>
        <v/>
      </c>
      <c r="B14" s="266" t="str">
        <f>IF(REGISTRATION!$B14="", "", REGISTRATION!$B14)</f>
        <v/>
      </c>
      <c r="C14" s="268" t="str">
        <f>IF(B14="", "", REGISTRATION!$C14)</f>
        <v/>
      </c>
      <c r="D14" s="129">
        <f>F14 + G14</f>
        <v>240</v>
      </c>
      <c r="E14" s="267" t="str">
        <f>IF($B14="", "", H14 &amp; " / " &amp; I14 &amp; " / " &amp; J14 &amp; " / " &amp; K14)</f>
        <v/>
      </c>
      <c r="F14" s="259">
        <f>IFERROR(VLOOKUP($B14, 'DAY 1 SCORES'!$B:$H, 7, FALSE), 0)</f>
        <v>120</v>
      </c>
      <c r="G14" s="259">
        <f>IFERROR(VLOOKUP($B14, 'DAY 2 SCORES'!$B:$H, 7, FALSE), 0)</f>
        <v>120</v>
      </c>
      <c r="H14" s="259">
        <f>IFERROR(VLOOKUP($B14, 'DAY 1 SCORES'!$B:$D, 3, FALSE), 0) + IFERROR(VLOOKUP($B14, 'DAY 2 SCORES'!$B:$D, 3, FALSE), 0)</f>
        <v>0</v>
      </c>
      <c r="I14" s="259">
        <f>IFERROR(VLOOKUP($B14, 'DAY 1 SCORES'!$B:$F, 5, FALSE), 0) + IFERROR(VLOOKUP($B14, 'DAY 2 SCORES'!$B:$F, 5, FALSE), 0)</f>
        <v>0</v>
      </c>
      <c r="J14" s="259">
        <f>MAX(IFERROR(VLOOKUP($B14, 'DAY 1 SCORES'!$B:$G, 6, FALSE), 0), IFERROR(VLOOKUP($B14, 'DAY 2 SCORES'!$B:$G, 6, FALSE), 0))</f>
        <v>0</v>
      </c>
      <c r="K14" s="259">
        <f>IFERROR(VLOOKUP($B14, 'DAY 1 SCORES'!$B:$E, 4, FALSE), 0) + IFERROR(VLOOKUP($B14, 'DAY 2 SCORES'!$B:$E, 4, FALSE), 0)</f>
        <v>0</v>
      </c>
      <c r="L14" s="259">
        <f>IF(B14="", 999, D14 - (H14/10000) - (I14/1000000) - (J14/100000000) - (K14/10000000000))</f>
        <v>999</v>
      </c>
    </row>
    <row r="15" spans="1:12" ht="15">
      <c r="A15" s="264" t="str">
        <f>IF(B15="", "", RANK(L15, $L$5:$L$124, 1))</f>
        <v/>
      </c>
      <c r="B15" s="266" t="str">
        <f>IF(REGISTRATION!$B37="", "", REGISTRATION!$B37)</f>
        <v/>
      </c>
      <c r="C15" s="268" t="str">
        <f>IF(B15="", "", REGISTRATION!$C37)</f>
        <v/>
      </c>
      <c r="D15" s="129">
        <f>F15 + G15</f>
        <v>240</v>
      </c>
      <c r="E15" s="267" t="str">
        <f>IF($B15="", "", H15 &amp; " / " &amp; I15 &amp; " / " &amp; J15 &amp; " / " &amp; K15)</f>
        <v/>
      </c>
      <c r="F15" s="259">
        <f>IFERROR(VLOOKUP($B15, 'DAY 1 SCORES'!$B:$H, 7, FALSE), 0)</f>
        <v>120</v>
      </c>
      <c r="G15" s="259">
        <f>IFERROR(VLOOKUP($B15, 'DAY 2 SCORES'!$B:$H, 7, FALSE), 0)</f>
        <v>120</v>
      </c>
      <c r="H15" s="259">
        <f>IFERROR(VLOOKUP($B15, 'DAY 1 SCORES'!$B:$D, 3, FALSE), 0) + IFERROR(VLOOKUP($B15, 'DAY 2 SCORES'!$B:$D, 3, FALSE), 0)</f>
        <v>0</v>
      </c>
      <c r="I15" s="259">
        <f>IFERROR(VLOOKUP($B15, 'DAY 1 SCORES'!$B:$F, 5, FALSE), 0) + IFERROR(VLOOKUP($B15, 'DAY 2 SCORES'!$B:$F, 5, FALSE), 0)</f>
        <v>0</v>
      </c>
      <c r="J15" s="259">
        <f>MAX(IFERROR(VLOOKUP($B15, 'DAY 1 SCORES'!$B:$G, 6, FALSE), 0), IFERROR(VLOOKUP($B15, 'DAY 2 SCORES'!$B:$G, 6, FALSE), 0))</f>
        <v>0</v>
      </c>
      <c r="K15" s="259">
        <f>IFERROR(VLOOKUP($B15, 'DAY 1 SCORES'!$B:$E, 4, FALSE), 0) + IFERROR(VLOOKUP($B15, 'DAY 2 SCORES'!$B:$E, 4, FALSE), 0)</f>
        <v>0</v>
      </c>
      <c r="L15" s="259">
        <f>IF(B15="", 999, D15 - (H15/10000) - (I15/1000000) - (J15/100000000) - (K15/10000000000))</f>
        <v>999</v>
      </c>
    </row>
    <row r="16" spans="1:12" ht="15">
      <c r="A16" s="264" t="str">
        <f>IF(B16="", "", RANK(L16, $L$5:$L$124, 1))</f>
        <v/>
      </c>
      <c r="B16" s="266" t="str">
        <f>IF(REGISTRATION!$B39="", "", REGISTRATION!$B39)</f>
        <v/>
      </c>
      <c r="C16" s="268" t="str">
        <f>IF(B16="", "", REGISTRATION!$C39)</f>
        <v/>
      </c>
      <c r="D16" s="129">
        <f>F16 + G16</f>
        <v>240</v>
      </c>
      <c r="E16" s="267" t="str">
        <f>IF($B16="", "", H16 &amp; " / " &amp; I16 &amp; " / " &amp; J16 &amp; " / " &amp; K16)</f>
        <v/>
      </c>
      <c r="F16" s="259">
        <f>IFERROR(VLOOKUP($B16, 'DAY 1 SCORES'!$B:$H, 7, FALSE), 0)</f>
        <v>120</v>
      </c>
      <c r="G16" s="259">
        <f>IFERROR(VLOOKUP($B16, 'DAY 2 SCORES'!$B:$H, 7, FALSE), 0)</f>
        <v>120</v>
      </c>
      <c r="H16" s="259">
        <f>IFERROR(VLOOKUP($B16, 'DAY 1 SCORES'!$B:$D, 3, FALSE), 0) + IFERROR(VLOOKUP($B16, 'DAY 2 SCORES'!$B:$D, 3, FALSE), 0)</f>
        <v>0</v>
      </c>
      <c r="I16" s="259">
        <f>IFERROR(VLOOKUP($B16, 'DAY 1 SCORES'!$B:$F, 5, FALSE), 0) + IFERROR(VLOOKUP($B16, 'DAY 2 SCORES'!$B:$F, 5, FALSE), 0)</f>
        <v>0</v>
      </c>
      <c r="J16" s="259">
        <f>MAX(IFERROR(VLOOKUP($B16, 'DAY 1 SCORES'!$B:$G, 6, FALSE), 0), IFERROR(VLOOKUP($B16, 'DAY 2 SCORES'!$B:$G, 6, FALSE), 0))</f>
        <v>0</v>
      </c>
      <c r="K16" s="259">
        <f>IFERROR(VLOOKUP($B16, 'DAY 1 SCORES'!$B:$E, 4, FALSE), 0) + IFERROR(VLOOKUP($B16, 'DAY 2 SCORES'!$B:$E, 4, FALSE), 0)</f>
        <v>0</v>
      </c>
      <c r="L16" s="259">
        <f>IF(B16="", 999, D16 - (H16/10000) - (I16/1000000) - (J16/100000000) - (K16/10000000000))</f>
        <v>999</v>
      </c>
    </row>
    <row r="17" spans="1:12" ht="15">
      <c r="A17" s="264" t="str">
        <f>IF(B17="", "", RANK(L17, $L$5:$L$124, 1))</f>
        <v/>
      </c>
      <c r="B17" s="266" t="str">
        <f>IF(REGISTRATION!$B5="", "", REGISTRATION!$B5)</f>
        <v/>
      </c>
      <c r="C17" s="268" t="str">
        <f>IF(B17="", "", REGISTRATION!$C5)</f>
        <v/>
      </c>
      <c r="D17" s="129">
        <f>F17 + G17</f>
        <v>240</v>
      </c>
      <c r="E17" s="267" t="str">
        <f>IF($B17="", "", H17 &amp; " / " &amp; I17 &amp; " / " &amp; J17 &amp; " / " &amp; K17)</f>
        <v/>
      </c>
      <c r="F17" s="259">
        <f>IFERROR(VLOOKUP($B17, 'DAY 1 SCORES'!$B:$H, 7, FALSE), 0)</f>
        <v>120</v>
      </c>
      <c r="G17" s="259">
        <f>IFERROR(VLOOKUP($B17, 'DAY 2 SCORES'!$B:$H, 7, FALSE), 0)</f>
        <v>120</v>
      </c>
      <c r="H17" s="259">
        <f>IFERROR(VLOOKUP($B17, 'DAY 1 SCORES'!$B:$D, 3, FALSE), 0) + IFERROR(VLOOKUP($B17, 'DAY 2 SCORES'!$B:$D, 3, FALSE), 0)</f>
        <v>0</v>
      </c>
      <c r="I17" s="259">
        <f>IFERROR(VLOOKUP($B17, 'DAY 1 SCORES'!$B:$F, 5, FALSE), 0) + IFERROR(VLOOKUP($B17, 'DAY 2 SCORES'!$B:$F, 5, FALSE), 0)</f>
        <v>0</v>
      </c>
      <c r="J17" s="259">
        <f>MAX(IFERROR(VLOOKUP($B17, 'DAY 1 SCORES'!$B:$G, 6, FALSE), 0), IFERROR(VLOOKUP($B17, 'DAY 2 SCORES'!$B:$G, 6, FALSE), 0))</f>
        <v>0</v>
      </c>
      <c r="K17" s="259">
        <f>IFERROR(VLOOKUP($B17, 'DAY 1 SCORES'!$B:$E, 4, FALSE), 0) + IFERROR(VLOOKUP($B17, 'DAY 2 SCORES'!$B:$E, 4, FALSE), 0)</f>
        <v>0</v>
      </c>
      <c r="L17" s="259">
        <f>IF(B17="", 999, D17 - (H17/10000) - (I17/1000000) - (J17/100000000) - (K17/10000000000))</f>
        <v>999</v>
      </c>
    </row>
    <row r="18" spans="1:12" ht="15">
      <c r="A18" s="264" t="str">
        <f>IF(B18="", "", RANK(L18, $L$5:$L$124, 1))</f>
        <v/>
      </c>
      <c r="B18" s="266" t="str">
        <f>IF(REGISTRATION!$B50="", "", REGISTRATION!$B50)</f>
        <v/>
      </c>
      <c r="C18" s="268" t="str">
        <f>IF(B18="", "", REGISTRATION!$C50)</f>
        <v/>
      </c>
      <c r="D18" s="129">
        <f>F18 + G18</f>
        <v>240</v>
      </c>
      <c r="E18" s="267" t="str">
        <f>IF($B18="", "", H18 &amp; " / " &amp; I18 &amp; " / " &amp; J18 &amp; " / " &amp; K18)</f>
        <v/>
      </c>
      <c r="F18" s="259">
        <f>IFERROR(VLOOKUP($B18, 'DAY 1 SCORES'!$B:$H, 7, FALSE), 0)</f>
        <v>120</v>
      </c>
      <c r="G18" s="259">
        <f>IFERROR(VLOOKUP($B18, 'DAY 2 SCORES'!$B:$H, 7, FALSE), 0)</f>
        <v>120</v>
      </c>
      <c r="H18" s="259">
        <f>IFERROR(VLOOKUP($B18, 'DAY 1 SCORES'!$B:$D, 3, FALSE), 0) + IFERROR(VLOOKUP($B18, 'DAY 2 SCORES'!$B:$D, 3, FALSE), 0)</f>
        <v>0</v>
      </c>
      <c r="I18" s="259">
        <f>IFERROR(VLOOKUP($B18, 'DAY 1 SCORES'!$B:$F, 5, FALSE), 0) + IFERROR(VLOOKUP($B18, 'DAY 2 SCORES'!$B:$F, 5, FALSE), 0)</f>
        <v>0</v>
      </c>
      <c r="J18" s="259">
        <f>MAX(IFERROR(VLOOKUP($B18, 'DAY 1 SCORES'!$B:$G, 6, FALSE), 0), IFERROR(VLOOKUP($B18, 'DAY 2 SCORES'!$B:$G, 6, FALSE), 0))</f>
        <v>0</v>
      </c>
      <c r="K18" s="259">
        <f>IFERROR(VLOOKUP($B18, 'DAY 1 SCORES'!$B:$E, 4, FALSE), 0) + IFERROR(VLOOKUP($B18, 'DAY 2 SCORES'!$B:$E, 4, FALSE), 0)</f>
        <v>0</v>
      </c>
      <c r="L18" s="259">
        <f>IF(B18="", 999, D18 - (H18/10000) - (I18/1000000) - (J18/100000000) - (K18/10000000000))</f>
        <v>999</v>
      </c>
    </row>
    <row r="19" spans="1:12" ht="15">
      <c r="A19" s="264" t="str">
        <f>IF(B19="", "", RANK(L19, $L$5:$L$124, 1))</f>
        <v/>
      </c>
      <c r="B19" s="266" t="str">
        <f>IF(REGISTRATION!$B40="", "", REGISTRATION!$B40)</f>
        <v/>
      </c>
      <c r="C19" s="268" t="str">
        <f>IF(B19="", "", REGISTRATION!$C40)</f>
        <v/>
      </c>
      <c r="D19" s="129">
        <f>F19 + G19</f>
        <v>240</v>
      </c>
      <c r="E19" s="267" t="str">
        <f>IF($B19="", "", H19 &amp; " / " &amp; I19 &amp; " / " &amp; J19 &amp; " / " &amp; K19)</f>
        <v/>
      </c>
      <c r="F19" s="259">
        <f>IFERROR(VLOOKUP($B19, 'DAY 1 SCORES'!$B:$H, 7, FALSE), 0)</f>
        <v>120</v>
      </c>
      <c r="G19" s="259">
        <f>IFERROR(VLOOKUP($B19, 'DAY 2 SCORES'!$B:$H, 7, FALSE), 0)</f>
        <v>120</v>
      </c>
      <c r="H19" s="259">
        <f>IFERROR(VLOOKUP($B19, 'DAY 1 SCORES'!$B:$D, 3, FALSE), 0) + IFERROR(VLOOKUP($B19, 'DAY 2 SCORES'!$B:$D, 3, FALSE), 0)</f>
        <v>0</v>
      </c>
      <c r="I19" s="259">
        <f>IFERROR(VLOOKUP($B19, 'DAY 1 SCORES'!$B:$F, 5, FALSE), 0) + IFERROR(VLOOKUP($B19, 'DAY 2 SCORES'!$B:$F, 5, FALSE), 0)</f>
        <v>0</v>
      </c>
      <c r="J19" s="259">
        <f>MAX(IFERROR(VLOOKUP($B19, 'DAY 1 SCORES'!$B:$G, 6, FALSE), 0), IFERROR(VLOOKUP($B19, 'DAY 2 SCORES'!$B:$G, 6, FALSE), 0))</f>
        <v>0</v>
      </c>
      <c r="K19" s="259">
        <f>IFERROR(VLOOKUP($B19, 'DAY 1 SCORES'!$B:$E, 4, FALSE), 0) + IFERROR(VLOOKUP($B19, 'DAY 2 SCORES'!$B:$E, 4, FALSE), 0)</f>
        <v>0</v>
      </c>
      <c r="L19" s="259">
        <f>IF(B19="", 999, D19 - (H19/10000) - (I19/1000000) - (J19/100000000) - (K19/10000000000))</f>
        <v>999</v>
      </c>
    </row>
    <row r="20" spans="1:12" ht="15">
      <c r="A20" s="264" t="str">
        <f>IF(B20="", "", RANK(L20, $L$5:$L$124, 1))</f>
        <v/>
      </c>
      <c r="B20" s="266" t="str">
        <f>IF(REGISTRATION!$B33="", "", REGISTRATION!$B33)</f>
        <v/>
      </c>
      <c r="C20" s="268" t="str">
        <f>IF(B20="", "", REGISTRATION!$C33)</f>
        <v/>
      </c>
      <c r="D20" s="129">
        <f>F20 + G20</f>
        <v>240</v>
      </c>
      <c r="E20" s="267" t="str">
        <f>IF($B20="", "", H20 &amp; " / " &amp; I20 &amp; " / " &amp; J20 &amp; " / " &amp; K20)</f>
        <v/>
      </c>
      <c r="F20" s="259">
        <f>IFERROR(VLOOKUP($B20, 'DAY 1 SCORES'!$B:$H, 7, FALSE), 0)</f>
        <v>120</v>
      </c>
      <c r="G20" s="259">
        <f>IFERROR(VLOOKUP($B20, 'DAY 2 SCORES'!$B:$H, 7, FALSE), 0)</f>
        <v>120</v>
      </c>
      <c r="H20" s="259">
        <f>IFERROR(VLOOKUP($B20, 'DAY 1 SCORES'!$B:$D, 3, FALSE), 0) + IFERROR(VLOOKUP($B20, 'DAY 2 SCORES'!$B:$D, 3, FALSE), 0)</f>
        <v>0</v>
      </c>
      <c r="I20" s="259">
        <f>IFERROR(VLOOKUP($B20, 'DAY 1 SCORES'!$B:$F, 5, FALSE), 0) + IFERROR(VLOOKUP($B20, 'DAY 2 SCORES'!$B:$F, 5, FALSE), 0)</f>
        <v>0</v>
      </c>
      <c r="J20" s="259">
        <f>MAX(IFERROR(VLOOKUP($B20, 'DAY 1 SCORES'!$B:$G, 6, FALSE), 0), IFERROR(VLOOKUP($B20, 'DAY 2 SCORES'!$B:$G, 6, FALSE), 0))</f>
        <v>0</v>
      </c>
      <c r="K20" s="259">
        <f>IFERROR(VLOOKUP($B20, 'DAY 1 SCORES'!$B:$E, 4, FALSE), 0) + IFERROR(VLOOKUP($B20, 'DAY 2 SCORES'!$B:$E, 4, FALSE), 0)</f>
        <v>0</v>
      </c>
      <c r="L20" s="259">
        <f>IF(B20="", 999, D20 - (H20/10000) - (I20/1000000) - (J20/100000000) - (K20/10000000000))</f>
        <v>999</v>
      </c>
    </row>
    <row r="21" spans="1:12" ht="15">
      <c r="A21" s="264" t="str">
        <f>IF(B21="", "", RANK(L21, $L$5:$L$124, 1))</f>
        <v/>
      </c>
      <c r="B21" s="266" t="str">
        <f>IF(REGISTRATION!$B23="", "", REGISTRATION!$B23)</f>
        <v/>
      </c>
      <c r="C21" s="268" t="str">
        <f>IF(B21="", "", REGISTRATION!$C23)</f>
        <v/>
      </c>
      <c r="D21" s="129">
        <f>F21 + G21</f>
        <v>240</v>
      </c>
      <c r="E21" s="267" t="str">
        <f>IF($B21="", "", H21 &amp; " / " &amp; I21 &amp; " / " &amp; J21 &amp; " / " &amp; K21)</f>
        <v/>
      </c>
      <c r="F21" s="259">
        <f>IFERROR(VLOOKUP($B21, 'DAY 1 SCORES'!$B:$H, 7, FALSE), 0)</f>
        <v>120</v>
      </c>
      <c r="G21" s="259">
        <f>IFERROR(VLOOKUP($B21, 'DAY 2 SCORES'!$B:$H, 7, FALSE), 0)</f>
        <v>120</v>
      </c>
      <c r="H21" s="259">
        <f>IFERROR(VLOOKUP($B21, 'DAY 1 SCORES'!$B:$D, 3, FALSE), 0) + IFERROR(VLOOKUP($B21, 'DAY 2 SCORES'!$B:$D, 3, FALSE), 0)</f>
        <v>0</v>
      </c>
      <c r="I21" s="259">
        <f>IFERROR(VLOOKUP($B21, 'DAY 1 SCORES'!$B:$F, 5, FALSE), 0) + IFERROR(VLOOKUP($B21, 'DAY 2 SCORES'!$B:$F, 5, FALSE), 0)</f>
        <v>0</v>
      </c>
      <c r="J21" s="259">
        <f>MAX(IFERROR(VLOOKUP($B21, 'DAY 1 SCORES'!$B:$G, 6, FALSE), 0), IFERROR(VLOOKUP($B21, 'DAY 2 SCORES'!$B:$G, 6, FALSE), 0))</f>
        <v>0</v>
      </c>
      <c r="K21" s="259">
        <f>IFERROR(VLOOKUP($B21, 'DAY 1 SCORES'!$B:$E, 4, FALSE), 0) + IFERROR(VLOOKUP($B21, 'DAY 2 SCORES'!$B:$E, 4, FALSE), 0)</f>
        <v>0</v>
      </c>
      <c r="L21" s="259">
        <f>IF(B21="", 999, D21 - (H21/10000) - (I21/1000000) - (J21/100000000) - (K21/10000000000))</f>
        <v>999</v>
      </c>
    </row>
    <row r="22" spans="1:12" ht="15">
      <c r="A22" s="264" t="str">
        <f>IF(B22="", "", RANK(L22, $L$5:$L$124, 1))</f>
        <v/>
      </c>
      <c r="B22" s="266" t="str">
        <f>IF(REGISTRATION!$B7="", "", REGISTRATION!$B7)</f>
        <v/>
      </c>
      <c r="C22" s="268" t="str">
        <f>IF(B22="", "", REGISTRATION!$C7)</f>
        <v/>
      </c>
      <c r="D22" s="129">
        <f>F22 + G22</f>
        <v>240</v>
      </c>
      <c r="E22" s="267" t="str">
        <f>IF($B22="", "", H22 &amp; " / " &amp; I22 &amp; " / " &amp; J22 &amp; " / " &amp; K22)</f>
        <v/>
      </c>
      <c r="F22" s="259">
        <f>IFERROR(VLOOKUP($B22, 'DAY 1 SCORES'!$B:$H, 7, FALSE), 0)</f>
        <v>120</v>
      </c>
      <c r="G22" s="259">
        <f>IFERROR(VLOOKUP($B22, 'DAY 2 SCORES'!$B:$H, 7, FALSE), 0)</f>
        <v>120</v>
      </c>
      <c r="H22" s="259">
        <f>IFERROR(VLOOKUP($B22, 'DAY 1 SCORES'!$B:$D, 3, FALSE), 0) + IFERROR(VLOOKUP($B22, 'DAY 2 SCORES'!$B:$D, 3, FALSE), 0)</f>
        <v>0</v>
      </c>
      <c r="I22" s="259">
        <f>IFERROR(VLOOKUP($B22, 'DAY 1 SCORES'!$B:$F, 5, FALSE), 0) + IFERROR(VLOOKUP($B22, 'DAY 2 SCORES'!$B:$F, 5, FALSE), 0)</f>
        <v>0</v>
      </c>
      <c r="J22" s="259">
        <f>MAX(IFERROR(VLOOKUP($B22, 'DAY 1 SCORES'!$B:$G, 6, FALSE), 0), IFERROR(VLOOKUP($B22, 'DAY 2 SCORES'!$B:$G, 6, FALSE), 0))</f>
        <v>0</v>
      </c>
      <c r="K22" s="259">
        <f>IFERROR(VLOOKUP($B22, 'DAY 1 SCORES'!$B:$E, 4, FALSE), 0) + IFERROR(VLOOKUP($B22, 'DAY 2 SCORES'!$B:$E, 4, FALSE), 0)</f>
        <v>0</v>
      </c>
      <c r="L22" s="259">
        <f>IF(B22="", 999, D22 - (H22/10000) - (I22/1000000) - (J22/100000000) - (K22/10000000000))</f>
        <v>999</v>
      </c>
    </row>
    <row r="23" spans="1:12" ht="15">
      <c r="A23" s="264" t="str">
        <f>IF(B23="", "", RANK(L23, $L$5:$L$124, 1))</f>
        <v/>
      </c>
      <c r="B23" s="266" t="str">
        <f>IF(REGISTRATION!$B48="", "", REGISTRATION!$B48)</f>
        <v/>
      </c>
      <c r="C23" s="268" t="str">
        <f>IF(B23="", "", REGISTRATION!$C48)</f>
        <v/>
      </c>
      <c r="D23" s="129">
        <f>F23 + G23</f>
        <v>240</v>
      </c>
      <c r="E23" s="267" t="str">
        <f>IF($B23="", "", H23 &amp; " / " &amp; I23 &amp; " / " &amp; J23 &amp; " / " &amp; K23)</f>
        <v/>
      </c>
      <c r="F23" s="259">
        <f>IFERROR(VLOOKUP($B23, 'DAY 1 SCORES'!$B:$H, 7, FALSE), 0)</f>
        <v>120</v>
      </c>
      <c r="G23" s="259">
        <f>IFERROR(VLOOKUP($B23, 'DAY 2 SCORES'!$B:$H, 7, FALSE), 0)</f>
        <v>120</v>
      </c>
      <c r="H23" s="259">
        <f>IFERROR(VLOOKUP($B23, 'DAY 1 SCORES'!$B:$D, 3, FALSE), 0) + IFERROR(VLOOKUP($B23, 'DAY 2 SCORES'!$B:$D, 3, FALSE), 0)</f>
        <v>0</v>
      </c>
      <c r="I23" s="259">
        <f>IFERROR(VLOOKUP($B23, 'DAY 1 SCORES'!$B:$F, 5, FALSE), 0) + IFERROR(VLOOKUP($B23, 'DAY 2 SCORES'!$B:$F, 5, FALSE), 0)</f>
        <v>0</v>
      </c>
      <c r="J23" s="259">
        <f>MAX(IFERROR(VLOOKUP($B23, 'DAY 1 SCORES'!$B:$G, 6, FALSE), 0), IFERROR(VLOOKUP($B23, 'DAY 2 SCORES'!$B:$G, 6, FALSE), 0))</f>
        <v>0</v>
      </c>
      <c r="K23" s="259">
        <f>IFERROR(VLOOKUP($B23, 'DAY 1 SCORES'!$B:$E, 4, FALSE), 0) + IFERROR(VLOOKUP($B23, 'DAY 2 SCORES'!$B:$E, 4, FALSE), 0)</f>
        <v>0</v>
      </c>
      <c r="L23" s="259">
        <f>IF(B23="", 999, D23 - (H23/10000) - (I23/1000000) - (J23/100000000) - (K23/10000000000))</f>
        <v>999</v>
      </c>
    </row>
    <row r="24" spans="1:12" ht="15">
      <c r="A24" s="264" t="str">
        <f>IF(B24="", "", RANK(L24, $L$5:$L$124, 1))</f>
        <v/>
      </c>
      <c r="B24" s="266" t="str">
        <f>IF(REGISTRATION!$B58="", "", REGISTRATION!$B58)</f>
        <v/>
      </c>
      <c r="C24" s="268" t="str">
        <f>IF(B24="", "", REGISTRATION!$C58)</f>
        <v/>
      </c>
      <c r="D24" s="129">
        <f>F24 + G24</f>
        <v>240</v>
      </c>
      <c r="E24" s="267" t="str">
        <f>IF($B24="", "", H24 &amp; " / " &amp; I24 &amp; " / " &amp; J24 &amp; " / " &amp; K24)</f>
        <v/>
      </c>
      <c r="F24" s="259">
        <f>IFERROR(VLOOKUP($B24, 'DAY 1 SCORES'!$B:$H, 7, FALSE), 0)</f>
        <v>120</v>
      </c>
      <c r="G24" s="259">
        <f>IFERROR(VLOOKUP($B24, 'DAY 2 SCORES'!$B:$H, 7, FALSE), 0)</f>
        <v>120</v>
      </c>
      <c r="H24" s="259">
        <f>IFERROR(VLOOKUP($B24, 'DAY 1 SCORES'!$B:$D, 3, FALSE), 0) + IFERROR(VLOOKUP($B24, 'DAY 2 SCORES'!$B:$D, 3, FALSE), 0)</f>
        <v>0</v>
      </c>
      <c r="I24" s="259">
        <f>IFERROR(VLOOKUP($B24, 'DAY 1 SCORES'!$B:$F, 5, FALSE), 0) + IFERROR(VLOOKUP($B24, 'DAY 2 SCORES'!$B:$F, 5, FALSE), 0)</f>
        <v>0</v>
      </c>
      <c r="J24" s="259">
        <f>MAX(IFERROR(VLOOKUP($B24, 'DAY 1 SCORES'!$B:$G, 6, FALSE), 0), IFERROR(VLOOKUP($B24, 'DAY 2 SCORES'!$B:$G, 6, FALSE), 0))</f>
        <v>0</v>
      </c>
      <c r="K24" s="259">
        <f>IFERROR(VLOOKUP($B24, 'DAY 1 SCORES'!$B:$E, 4, FALSE), 0) + IFERROR(VLOOKUP($B24, 'DAY 2 SCORES'!$B:$E, 4, FALSE), 0)</f>
        <v>0</v>
      </c>
      <c r="L24" s="259">
        <f>IF(B24="", 999, D24 - (H24/10000) - (I24/1000000) - (J24/100000000) - (K24/10000000000))</f>
        <v>999</v>
      </c>
    </row>
    <row r="25" spans="1:12" ht="15">
      <c r="A25" s="264" t="str">
        <f>IF(B25="", "", RANK(L25, $L$5:$L$124, 1))</f>
        <v/>
      </c>
      <c r="B25" s="266" t="str">
        <f>IF(REGISTRATION!$B34="", "", REGISTRATION!$B34)</f>
        <v/>
      </c>
      <c r="C25" s="268" t="str">
        <f>IF(B25="", "", REGISTRATION!$C34)</f>
        <v/>
      </c>
      <c r="D25" s="129">
        <f>F25 + G25</f>
        <v>240</v>
      </c>
      <c r="E25" s="267" t="str">
        <f>IF($B25="", "", H25 &amp; " / " &amp; I25 &amp; " / " &amp; J25 &amp; " / " &amp; K25)</f>
        <v/>
      </c>
      <c r="F25" s="259">
        <f>IFERROR(VLOOKUP($B25, 'DAY 1 SCORES'!$B:$H, 7, FALSE), 0)</f>
        <v>120</v>
      </c>
      <c r="G25" s="259">
        <f>IFERROR(VLOOKUP($B25, 'DAY 2 SCORES'!$B:$H, 7, FALSE), 0)</f>
        <v>120</v>
      </c>
      <c r="H25" s="259">
        <f>IFERROR(VLOOKUP($B25, 'DAY 1 SCORES'!$B:$D, 3, FALSE), 0) + IFERROR(VLOOKUP($B25, 'DAY 2 SCORES'!$B:$D, 3, FALSE), 0)</f>
        <v>0</v>
      </c>
      <c r="I25" s="259">
        <f>IFERROR(VLOOKUP($B25, 'DAY 1 SCORES'!$B:$F, 5, FALSE), 0) + IFERROR(VLOOKUP($B25, 'DAY 2 SCORES'!$B:$F, 5, FALSE), 0)</f>
        <v>0</v>
      </c>
      <c r="J25" s="259">
        <f>MAX(IFERROR(VLOOKUP($B25, 'DAY 1 SCORES'!$B:$G, 6, FALSE), 0), IFERROR(VLOOKUP($B25, 'DAY 2 SCORES'!$B:$G, 6, FALSE), 0))</f>
        <v>0</v>
      </c>
      <c r="K25" s="259">
        <f>IFERROR(VLOOKUP($B25, 'DAY 1 SCORES'!$B:$E, 4, FALSE), 0) + IFERROR(VLOOKUP($B25, 'DAY 2 SCORES'!$B:$E, 4, FALSE), 0)</f>
        <v>0</v>
      </c>
      <c r="L25" s="259">
        <f>IF(B25="", 999, D25 - (H25/10000) - (I25/1000000) - (J25/100000000) - (K25/10000000000))</f>
        <v>999</v>
      </c>
    </row>
    <row r="26" spans="1:12" ht="15">
      <c r="A26" s="264" t="str">
        <f>IF(B26="", "", RANK(L26, $L$5:$L$124, 1))</f>
        <v/>
      </c>
      <c r="B26" s="266" t="str">
        <f>IF(REGISTRATION!$B61="", "", REGISTRATION!$B61)</f>
        <v/>
      </c>
      <c r="C26" s="268" t="str">
        <f>IF(B26="", "", REGISTRATION!$C61)</f>
        <v/>
      </c>
      <c r="D26" s="129">
        <f>F26 + G26</f>
        <v>240</v>
      </c>
      <c r="E26" s="267" t="str">
        <f>IF($B26="", "", H26 &amp; " / " &amp; I26 &amp; " / " &amp; J26 &amp; " / " &amp; K26)</f>
        <v/>
      </c>
      <c r="F26" s="259">
        <f>IFERROR(VLOOKUP($B26, 'DAY 1 SCORES'!$B:$H, 7, FALSE), 0)</f>
        <v>120</v>
      </c>
      <c r="G26" s="259">
        <f>IFERROR(VLOOKUP($B26, 'DAY 2 SCORES'!$B:$H, 7, FALSE), 0)</f>
        <v>120</v>
      </c>
      <c r="H26" s="259">
        <f>IFERROR(VLOOKUP($B26, 'DAY 1 SCORES'!$B:$D, 3, FALSE), 0) + IFERROR(VLOOKUP($B26, 'DAY 2 SCORES'!$B:$D, 3, FALSE), 0)</f>
        <v>0</v>
      </c>
      <c r="I26" s="259">
        <f>IFERROR(VLOOKUP($B26, 'DAY 1 SCORES'!$B:$F, 5, FALSE), 0) + IFERROR(VLOOKUP($B26, 'DAY 2 SCORES'!$B:$F, 5, FALSE), 0)</f>
        <v>0</v>
      </c>
      <c r="J26" s="259">
        <f>MAX(IFERROR(VLOOKUP($B26, 'DAY 1 SCORES'!$B:$G, 6, FALSE), 0), IFERROR(VLOOKUP($B26, 'DAY 2 SCORES'!$B:$G, 6, FALSE), 0))</f>
        <v>0</v>
      </c>
      <c r="K26" s="259">
        <f>IFERROR(VLOOKUP($B26, 'DAY 1 SCORES'!$B:$E, 4, FALSE), 0) + IFERROR(VLOOKUP($B26, 'DAY 2 SCORES'!$B:$E, 4, FALSE), 0)</f>
        <v>0</v>
      </c>
      <c r="L26" s="259">
        <f>IF(B26="", 999, D26 - (H26/10000) - (I26/1000000) - (J26/100000000) - (K26/10000000000))</f>
        <v>999</v>
      </c>
    </row>
    <row r="27" spans="1:12" ht="15">
      <c r="A27" s="264" t="str">
        <f>IF(B27="", "", RANK(L27, $L$5:$L$124, 1))</f>
        <v/>
      </c>
      <c r="B27" s="266" t="str">
        <f>IF(REGISTRATION!$B59="", "", REGISTRATION!$B59)</f>
        <v/>
      </c>
      <c r="C27" s="268" t="str">
        <f>IF(B27="", "", REGISTRATION!$C59)</f>
        <v/>
      </c>
      <c r="D27" s="129">
        <f>F27 + G27</f>
        <v>240</v>
      </c>
      <c r="E27" s="267" t="str">
        <f>IF($B27="", "", H27 &amp; " / " &amp; I27 &amp; " / " &amp; J27 &amp; " / " &amp; K27)</f>
        <v/>
      </c>
      <c r="F27" s="259">
        <f>IFERROR(VLOOKUP($B27, 'DAY 1 SCORES'!$B:$H, 7, FALSE), 0)</f>
        <v>120</v>
      </c>
      <c r="G27" s="259">
        <f>IFERROR(VLOOKUP($B27, 'DAY 2 SCORES'!$B:$H, 7, FALSE), 0)</f>
        <v>120</v>
      </c>
      <c r="H27" s="259">
        <f>IFERROR(VLOOKUP($B27, 'DAY 1 SCORES'!$B:$D, 3, FALSE), 0) + IFERROR(VLOOKUP($B27, 'DAY 2 SCORES'!$B:$D, 3, FALSE), 0)</f>
        <v>0</v>
      </c>
      <c r="I27" s="259">
        <f>IFERROR(VLOOKUP($B27, 'DAY 1 SCORES'!$B:$F, 5, FALSE), 0) + IFERROR(VLOOKUP($B27, 'DAY 2 SCORES'!$B:$F, 5, FALSE), 0)</f>
        <v>0</v>
      </c>
      <c r="J27" s="259">
        <f>MAX(IFERROR(VLOOKUP($B27, 'DAY 1 SCORES'!$B:$G, 6, FALSE), 0), IFERROR(VLOOKUP($B27, 'DAY 2 SCORES'!$B:$G, 6, FALSE), 0))</f>
        <v>0</v>
      </c>
      <c r="K27" s="259">
        <f>IFERROR(VLOOKUP($B27, 'DAY 1 SCORES'!$B:$E, 4, FALSE), 0) + IFERROR(VLOOKUP($B27, 'DAY 2 SCORES'!$B:$E, 4, FALSE), 0)</f>
        <v>0</v>
      </c>
      <c r="L27" s="259">
        <f>IF(B27="", 999, D27 - (H27/10000) - (I27/1000000) - (J27/100000000) - (K27/10000000000))</f>
        <v>999</v>
      </c>
    </row>
    <row r="28" spans="1:12" ht="15">
      <c r="A28" s="264" t="str">
        <f>IF(B28="", "", RANK(L28, $L$5:$L$124, 1))</f>
        <v/>
      </c>
      <c r="B28" s="266" t="str">
        <f>IF(REGISTRATION!$B3="", "", REGISTRATION!$B3)</f>
        <v/>
      </c>
      <c r="C28" s="268" t="str">
        <f>IF(B28="", "", REGISTRATION!$C3)</f>
        <v/>
      </c>
      <c r="D28" s="129">
        <f>F28 + G28</f>
        <v>240</v>
      </c>
      <c r="E28" s="267" t="str">
        <f>IF($B28="", "", H28 &amp; " / " &amp; I28 &amp; " / " &amp; J28 &amp; " / " &amp; K28)</f>
        <v/>
      </c>
      <c r="F28" s="259">
        <f>IFERROR(VLOOKUP($B28, 'DAY 1 SCORES'!$B:$H, 7, FALSE), 0)</f>
        <v>120</v>
      </c>
      <c r="G28" s="259">
        <f>IFERROR(VLOOKUP($B28, 'DAY 2 SCORES'!$B:$H, 7, FALSE), 0)</f>
        <v>120</v>
      </c>
      <c r="H28" s="259">
        <f>IFERROR(VLOOKUP($B28, 'DAY 1 SCORES'!$B:$D, 3, FALSE), 0) + IFERROR(VLOOKUP($B28, 'DAY 2 SCORES'!$B:$D, 3, FALSE), 0)</f>
        <v>0</v>
      </c>
      <c r="I28" s="259">
        <f>IFERROR(VLOOKUP($B28, 'DAY 1 SCORES'!$B:$F, 5, FALSE), 0) + IFERROR(VLOOKUP($B28, 'DAY 2 SCORES'!$B:$F, 5, FALSE), 0)</f>
        <v>0</v>
      </c>
      <c r="J28" s="259">
        <f>MAX(IFERROR(VLOOKUP($B28, 'DAY 1 SCORES'!$B:$G, 6, FALSE), 0), IFERROR(VLOOKUP($B28, 'DAY 2 SCORES'!$B:$G, 6, FALSE), 0))</f>
        <v>0</v>
      </c>
      <c r="K28" s="259">
        <f>IFERROR(VLOOKUP($B28, 'DAY 1 SCORES'!$B:$E, 4, FALSE), 0) + IFERROR(VLOOKUP($B28, 'DAY 2 SCORES'!$B:$E, 4, FALSE), 0)</f>
        <v>0</v>
      </c>
      <c r="L28" s="259">
        <f>IF(B28="", 999, D28 - (H28/10000) - (I28/1000000) - (J28/100000000) - (K28/10000000000))</f>
        <v>999</v>
      </c>
    </row>
    <row r="29" spans="1:12" ht="15">
      <c r="A29" s="264" t="str">
        <f>IF(B29="", "", RANK(L29, $L$5:$L$124, 1))</f>
        <v/>
      </c>
      <c r="B29" s="266" t="str">
        <f>IF(REGISTRATION!$B32="", "", REGISTRATION!$B32)</f>
        <v/>
      </c>
      <c r="C29" s="268" t="str">
        <f>IF(B29="", "", REGISTRATION!$C32)</f>
        <v/>
      </c>
      <c r="D29" s="129">
        <f>F29 + G29</f>
        <v>240</v>
      </c>
      <c r="E29" s="267" t="str">
        <f>IF($B29="", "", H29 &amp; " / " &amp; I29 &amp; " / " &amp; J29 &amp; " / " &amp; K29)</f>
        <v/>
      </c>
      <c r="F29" s="259">
        <f>IFERROR(VLOOKUP($B29, 'DAY 1 SCORES'!$B:$H, 7, FALSE), 0)</f>
        <v>120</v>
      </c>
      <c r="G29" s="259">
        <f>IFERROR(VLOOKUP($B29, 'DAY 2 SCORES'!$B:$H, 7, FALSE), 0)</f>
        <v>120</v>
      </c>
      <c r="H29" s="259">
        <f>IFERROR(VLOOKUP($B29, 'DAY 1 SCORES'!$B:$D, 3, FALSE), 0) + IFERROR(VLOOKUP($B29, 'DAY 2 SCORES'!$B:$D, 3, FALSE), 0)</f>
        <v>0</v>
      </c>
      <c r="I29" s="259">
        <f>IFERROR(VLOOKUP($B29, 'DAY 1 SCORES'!$B:$F, 5, FALSE), 0) + IFERROR(VLOOKUP($B29, 'DAY 2 SCORES'!$B:$F, 5, FALSE), 0)</f>
        <v>0</v>
      </c>
      <c r="J29" s="259">
        <f>MAX(IFERROR(VLOOKUP($B29, 'DAY 1 SCORES'!$B:$G, 6, FALSE), 0), IFERROR(VLOOKUP($B29, 'DAY 2 SCORES'!$B:$G, 6, FALSE), 0))</f>
        <v>0</v>
      </c>
      <c r="K29" s="259">
        <f>IFERROR(VLOOKUP($B29, 'DAY 1 SCORES'!$B:$E, 4, FALSE), 0) + IFERROR(VLOOKUP($B29, 'DAY 2 SCORES'!$B:$E, 4, FALSE), 0)</f>
        <v>0</v>
      </c>
      <c r="L29" s="259">
        <f>IF(B29="", 999, D29 - (H29/10000) - (I29/1000000) - (J29/100000000) - (K29/10000000000))</f>
        <v>999</v>
      </c>
    </row>
    <row r="30" spans="1:12" ht="15">
      <c r="A30" s="264" t="str">
        <f>IF(B30="", "", RANK(L30, $L$5:$L$124, 1))</f>
        <v/>
      </c>
      <c r="B30" s="266" t="str">
        <f>IF(REGISTRATION!$B6="", "", REGISTRATION!$B6)</f>
        <v/>
      </c>
      <c r="C30" s="268" t="str">
        <f>IF(B30="", "", REGISTRATION!$C6)</f>
        <v/>
      </c>
      <c r="D30" s="129">
        <f>F30 + G30</f>
        <v>240</v>
      </c>
      <c r="E30" s="267" t="str">
        <f>IF($B30="", "", H30 &amp; " / " &amp; I30 &amp; " / " &amp; J30 &amp; " / " &amp; K30)</f>
        <v/>
      </c>
      <c r="F30" s="259">
        <f>IFERROR(VLOOKUP($B30, 'DAY 1 SCORES'!$B:$H, 7, FALSE), 0)</f>
        <v>120</v>
      </c>
      <c r="G30" s="259">
        <f>IFERROR(VLOOKUP($B30, 'DAY 2 SCORES'!$B:$H, 7, FALSE), 0)</f>
        <v>120</v>
      </c>
      <c r="H30" s="259">
        <f>IFERROR(VLOOKUP($B30, 'DAY 1 SCORES'!$B:$D, 3, FALSE), 0) + IFERROR(VLOOKUP($B30, 'DAY 2 SCORES'!$B:$D, 3, FALSE), 0)</f>
        <v>0</v>
      </c>
      <c r="I30" s="259">
        <f>IFERROR(VLOOKUP($B30, 'DAY 1 SCORES'!$B:$F, 5, FALSE), 0) + IFERROR(VLOOKUP($B30, 'DAY 2 SCORES'!$B:$F, 5, FALSE), 0)</f>
        <v>0</v>
      </c>
      <c r="J30" s="259">
        <f>MAX(IFERROR(VLOOKUP($B30, 'DAY 1 SCORES'!$B:$G, 6, FALSE), 0), IFERROR(VLOOKUP($B30, 'DAY 2 SCORES'!$B:$G, 6, FALSE), 0))</f>
        <v>0</v>
      </c>
      <c r="K30" s="259">
        <f>IFERROR(VLOOKUP($B30, 'DAY 1 SCORES'!$B:$E, 4, FALSE), 0) + IFERROR(VLOOKUP($B30, 'DAY 2 SCORES'!$B:$E, 4, FALSE), 0)</f>
        <v>0</v>
      </c>
      <c r="L30" s="259">
        <f>IF(B30="", 999, D30 - (H30/10000) - (I30/1000000) - (J30/100000000) - (K30/10000000000))</f>
        <v>999</v>
      </c>
    </row>
    <row r="31" spans="1:12" ht="15">
      <c r="A31" s="264" t="str">
        <f>IF(B31="", "", RANK(L31, $L$5:$L$124, 1))</f>
        <v/>
      </c>
      <c r="B31" s="266" t="str">
        <f>IF(REGISTRATION!$B21="", "", REGISTRATION!$B21)</f>
        <v/>
      </c>
      <c r="C31" s="268" t="str">
        <f>IF(B31="", "", REGISTRATION!$C21)</f>
        <v/>
      </c>
      <c r="D31" s="129">
        <f>F31 + G31</f>
        <v>240</v>
      </c>
      <c r="E31" s="267" t="str">
        <f>IF($B31="", "", H31 &amp; " / " &amp; I31 &amp; " / " &amp; J31 &amp; " / " &amp; K31)</f>
        <v/>
      </c>
      <c r="F31" s="259">
        <f>IFERROR(VLOOKUP($B31, 'DAY 1 SCORES'!$B:$H, 7, FALSE), 0)</f>
        <v>120</v>
      </c>
      <c r="G31" s="259">
        <f>IFERROR(VLOOKUP($B31, 'DAY 2 SCORES'!$B:$H, 7, FALSE), 0)</f>
        <v>120</v>
      </c>
      <c r="H31" s="259">
        <f>IFERROR(VLOOKUP($B31, 'DAY 1 SCORES'!$B:$D, 3, FALSE), 0) + IFERROR(VLOOKUP($B31, 'DAY 2 SCORES'!$B:$D, 3, FALSE), 0)</f>
        <v>0</v>
      </c>
      <c r="I31" s="259">
        <f>IFERROR(VLOOKUP($B31, 'DAY 1 SCORES'!$B:$F, 5, FALSE), 0) + IFERROR(VLOOKUP($B31, 'DAY 2 SCORES'!$B:$F, 5, FALSE), 0)</f>
        <v>0</v>
      </c>
      <c r="J31" s="259">
        <f>MAX(IFERROR(VLOOKUP($B31, 'DAY 1 SCORES'!$B:$G, 6, FALSE), 0), IFERROR(VLOOKUP($B31, 'DAY 2 SCORES'!$B:$G, 6, FALSE), 0))</f>
        <v>0</v>
      </c>
      <c r="K31" s="259">
        <f>IFERROR(VLOOKUP($B31, 'DAY 1 SCORES'!$B:$E, 4, FALSE), 0) + IFERROR(VLOOKUP($B31, 'DAY 2 SCORES'!$B:$E, 4, FALSE), 0)</f>
        <v>0</v>
      </c>
      <c r="L31" s="259">
        <f>IF(B31="", 999, D31 - (H31/10000) - (I31/1000000) - (J31/100000000) - (K31/10000000000))</f>
        <v>999</v>
      </c>
    </row>
    <row r="32" spans="1:12" ht="15">
      <c r="A32" s="264" t="str">
        <f>IF(B32="", "", RANK(L32, $L$5:$L$124, 1))</f>
        <v/>
      </c>
      <c r="B32" s="266" t="str">
        <f>IF(REGISTRATION!$B2="", "", REGISTRATION!$B2)</f>
        <v/>
      </c>
      <c r="C32" s="268" t="str">
        <f>IF(B32="", "", REGISTRATION!$C2)</f>
        <v/>
      </c>
      <c r="D32" s="129">
        <f>F32 + G32</f>
        <v>240</v>
      </c>
      <c r="E32" s="267" t="str">
        <f>IF($B32="", "", H32 &amp; " / " &amp; I32 &amp; " / " &amp; J32 &amp; " / " &amp; K32)</f>
        <v/>
      </c>
      <c r="F32" s="259">
        <f>IFERROR(VLOOKUP($B32, 'DAY 1 SCORES'!$B:$H, 7, FALSE), 0)</f>
        <v>120</v>
      </c>
      <c r="G32" s="259">
        <f>IFERROR(VLOOKUP($B32, 'DAY 2 SCORES'!$B:$H, 7, FALSE), 0)</f>
        <v>120</v>
      </c>
      <c r="H32" s="259">
        <f>IFERROR(VLOOKUP($B32, 'DAY 1 SCORES'!$B:$D, 3, FALSE), 0) + IFERROR(VLOOKUP($B32, 'DAY 2 SCORES'!$B:$D, 3, FALSE), 0)</f>
        <v>0</v>
      </c>
      <c r="I32" s="259">
        <f>IFERROR(VLOOKUP($B32, 'DAY 1 SCORES'!$B:$F, 5, FALSE), 0) + IFERROR(VLOOKUP($B32, 'DAY 2 SCORES'!$B:$F, 5, FALSE), 0)</f>
        <v>0</v>
      </c>
      <c r="J32" s="259">
        <f>MAX(IFERROR(VLOOKUP($B32, 'DAY 1 SCORES'!$B:$G, 6, FALSE), 0), IFERROR(VLOOKUP($B32, 'DAY 2 SCORES'!$B:$G, 6, FALSE), 0))</f>
        <v>0</v>
      </c>
      <c r="K32" s="259">
        <f>IFERROR(VLOOKUP($B32, 'DAY 1 SCORES'!$B:$E, 4, FALSE), 0) + IFERROR(VLOOKUP($B32, 'DAY 2 SCORES'!$B:$E, 4, FALSE), 0)</f>
        <v>0</v>
      </c>
      <c r="L32" s="259">
        <f>IF(B32="", 999, D32 - (H32/10000) - (I32/1000000) - (J32/100000000) - (K32/10000000000))</f>
        <v>999</v>
      </c>
    </row>
    <row r="33" spans="1:12" ht="15">
      <c r="A33" s="264" t="str">
        <f>IF(B33="", "", RANK(L33, $L$5:$L$124, 1))</f>
        <v/>
      </c>
      <c r="B33" s="266" t="str">
        <f>IF(REGISTRATION!$B25="", "", REGISTRATION!$B25)</f>
        <v/>
      </c>
      <c r="C33" s="268" t="str">
        <f>IF(B33="", "", REGISTRATION!$C25)</f>
        <v/>
      </c>
      <c r="D33" s="129">
        <f>F33 + G33</f>
        <v>240</v>
      </c>
      <c r="E33" s="267" t="str">
        <f>IF($B33="", "", H33 &amp; " / " &amp; I33 &amp; " / " &amp; J33 &amp; " / " &amp; K33)</f>
        <v/>
      </c>
      <c r="F33" s="259">
        <f>IFERROR(VLOOKUP($B33, 'DAY 1 SCORES'!$B:$H, 7, FALSE), 0)</f>
        <v>120</v>
      </c>
      <c r="G33" s="259">
        <f>IFERROR(VLOOKUP($B33, 'DAY 2 SCORES'!$B:$H, 7, FALSE), 0)</f>
        <v>120</v>
      </c>
      <c r="H33" s="259">
        <f>IFERROR(VLOOKUP($B33, 'DAY 1 SCORES'!$B:$D, 3, FALSE), 0) + IFERROR(VLOOKUP($B33, 'DAY 2 SCORES'!$B:$D, 3, FALSE), 0)</f>
        <v>0</v>
      </c>
      <c r="I33" s="259">
        <f>IFERROR(VLOOKUP($B33, 'DAY 1 SCORES'!$B:$F, 5, FALSE), 0) + IFERROR(VLOOKUP($B33, 'DAY 2 SCORES'!$B:$F, 5, FALSE), 0)</f>
        <v>0</v>
      </c>
      <c r="J33" s="259">
        <f>MAX(IFERROR(VLOOKUP($B33, 'DAY 1 SCORES'!$B:$G, 6, FALSE), 0), IFERROR(VLOOKUP($B33, 'DAY 2 SCORES'!$B:$G, 6, FALSE), 0))</f>
        <v>0</v>
      </c>
      <c r="K33" s="259">
        <f>IFERROR(VLOOKUP($B33, 'DAY 1 SCORES'!$B:$E, 4, FALSE), 0) + IFERROR(VLOOKUP($B33, 'DAY 2 SCORES'!$B:$E, 4, FALSE), 0)</f>
        <v>0</v>
      </c>
      <c r="L33" s="259">
        <f>IF(B33="", 999, D33 - (H33/10000) - (I33/1000000) - (J33/100000000) - (K33/10000000000))</f>
        <v>999</v>
      </c>
    </row>
    <row r="34" spans="1:12" ht="15">
      <c r="A34" s="264" t="str">
        <f>IF(B34="", "", RANK(L34, $L$5:$L$124, 1))</f>
        <v/>
      </c>
      <c r="B34" s="266" t="str">
        <f>IF(REGISTRATION!$B35="", "", REGISTRATION!$B35)</f>
        <v/>
      </c>
      <c r="C34" s="268" t="str">
        <f>IF(B34="", "", REGISTRATION!$C35)</f>
        <v/>
      </c>
      <c r="D34" s="129">
        <f>F34 + G34</f>
        <v>240</v>
      </c>
      <c r="E34" s="267" t="str">
        <f>IF($B34="", "", H34 &amp; " / " &amp; I34 &amp; " / " &amp; J34 &amp; " / " &amp; K34)</f>
        <v/>
      </c>
      <c r="F34" s="259">
        <f>IFERROR(VLOOKUP($B34, 'DAY 1 SCORES'!$B:$H, 7, FALSE), 0)</f>
        <v>120</v>
      </c>
      <c r="G34" s="259">
        <f>IFERROR(VLOOKUP($B34, 'DAY 2 SCORES'!$B:$H, 7, FALSE), 0)</f>
        <v>120</v>
      </c>
      <c r="H34" s="259">
        <f>IFERROR(VLOOKUP($B34, 'DAY 1 SCORES'!$B:$D, 3, FALSE), 0) + IFERROR(VLOOKUP($B34, 'DAY 2 SCORES'!$B:$D, 3, FALSE), 0)</f>
        <v>0</v>
      </c>
      <c r="I34" s="259">
        <f>IFERROR(VLOOKUP($B34, 'DAY 1 SCORES'!$B:$F, 5, FALSE), 0) + IFERROR(VLOOKUP($B34, 'DAY 2 SCORES'!$B:$F, 5, FALSE), 0)</f>
        <v>0</v>
      </c>
      <c r="J34" s="259">
        <f>MAX(IFERROR(VLOOKUP($B34, 'DAY 1 SCORES'!$B:$G, 6, FALSE), 0), IFERROR(VLOOKUP($B34, 'DAY 2 SCORES'!$B:$G, 6, FALSE), 0))</f>
        <v>0</v>
      </c>
      <c r="K34" s="259">
        <f>IFERROR(VLOOKUP($B34, 'DAY 1 SCORES'!$B:$E, 4, FALSE), 0) + IFERROR(VLOOKUP($B34, 'DAY 2 SCORES'!$B:$E, 4, FALSE), 0)</f>
        <v>0</v>
      </c>
      <c r="L34" s="259">
        <f>IF(B34="", 999, D34 - (H34/10000) - (I34/1000000) - (J34/100000000) - (K34/10000000000))</f>
        <v>999</v>
      </c>
    </row>
    <row r="35" spans="1:12" ht="15">
      <c r="A35" s="264" t="str">
        <f>IF(B35="", "", RANK(L35, $L$5:$L$124, 1))</f>
        <v/>
      </c>
      <c r="B35" s="266" t="str">
        <f>IF(REGISTRATION!$B4="", "", REGISTRATION!$B4)</f>
        <v/>
      </c>
      <c r="C35" s="268" t="str">
        <f>IF(B35="", "", REGISTRATION!$C4)</f>
        <v/>
      </c>
      <c r="D35" s="129">
        <f>F35 + G35</f>
        <v>240</v>
      </c>
      <c r="E35" s="267" t="str">
        <f>IF($B35="", "", H35 &amp; " / " &amp; I35 &amp; " / " &amp; J35 &amp; " / " &amp; K35)</f>
        <v/>
      </c>
      <c r="F35" s="259">
        <f>IFERROR(VLOOKUP($B35, 'DAY 1 SCORES'!$B:$H, 7, FALSE), 0)</f>
        <v>120</v>
      </c>
      <c r="G35" s="259">
        <f>IFERROR(VLOOKUP($B35, 'DAY 2 SCORES'!$B:$H, 7, FALSE), 0)</f>
        <v>120</v>
      </c>
      <c r="H35" s="259">
        <f>IFERROR(VLOOKUP($B35, 'DAY 1 SCORES'!$B:$D, 3, FALSE), 0) + IFERROR(VLOOKUP($B35, 'DAY 2 SCORES'!$B:$D, 3, FALSE), 0)</f>
        <v>0</v>
      </c>
      <c r="I35" s="259">
        <f>IFERROR(VLOOKUP($B35, 'DAY 1 SCORES'!$B:$F, 5, FALSE), 0) + IFERROR(VLOOKUP($B35, 'DAY 2 SCORES'!$B:$F, 5, FALSE), 0)</f>
        <v>0</v>
      </c>
      <c r="J35" s="259">
        <f>MAX(IFERROR(VLOOKUP($B35, 'DAY 1 SCORES'!$B:$G, 6, FALSE), 0), IFERROR(VLOOKUP($B35, 'DAY 2 SCORES'!$B:$G, 6, FALSE), 0))</f>
        <v>0</v>
      </c>
      <c r="K35" s="259">
        <f>IFERROR(VLOOKUP($B35, 'DAY 1 SCORES'!$B:$E, 4, FALSE), 0) + IFERROR(VLOOKUP($B35, 'DAY 2 SCORES'!$B:$E, 4, FALSE), 0)</f>
        <v>0</v>
      </c>
      <c r="L35" s="259">
        <f>IF(B35="", 999, D35 - (H35/10000) - (I35/1000000) - (J35/100000000) - (K35/10000000000))</f>
        <v>999</v>
      </c>
    </row>
    <row r="36" spans="1:12" ht="15">
      <c r="A36" s="264" t="str">
        <f>IF(B36="", "", RANK(L36, $L$5:$L$124, 1))</f>
        <v/>
      </c>
      <c r="B36" s="266" t="str">
        <f>IF(REGISTRATION!$B36="", "", REGISTRATION!$B36)</f>
        <v/>
      </c>
      <c r="C36" s="268" t="str">
        <f>IF(B36="", "", REGISTRATION!$C36)</f>
        <v/>
      </c>
      <c r="D36" s="129">
        <f>F36 + G36</f>
        <v>240</v>
      </c>
      <c r="E36" s="267" t="str">
        <f>IF($B36="", "", H36 &amp; " / " &amp; I36 &amp; " / " &amp; J36 &amp; " / " &amp; K36)</f>
        <v/>
      </c>
      <c r="F36" s="259">
        <f>IFERROR(VLOOKUP($B36, 'DAY 1 SCORES'!$B:$H, 7, FALSE), 0)</f>
        <v>120</v>
      </c>
      <c r="G36" s="259">
        <f>IFERROR(VLOOKUP($B36, 'DAY 2 SCORES'!$B:$H, 7, FALSE), 0)</f>
        <v>120</v>
      </c>
      <c r="H36" s="259">
        <f>IFERROR(VLOOKUP($B36, 'DAY 1 SCORES'!$B:$D, 3, FALSE), 0) + IFERROR(VLOOKUP($B36, 'DAY 2 SCORES'!$B:$D, 3, FALSE), 0)</f>
        <v>0</v>
      </c>
      <c r="I36" s="259">
        <f>IFERROR(VLOOKUP($B36, 'DAY 1 SCORES'!$B:$F, 5, FALSE), 0) + IFERROR(VLOOKUP($B36, 'DAY 2 SCORES'!$B:$F, 5, FALSE), 0)</f>
        <v>0</v>
      </c>
      <c r="J36" s="259">
        <f>MAX(IFERROR(VLOOKUP($B36, 'DAY 1 SCORES'!$B:$G, 6, FALSE), 0), IFERROR(VLOOKUP($B36, 'DAY 2 SCORES'!$B:$G, 6, FALSE), 0))</f>
        <v>0</v>
      </c>
      <c r="K36" s="259">
        <f>IFERROR(VLOOKUP($B36, 'DAY 1 SCORES'!$B:$E, 4, FALSE), 0) + IFERROR(VLOOKUP($B36, 'DAY 2 SCORES'!$B:$E, 4, FALSE), 0)</f>
        <v>0</v>
      </c>
      <c r="L36" s="259">
        <f>IF(B36="", 999, D36 - (H36/10000) - (I36/1000000) - (J36/100000000) - (K36/10000000000))</f>
        <v>999</v>
      </c>
    </row>
    <row r="37" spans="1:12" ht="15">
      <c r="A37" s="264" t="str">
        <f>IF(B37="", "", RANK(L37, $L$5:$L$124, 1))</f>
        <v/>
      </c>
      <c r="B37" s="266" t="str">
        <f>IF(REGISTRATION!$B22="", "", REGISTRATION!$B22)</f>
        <v/>
      </c>
      <c r="C37" s="268" t="str">
        <f>IF(B37="", "", REGISTRATION!$C22)</f>
        <v/>
      </c>
      <c r="D37" s="129">
        <f>F37 + G37</f>
        <v>240</v>
      </c>
      <c r="E37" s="267" t="str">
        <f>IF($B37="", "", H37 &amp; " / " &amp; I37 &amp; " / " &amp; J37 &amp; " / " &amp; K37)</f>
        <v/>
      </c>
      <c r="F37" s="259">
        <f>IFERROR(VLOOKUP($B37, 'DAY 1 SCORES'!$B:$H, 7, FALSE), 0)</f>
        <v>120</v>
      </c>
      <c r="G37" s="259">
        <f>IFERROR(VLOOKUP($B37, 'DAY 2 SCORES'!$B:$H, 7, FALSE), 0)</f>
        <v>120</v>
      </c>
      <c r="H37" s="259">
        <f>IFERROR(VLOOKUP($B37, 'DAY 1 SCORES'!$B:$D, 3, FALSE), 0) + IFERROR(VLOOKUP($B37, 'DAY 2 SCORES'!$B:$D, 3, FALSE), 0)</f>
        <v>0</v>
      </c>
      <c r="I37" s="259">
        <f>IFERROR(VLOOKUP($B37, 'DAY 1 SCORES'!$B:$F, 5, FALSE), 0) + IFERROR(VLOOKUP($B37, 'DAY 2 SCORES'!$B:$F, 5, FALSE), 0)</f>
        <v>0</v>
      </c>
      <c r="J37" s="259">
        <f>MAX(IFERROR(VLOOKUP($B37, 'DAY 1 SCORES'!$B:$G, 6, FALSE), 0), IFERROR(VLOOKUP($B37, 'DAY 2 SCORES'!$B:$G, 6, FALSE), 0))</f>
        <v>0</v>
      </c>
      <c r="K37" s="259">
        <f>IFERROR(VLOOKUP($B37, 'DAY 1 SCORES'!$B:$E, 4, FALSE), 0) + IFERROR(VLOOKUP($B37, 'DAY 2 SCORES'!$B:$E, 4, FALSE), 0)</f>
        <v>0</v>
      </c>
      <c r="L37" s="259">
        <f>IF(B37="", 999, D37 - (H37/10000) - (I37/1000000) - (J37/100000000) - (K37/10000000000))</f>
        <v>999</v>
      </c>
    </row>
    <row r="38" spans="1:12" ht="15">
      <c r="A38" s="264" t="str">
        <f>IF(B38="", "", RANK(L38, $L$5:$L$124, 1))</f>
        <v/>
      </c>
      <c r="B38" s="266" t="str">
        <f>IF(REGISTRATION!$B8="", "", REGISTRATION!$B8)</f>
        <v/>
      </c>
      <c r="C38" s="268" t="str">
        <f>IF(B38="", "", REGISTRATION!$C8)</f>
        <v/>
      </c>
      <c r="D38" s="129">
        <f>F38 + G38</f>
        <v>240</v>
      </c>
      <c r="E38" s="267" t="str">
        <f>IF($B38="", "", H38 &amp; " / " &amp; I38 &amp; " / " &amp; J38 &amp; " / " &amp; K38)</f>
        <v/>
      </c>
      <c r="F38" s="259">
        <f>IFERROR(VLOOKUP($B38, 'DAY 1 SCORES'!$B:$H, 7, FALSE), 0)</f>
        <v>120</v>
      </c>
      <c r="G38" s="259">
        <f>IFERROR(VLOOKUP($B38, 'DAY 2 SCORES'!$B:$H, 7, FALSE), 0)</f>
        <v>120</v>
      </c>
      <c r="H38" s="259">
        <f>IFERROR(VLOOKUP($B38, 'DAY 1 SCORES'!$B:$D, 3, FALSE), 0) + IFERROR(VLOOKUP($B38, 'DAY 2 SCORES'!$B:$D, 3, FALSE), 0)</f>
        <v>0</v>
      </c>
      <c r="I38" s="259">
        <f>IFERROR(VLOOKUP($B38, 'DAY 1 SCORES'!$B:$F, 5, FALSE), 0) + IFERROR(VLOOKUP($B38, 'DAY 2 SCORES'!$B:$F, 5, FALSE), 0)</f>
        <v>0</v>
      </c>
      <c r="J38" s="259">
        <f>MAX(IFERROR(VLOOKUP($B38, 'DAY 1 SCORES'!$B:$G, 6, FALSE), 0), IFERROR(VLOOKUP($B38, 'DAY 2 SCORES'!$B:$G, 6, FALSE), 0))</f>
        <v>0</v>
      </c>
      <c r="K38" s="259">
        <f>IFERROR(VLOOKUP($B38, 'DAY 1 SCORES'!$B:$E, 4, FALSE), 0) + IFERROR(VLOOKUP($B38, 'DAY 2 SCORES'!$B:$E, 4, FALSE), 0)</f>
        <v>0</v>
      </c>
      <c r="L38" s="259">
        <f>IF(B38="", 999, D38 - (H38/10000) - (I38/1000000) - (J38/100000000) - (K38/10000000000))</f>
        <v>999</v>
      </c>
    </row>
    <row r="39" spans="1:12" ht="15">
      <c r="A39" s="264" t="str">
        <f>IF(B39="", "", RANK(L39, $L$5:$L$124, 1))</f>
        <v/>
      </c>
      <c r="B39" s="266" t="str">
        <f>IF(REGISTRATION!$B29="", "", REGISTRATION!$B29)</f>
        <v/>
      </c>
      <c r="C39" s="268" t="str">
        <f>IF(B39="", "", REGISTRATION!$C29)</f>
        <v/>
      </c>
      <c r="D39" s="129">
        <f>F39 + G39</f>
        <v>240</v>
      </c>
      <c r="E39" s="267" t="str">
        <f>IF($B39="", "", H39 &amp; " / " &amp; I39 &amp; " / " &amp; J39 &amp; " / " &amp; K39)</f>
        <v/>
      </c>
      <c r="F39" s="259">
        <f>IFERROR(VLOOKUP($B39, 'DAY 1 SCORES'!$B:$H, 7, FALSE), 0)</f>
        <v>120</v>
      </c>
      <c r="G39" s="259">
        <f>IFERROR(VLOOKUP($B39, 'DAY 2 SCORES'!$B:$H, 7, FALSE), 0)</f>
        <v>120</v>
      </c>
      <c r="H39" s="259">
        <f>IFERROR(VLOOKUP($B39, 'DAY 1 SCORES'!$B:$D, 3, FALSE), 0) + IFERROR(VLOOKUP($B39, 'DAY 2 SCORES'!$B:$D, 3, FALSE), 0)</f>
        <v>0</v>
      </c>
      <c r="I39" s="259">
        <f>IFERROR(VLOOKUP($B39, 'DAY 1 SCORES'!$B:$F, 5, FALSE), 0) + IFERROR(VLOOKUP($B39, 'DAY 2 SCORES'!$B:$F, 5, FALSE), 0)</f>
        <v>0</v>
      </c>
      <c r="J39" s="259">
        <f>MAX(IFERROR(VLOOKUP($B39, 'DAY 1 SCORES'!$B:$G, 6, FALSE), 0), IFERROR(VLOOKUP($B39, 'DAY 2 SCORES'!$B:$G, 6, FALSE), 0))</f>
        <v>0</v>
      </c>
      <c r="K39" s="259">
        <f>IFERROR(VLOOKUP($B39, 'DAY 1 SCORES'!$B:$E, 4, FALSE), 0) + IFERROR(VLOOKUP($B39, 'DAY 2 SCORES'!$B:$E, 4, FALSE), 0)</f>
        <v>0</v>
      </c>
      <c r="L39" s="259">
        <f>IF(B39="", 999, D39 - (H39/10000) - (I39/1000000) - (J39/100000000) - (K39/10000000000))</f>
        <v>999</v>
      </c>
    </row>
    <row r="40" spans="1:12" ht="15">
      <c r="A40" s="264" t="str">
        <f>IF(B40="", "", RANK(L40, $L$5:$L$124, 1))</f>
        <v/>
      </c>
      <c r="B40" s="266" t="str">
        <f>IF(REGISTRATION!$B47="", "", REGISTRATION!$B47)</f>
        <v/>
      </c>
      <c r="C40" s="268" t="str">
        <f>IF(B40="", "", REGISTRATION!$C47)</f>
        <v/>
      </c>
      <c r="D40" s="129">
        <f>F40 + G40</f>
        <v>240</v>
      </c>
      <c r="E40" s="267" t="str">
        <f>IF($B40="", "", H40 &amp; " / " &amp; I40 &amp; " / " &amp; J40 &amp; " / " &amp; K40)</f>
        <v/>
      </c>
      <c r="F40" s="259">
        <f>IFERROR(VLOOKUP($B40, 'DAY 1 SCORES'!$B:$H, 7, FALSE), 0)</f>
        <v>120</v>
      </c>
      <c r="G40" s="259">
        <f>IFERROR(VLOOKUP($B40, 'DAY 2 SCORES'!$B:$H, 7, FALSE), 0)</f>
        <v>120</v>
      </c>
      <c r="H40" s="259">
        <f>IFERROR(VLOOKUP($B40, 'DAY 1 SCORES'!$B:$D, 3, FALSE), 0) + IFERROR(VLOOKUP($B40, 'DAY 2 SCORES'!$B:$D, 3, FALSE), 0)</f>
        <v>0</v>
      </c>
      <c r="I40" s="259">
        <f>IFERROR(VLOOKUP($B40, 'DAY 1 SCORES'!$B:$F, 5, FALSE), 0) + IFERROR(VLOOKUP($B40, 'DAY 2 SCORES'!$B:$F, 5, FALSE), 0)</f>
        <v>0</v>
      </c>
      <c r="J40" s="259">
        <f>MAX(IFERROR(VLOOKUP($B40, 'DAY 1 SCORES'!$B:$G, 6, FALSE), 0), IFERROR(VLOOKUP($B40, 'DAY 2 SCORES'!$B:$G, 6, FALSE), 0))</f>
        <v>0</v>
      </c>
      <c r="K40" s="259">
        <f>IFERROR(VLOOKUP($B40, 'DAY 1 SCORES'!$B:$E, 4, FALSE), 0) + IFERROR(VLOOKUP($B40, 'DAY 2 SCORES'!$B:$E, 4, FALSE), 0)</f>
        <v>0</v>
      </c>
      <c r="L40" s="259">
        <f>IF(B40="", 999, D40 - (H40/10000) - (I40/1000000) - (J40/100000000) - (K40/10000000000))</f>
        <v>999</v>
      </c>
    </row>
    <row r="41" spans="1:12" ht="15">
      <c r="A41" s="264" t="str">
        <f>IF(B41="", "", RANK(L41, $L$5:$L$124, 1))</f>
        <v/>
      </c>
      <c r="B41" s="266" t="str">
        <f>IF(REGISTRATION!$B49="", "", REGISTRATION!$B49)</f>
        <v/>
      </c>
      <c r="C41" s="268" t="str">
        <f>IF(B41="", "", REGISTRATION!$C49)</f>
        <v/>
      </c>
      <c r="D41" s="129">
        <f>F41 + G41</f>
        <v>240</v>
      </c>
      <c r="E41" s="267" t="str">
        <f>IF($B41="", "", H41 &amp; " / " &amp; I41 &amp; " / " &amp; J41 &amp; " / " &amp; K41)</f>
        <v/>
      </c>
      <c r="F41" s="259">
        <f>IFERROR(VLOOKUP($B41, 'DAY 1 SCORES'!$B:$H, 7, FALSE), 0)</f>
        <v>120</v>
      </c>
      <c r="G41" s="259">
        <f>IFERROR(VLOOKUP($B41, 'DAY 2 SCORES'!$B:$H, 7, FALSE), 0)</f>
        <v>120</v>
      </c>
      <c r="H41" s="259">
        <f>IFERROR(VLOOKUP($B41, 'DAY 1 SCORES'!$B:$D, 3, FALSE), 0) + IFERROR(VLOOKUP($B41, 'DAY 2 SCORES'!$B:$D, 3, FALSE), 0)</f>
        <v>0</v>
      </c>
      <c r="I41" s="259">
        <f>IFERROR(VLOOKUP($B41, 'DAY 1 SCORES'!$B:$F, 5, FALSE), 0) + IFERROR(VLOOKUP($B41, 'DAY 2 SCORES'!$B:$F, 5, FALSE), 0)</f>
        <v>0</v>
      </c>
      <c r="J41" s="259">
        <f>MAX(IFERROR(VLOOKUP($B41, 'DAY 1 SCORES'!$B:$G, 6, FALSE), 0), IFERROR(VLOOKUP($B41, 'DAY 2 SCORES'!$B:$G, 6, FALSE), 0))</f>
        <v>0</v>
      </c>
      <c r="K41" s="259">
        <f>IFERROR(VLOOKUP($B41, 'DAY 1 SCORES'!$B:$E, 4, FALSE), 0) + IFERROR(VLOOKUP($B41, 'DAY 2 SCORES'!$B:$E, 4, FALSE), 0)</f>
        <v>0</v>
      </c>
      <c r="L41" s="259">
        <f>IF(B41="", 999, D41 - (H41/10000) - (I41/1000000) - (J41/100000000) - (K41/10000000000))</f>
        <v>999</v>
      </c>
    </row>
    <row r="42" spans="1:12" ht="15">
      <c r="A42" s="264" t="str">
        <f>IF(B42="", "", RANK(L42, $L$5:$L$124, 1))</f>
        <v/>
      </c>
      <c r="B42" s="266" t="str">
        <f>IF(REGISTRATION!$B52="", "", REGISTRATION!$B52)</f>
        <v/>
      </c>
      <c r="C42" s="268" t="str">
        <f>IF(B42="", "", REGISTRATION!$C52)</f>
        <v/>
      </c>
      <c r="D42" s="129">
        <f>F42 + G42</f>
        <v>240</v>
      </c>
      <c r="E42" s="267" t="str">
        <f>IF($B42="", "", H42 &amp; " / " &amp; I42 &amp; " / " &amp; J42 &amp; " / " &amp; K42)</f>
        <v/>
      </c>
      <c r="F42" s="259">
        <f>IFERROR(VLOOKUP($B42, 'DAY 1 SCORES'!$B:$H, 7, FALSE), 0)</f>
        <v>120</v>
      </c>
      <c r="G42" s="259">
        <f>IFERROR(VLOOKUP($B42, 'DAY 2 SCORES'!$B:$H, 7, FALSE), 0)</f>
        <v>120</v>
      </c>
      <c r="H42" s="259">
        <f>IFERROR(VLOOKUP($B42, 'DAY 1 SCORES'!$B:$D, 3, FALSE), 0) + IFERROR(VLOOKUP($B42, 'DAY 2 SCORES'!$B:$D, 3, FALSE), 0)</f>
        <v>0</v>
      </c>
      <c r="I42" s="259">
        <f>IFERROR(VLOOKUP($B42, 'DAY 1 SCORES'!$B:$F, 5, FALSE), 0) + IFERROR(VLOOKUP($B42, 'DAY 2 SCORES'!$B:$F, 5, FALSE), 0)</f>
        <v>0</v>
      </c>
      <c r="J42" s="259">
        <f>MAX(IFERROR(VLOOKUP($B42, 'DAY 1 SCORES'!$B:$G, 6, FALSE), 0), IFERROR(VLOOKUP($B42, 'DAY 2 SCORES'!$B:$G, 6, FALSE), 0))</f>
        <v>0</v>
      </c>
      <c r="K42" s="259">
        <f>IFERROR(VLOOKUP($B42, 'DAY 1 SCORES'!$B:$E, 4, FALSE), 0) + IFERROR(VLOOKUP($B42, 'DAY 2 SCORES'!$B:$E, 4, FALSE), 0)</f>
        <v>0</v>
      </c>
      <c r="L42" s="259">
        <f>IF(B42="", 999, D42 - (H42/10000) - (I42/1000000) - (J42/100000000) - (K42/10000000000))</f>
        <v>999</v>
      </c>
    </row>
    <row r="43" spans="1:12" ht="15">
      <c r="A43" s="264" t="str">
        <f>IF(B43="", "", RANK(L43, $L$5:$L$124, 1))</f>
        <v/>
      </c>
      <c r="B43" s="266" t="str">
        <f>IF(REGISTRATION!$B46="", "", REGISTRATION!$B46)</f>
        <v/>
      </c>
      <c r="C43" s="268" t="str">
        <f>IF(B43="", "", REGISTRATION!$C46)</f>
        <v/>
      </c>
      <c r="D43" s="129">
        <f>F43 + G43</f>
        <v>240</v>
      </c>
      <c r="E43" s="267" t="str">
        <f>IF($B43="", "", H43 &amp; " / " &amp; I43 &amp; " / " &amp; J43 &amp; " / " &amp; K43)</f>
        <v/>
      </c>
      <c r="F43" s="259">
        <f>IFERROR(VLOOKUP($B43, 'DAY 1 SCORES'!$B:$H, 7, FALSE), 0)</f>
        <v>120</v>
      </c>
      <c r="G43" s="259">
        <f>IFERROR(VLOOKUP($B43, 'DAY 2 SCORES'!$B:$H, 7, FALSE), 0)</f>
        <v>120</v>
      </c>
      <c r="H43" s="259">
        <f>IFERROR(VLOOKUP($B43, 'DAY 1 SCORES'!$B:$D, 3, FALSE), 0) + IFERROR(VLOOKUP($B43, 'DAY 2 SCORES'!$B:$D, 3, FALSE), 0)</f>
        <v>0</v>
      </c>
      <c r="I43" s="259">
        <f>IFERROR(VLOOKUP($B43, 'DAY 1 SCORES'!$B:$F, 5, FALSE), 0) + IFERROR(VLOOKUP($B43, 'DAY 2 SCORES'!$B:$F, 5, FALSE), 0)</f>
        <v>0</v>
      </c>
      <c r="J43" s="259">
        <f>MAX(IFERROR(VLOOKUP($B43, 'DAY 1 SCORES'!$B:$G, 6, FALSE), 0), IFERROR(VLOOKUP($B43, 'DAY 2 SCORES'!$B:$G, 6, FALSE), 0))</f>
        <v>0</v>
      </c>
      <c r="K43" s="259">
        <f>IFERROR(VLOOKUP($B43, 'DAY 1 SCORES'!$B:$E, 4, FALSE), 0) + IFERROR(VLOOKUP($B43, 'DAY 2 SCORES'!$B:$E, 4, FALSE), 0)</f>
        <v>0</v>
      </c>
      <c r="L43" s="259">
        <f>IF(B43="", 999, D43 - (H43/10000) - (I43/1000000) - (J43/100000000) - (K43/10000000000))</f>
        <v>999</v>
      </c>
    </row>
    <row r="44" spans="1:12" ht="15">
      <c r="A44" s="264" t="str">
        <f>IF(B44="", "", RANK(L44, $L$5:$L$124, 1))</f>
        <v/>
      </c>
      <c r="B44" s="266" t="str">
        <f>IF(REGISTRATION!$B38="", "", REGISTRATION!$B38)</f>
        <v/>
      </c>
      <c r="C44" s="268" t="str">
        <f>IF(B44="", "", REGISTRATION!$C38)</f>
        <v/>
      </c>
      <c r="D44" s="129">
        <f>F44 + G44</f>
        <v>240</v>
      </c>
      <c r="E44" s="267" t="str">
        <f>IF($B44="", "", H44 &amp; " / " &amp; I44 &amp; " / " &amp; J44 &amp; " / " &amp; K44)</f>
        <v/>
      </c>
      <c r="F44" s="259">
        <f>IFERROR(VLOOKUP($B44, 'DAY 1 SCORES'!$B:$H, 7, FALSE), 0)</f>
        <v>120</v>
      </c>
      <c r="G44" s="259">
        <f>IFERROR(VLOOKUP($B44, 'DAY 2 SCORES'!$B:$H, 7, FALSE), 0)</f>
        <v>120</v>
      </c>
      <c r="H44" s="259">
        <f>IFERROR(VLOOKUP($B44, 'DAY 1 SCORES'!$B:$D, 3, FALSE), 0) + IFERROR(VLOOKUP($B44, 'DAY 2 SCORES'!$B:$D, 3, FALSE), 0)</f>
        <v>0</v>
      </c>
      <c r="I44" s="259">
        <f>IFERROR(VLOOKUP($B44, 'DAY 1 SCORES'!$B:$F, 5, FALSE), 0) + IFERROR(VLOOKUP($B44, 'DAY 2 SCORES'!$B:$F, 5, FALSE), 0)</f>
        <v>0</v>
      </c>
      <c r="J44" s="259">
        <f>MAX(IFERROR(VLOOKUP($B44, 'DAY 1 SCORES'!$B:$G, 6, FALSE), 0), IFERROR(VLOOKUP($B44, 'DAY 2 SCORES'!$B:$G, 6, FALSE), 0))</f>
        <v>0</v>
      </c>
      <c r="K44" s="259">
        <f>IFERROR(VLOOKUP($B44, 'DAY 1 SCORES'!$B:$E, 4, FALSE), 0) + IFERROR(VLOOKUP($B44, 'DAY 2 SCORES'!$B:$E, 4, FALSE), 0)</f>
        <v>0</v>
      </c>
      <c r="L44" s="259">
        <f>IF(B44="", 999, D44 - (H44/10000) - (I44/1000000) - (J44/100000000) - (K44/10000000000))</f>
        <v>999</v>
      </c>
    </row>
    <row r="45" spans="1:12" ht="15">
      <c r="A45" s="264" t="str">
        <f>IF(B45="", "", RANK(L45, $L$5:$L$124, 1))</f>
        <v/>
      </c>
      <c r="B45" s="266" t="str">
        <f>IF(REGISTRATION!$B27="", "", REGISTRATION!$B27)</f>
        <v/>
      </c>
      <c r="C45" s="268" t="str">
        <f>IF(B45="", "", REGISTRATION!$C27)</f>
        <v/>
      </c>
      <c r="D45" s="129">
        <f>F45 + G45</f>
        <v>240</v>
      </c>
      <c r="E45" s="267" t="str">
        <f>IF($B45="", "", H45 &amp; " / " &amp; I45 &amp; " / " &amp; J45 &amp; " / " &amp; K45)</f>
        <v/>
      </c>
      <c r="F45" s="259">
        <f>IFERROR(VLOOKUP($B45, 'DAY 1 SCORES'!$B:$H, 7, FALSE), 0)</f>
        <v>120</v>
      </c>
      <c r="G45" s="259">
        <f>IFERROR(VLOOKUP($B45, 'DAY 2 SCORES'!$B:$H, 7, FALSE), 0)</f>
        <v>120</v>
      </c>
      <c r="H45" s="259">
        <f>IFERROR(VLOOKUP($B45, 'DAY 1 SCORES'!$B:$D, 3, FALSE), 0) + IFERROR(VLOOKUP($B45, 'DAY 2 SCORES'!$B:$D, 3, FALSE), 0)</f>
        <v>0</v>
      </c>
      <c r="I45" s="259">
        <f>IFERROR(VLOOKUP($B45, 'DAY 1 SCORES'!$B:$F, 5, FALSE), 0) + IFERROR(VLOOKUP($B45, 'DAY 2 SCORES'!$B:$F, 5, FALSE), 0)</f>
        <v>0</v>
      </c>
      <c r="J45" s="259">
        <f>MAX(IFERROR(VLOOKUP($B45, 'DAY 1 SCORES'!$B:$G, 6, FALSE), 0), IFERROR(VLOOKUP($B45, 'DAY 2 SCORES'!$B:$G, 6, FALSE), 0))</f>
        <v>0</v>
      </c>
      <c r="K45" s="259">
        <f>IFERROR(VLOOKUP($B45, 'DAY 1 SCORES'!$B:$E, 4, FALSE), 0) + IFERROR(VLOOKUP($B45, 'DAY 2 SCORES'!$B:$E, 4, FALSE), 0)</f>
        <v>0</v>
      </c>
      <c r="L45" s="259">
        <f>IF(B45="", 999, D45 - (H45/10000) - (I45/1000000) - (J45/100000000) - (K45/10000000000))</f>
        <v>999</v>
      </c>
    </row>
    <row r="46" spans="1:12" ht="15">
      <c r="A46" s="264" t="str">
        <f>IF(B46="", "", RANK(L46, $L$5:$L$124, 1))</f>
        <v/>
      </c>
      <c r="B46" s="266" t="str">
        <f>IF(REGISTRATION!$B13="", "", REGISTRATION!$B13)</f>
        <v/>
      </c>
      <c r="C46" s="268" t="str">
        <f>IF(B46="", "", REGISTRATION!$C13)</f>
        <v/>
      </c>
      <c r="D46" s="129">
        <f>F46 + G46</f>
        <v>240</v>
      </c>
      <c r="E46" s="267" t="str">
        <f>IF($B46="", "", H46 &amp; " / " &amp; I46 &amp; " / " &amp; J46 &amp; " / " &amp; K46)</f>
        <v/>
      </c>
      <c r="F46" s="259">
        <f>IFERROR(VLOOKUP($B46, 'DAY 1 SCORES'!$B:$H, 7, FALSE), 0)</f>
        <v>120</v>
      </c>
      <c r="G46" s="259">
        <f>IFERROR(VLOOKUP($B46, 'DAY 2 SCORES'!$B:$H, 7, FALSE), 0)</f>
        <v>120</v>
      </c>
      <c r="H46" s="259">
        <f>IFERROR(VLOOKUP($B46, 'DAY 1 SCORES'!$B:$D, 3, FALSE), 0) + IFERROR(VLOOKUP($B46, 'DAY 2 SCORES'!$B:$D, 3, FALSE), 0)</f>
        <v>0</v>
      </c>
      <c r="I46" s="259">
        <f>IFERROR(VLOOKUP($B46, 'DAY 1 SCORES'!$B:$F, 5, FALSE), 0) + IFERROR(VLOOKUP($B46, 'DAY 2 SCORES'!$B:$F, 5, FALSE), 0)</f>
        <v>0</v>
      </c>
      <c r="J46" s="259">
        <f>MAX(IFERROR(VLOOKUP($B46, 'DAY 1 SCORES'!$B:$G, 6, FALSE), 0), IFERROR(VLOOKUP($B46, 'DAY 2 SCORES'!$B:$G, 6, FALSE), 0))</f>
        <v>0</v>
      </c>
      <c r="K46" s="259">
        <f>IFERROR(VLOOKUP($B46, 'DAY 1 SCORES'!$B:$E, 4, FALSE), 0) + IFERROR(VLOOKUP($B46, 'DAY 2 SCORES'!$B:$E, 4, FALSE), 0)</f>
        <v>0</v>
      </c>
      <c r="L46" s="259">
        <f>IF(B46="", 999, D46 - (H46/10000) - (I46/1000000) - (J46/100000000) - (K46/10000000000))</f>
        <v>999</v>
      </c>
    </row>
    <row r="47" spans="1:12" ht="15">
      <c r="A47" s="264" t="str">
        <f>IF(B47="", "", RANK(L47, $L$5:$L$124, 1))</f>
        <v/>
      </c>
      <c r="B47" s="266" t="str">
        <f>IF(REGISTRATION!$B56="", "", REGISTRATION!$B56)</f>
        <v/>
      </c>
      <c r="C47" s="268" t="str">
        <f>IF(B47="", "", REGISTRATION!$C56)</f>
        <v/>
      </c>
      <c r="D47" s="129">
        <f>F47 + G47</f>
        <v>240</v>
      </c>
      <c r="E47" s="267" t="str">
        <f>IF($B47="", "", H47 &amp; " / " &amp; I47 &amp; " / " &amp; J47 &amp; " / " &amp; K47)</f>
        <v/>
      </c>
      <c r="F47" s="259">
        <f>IFERROR(VLOOKUP($B47, 'DAY 1 SCORES'!$B:$H, 7, FALSE), 0)</f>
        <v>120</v>
      </c>
      <c r="G47" s="259">
        <f>IFERROR(VLOOKUP($B47, 'DAY 2 SCORES'!$B:$H, 7, FALSE), 0)</f>
        <v>120</v>
      </c>
      <c r="H47" s="259">
        <f>IFERROR(VLOOKUP($B47, 'DAY 1 SCORES'!$B:$D, 3, FALSE), 0) + IFERROR(VLOOKUP($B47, 'DAY 2 SCORES'!$B:$D, 3, FALSE), 0)</f>
        <v>0</v>
      </c>
      <c r="I47" s="259">
        <f>IFERROR(VLOOKUP($B47, 'DAY 1 SCORES'!$B:$F, 5, FALSE), 0) + IFERROR(VLOOKUP($B47, 'DAY 2 SCORES'!$B:$F, 5, FALSE), 0)</f>
        <v>0</v>
      </c>
      <c r="J47" s="259">
        <f>MAX(IFERROR(VLOOKUP($B47, 'DAY 1 SCORES'!$B:$G, 6, FALSE), 0), IFERROR(VLOOKUP($B47, 'DAY 2 SCORES'!$B:$G, 6, FALSE), 0))</f>
        <v>0</v>
      </c>
      <c r="K47" s="259">
        <f>IFERROR(VLOOKUP($B47, 'DAY 1 SCORES'!$B:$E, 4, FALSE), 0) + IFERROR(VLOOKUP($B47, 'DAY 2 SCORES'!$B:$E, 4, FALSE), 0)</f>
        <v>0</v>
      </c>
      <c r="L47" s="259">
        <f>IF(B47="", 999, D47 - (H47/10000) - (I47/1000000) - (J47/100000000) - (K47/10000000000))</f>
        <v>999</v>
      </c>
    </row>
    <row r="48" spans="1:12" ht="15">
      <c r="A48" s="264" t="str">
        <f>IF(B48="", "", RANK(L48, $L$5:$L$124, 1))</f>
        <v/>
      </c>
      <c r="B48" s="266" t="str">
        <f>IF(REGISTRATION!$B19="", "", REGISTRATION!$B19)</f>
        <v/>
      </c>
      <c r="C48" s="268" t="str">
        <f>IF(B48="", "", REGISTRATION!$C19)</f>
        <v/>
      </c>
      <c r="D48" s="129">
        <f>F48 + G48</f>
        <v>240</v>
      </c>
      <c r="E48" s="267" t="str">
        <f>IF($B48="", "", H48 &amp; " / " &amp; I48 &amp; " / " &amp; J48 &amp; " / " &amp; K48)</f>
        <v/>
      </c>
      <c r="F48" s="259">
        <f>IFERROR(VLOOKUP($B48, 'DAY 1 SCORES'!$B:$H, 7, FALSE), 0)</f>
        <v>120</v>
      </c>
      <c r="G48" s="259">
        <f>IFERROR(VLOOKUP($B48, 'DAY 2 SCORES'!$B:$H, 7, FALSE), 0)</f>
        <v>120</v>
      </c>
      <c r="H48" s="259">
        <f>IFERROR(VLOOKUP($B48, 'DAY 1 SCORES'!$B:$D, 3, FALSE), 0) + IFERROR(VLOOKUP($B48, 'DAY 2 SCORES'!$B:$D, 3, FALSE), 0)</f>
        <v>0</v>
      </c>
      <c r="I48" s="259">
        <f>IFERROR(VLOOKUP($B48, 'DAY 1 SCORES'!$B:$F, 5, FALSE), 0) + IFERROR(VLOOKUP($B48, 'DAY 2 SCORES'!$B:$F, 5, FALSE), 0)</f>
        <v>0</v>
      </c>
      <c r="J48" s="259">
        <f>MAX(IFERROR(VLOOKUP($B48, 'DAY 1 SCORES'!$B:$G, 6, FALSE), 0), IFERROR(VLOOKUP($B48, 'DAY 2 SCORES'!$B:$G, 6, FALSE), 0))</f>
        <v>0</v>
      </c>
      <c r="K48" s="259">
        <f>IFERROR(VLOOKUP($B48, 'DAY 1 SCORES'!$B:$E, 4, FALSE), 0) + IFERROR(VLOOKUP($B48, 'DAY 2 SCORES'!$B:$E, 4, FALSE), 0)</f>
        <v>0</v>
      </c>
      <c r="L48" s="259">
        <f>IF(B48="", 999, D48 - (H48/10000) - (I48/1000000) - (J48/100000000) - (K48/10000000000))</f>
        <v>999</v>
      </c>
    </row>
    <row r="49" spans="1:12" ht="15">
      <c r="A49" s="264" t="str">
        <f>IF(B49="", "", RANK(L49, $L$5:$L$124, 1))</f>
        <v/>
      </c>
      <c r="B49" s="266" t="str">
        <f>IF(REGISTRATION!$B18="", "", REGISTRATION!$B18)</f>
        <v/>
      </c>
      <c r="C49" s="268" t="str">
        <f>IF(B49="", "", REGISTRATION!$C18)</f>
        <v/>
      </c>
      <c r="D49" s="129">
        <f>F49 + G49</f>
        <v>240</v>
      </c>
      <c r="E49" s="267" t="str">
        <f>IF($B49="", "", H49 &amp; " / " &amp; I49 &amp; " / " &amp; J49 &amp; " / " &amp; K49)</f>
        <v/>
      </c>
      <c r="F49" s="259">
        <f>IFERROR(VLOOKUP($B49, 'DAY 1 SCORES'!$B:$H, 7, FALSE), 0)</f>
        <v>120</v>
      </c>
      <c r="G49" s="259">
        <f>IFERROR(VLOOKUP($B49, 'DAY 2 SCORES'!$B:$H, 7, FALSE), 0)</f>
        <v>120</v>
      </c>
      <c r="H49" s="259">
        <f>IFERROR(VLOOKUP($B49, 'DAY 1 SCORES'!$B:$D, 3, FALSE), 0) + IFERROR(VLOOKUP($B49, 'DAY 2 SCORES'!$B:$D, 3, FALSE), 0)</f>
        <v>0</v>
      </c>
      <c r="I49" s="259">
        <f>IFERROR(VLOOKUP($B49, 'DAY 1 SCORES'!$B:$F, 5, FALSE), 0) + IFERROR(VLOOKUP($B49, 'DAY 2 SCORES'!$B:$F, 5, FALSE), 0)</f>
        <v>0</v>
      </c>
      <c r="J49" s="259">
        <f>MAX(IFERROR(VLOOKUP($B49, 'DAY 1 SCORES'!$B:$G, 6, FALSE), 0), IFERROR(VLOOKUP($B49, 'DAY 2 SCORES'!$B:$G, 6, FALSE), 0))</f>
        <v>0</v>
      </c>
      <c r="K49" s="259">
        <f>IFERROR(VLOOKUP($B49, 'DAY 1 SCORES'!$B:$E, 4, FALSE), 0) + IFERROR(VLOOKUP($B49, 'DAY 2 SCORES'!$B:$E, 4, FALSE), 0)</f>
        <v>0</v>
      </c>
      <c r="L49" s="259">
        <f>IF(B49="", 999, D49 - (H49/10000) - (I49/1000000) - (J49/100000000) - (K49/10000000000))</f>
        <v>999</v>
      </c>
    </row>
    <row r="50" spans="1:12" ht="15">
      <c r="A50" s="264" t="str">
        <f>IF(B50="", "", RANK(L50, $L$5:$L$124, 1))</f>
        <v/>
      </c>
      <c r="B50" s="266" t="str">
        <f>IF(REGISTRATION!$B28="", "", REGISTRATION!$B28)</f>
        <v/>
      </c>
      <c r="C50" s="268" t="str">
        <f>IF(B50="", "", REGISTRATION!$C28)</f>
        <v/>
      </c>
      <c r="D50" s="129">
        <f>F50 + G50</f>
        <v>240</v>
      </c>
      <c r="E50" s="267" t="str">
        <f>IF($B50="", "", H50 &amp; " / " &amp; I50 &amp; " / " &amp; J50 &amp; " / " &amp; K50)</f>
        <v/>
      </c>
      <c r="F50" s="259">
        <f>IFERROR(VLOOKUP($B50, 'DAY 1 SCORES'!$B:$H, 7, FALSE), 0)</f>
        <v>120</v>
      </c>
      <c r="G50" s="259">
        <f>IFERROR(VLOOKUP($B50, 'DAY 2 SCORES'!$B:$H, 7, FALSE), 0)</f>
        <v>120</v>
      </c>
      <c r="H50" s="259">
        <f>IFERROR(VLOOKUP($B50, 'DAY 1 SCORES'!$B:$D, 3, FALSE), 0) + IFERROR(VLOOKUP($B50, 'DAY 2 SCORES'!$B:$D, 3, FALSE), 0)</f>
        <v>0</v>
      </c>
      <c r="I50" s="259">
        <f>IFERROR(VLOOKUP($B50, 'DAY 1 SCORES'!$B:$F, 5, FALSE), 0) + IFERROR(VLOOKUP($B50, 'DAY 2 SCORES'!$B:$F, 5, FALSE), 0)</f>
        <v>0</v>
      </c>
      <c r="J50" s="259">
        <f>MAX(IFERROR(VLOOKUP($B50, 'DAY 1 SCORES'!$B:$G, 6, FALSE), 0), IFERROR(VLOOKUP($B50, 'DAY 2 SCORES'!$B:$G, 6, FALSE), 0))</f>
        <v>0</v>
      </c>
      <c r="K50" s="259">
        <f>IFERROR(VLOOKUP($B50, 'DAY 1 SCORES'!$B:$E, 4, FALSE), 0) + IFERROR(VLOOKUP($B50, 'DAY 2 SCORES'!$B:$E, 4, FALSE), 0)</f>
        <v>0</v>
      </c>
      <c r="L50" s="259">
        <f>IF(B50="", 999, D50 - (H50/10000) - (I50/1000000) - (J50/100000000) - (K50/10000000000))</f>
        <v>999</v>
      </c>
    </row>
    <row r="51" spans="1:12" ht="15">
      <c r="A51" s="264" t="str">
        <f>IF(B51="", "", RANK(L51, $L$5:$L$124, 1))</f>
        <v/>
      </c>
      <c r="B51" s="266" t="str">
        <f>IF(REGISTRATION!$B44="", "", REGISTRATION!$B44)</f>
        <v/>
      </c>
      <c r="C51" s="268" t="str">
        <f>IF(B51="", "", REGISTRATION!$C44)</f>
        <v/>
      </c>
      <c r="D51" s="129">
        <f>F51 + G51</f>
        <v>240</v>
      </c>
      <c r="E51" s="267" t="str">
        <f>IF($B51="", "", H51 &amp; " / " &amp; I51 &amp; " / " &amp; J51 &amp; " / " &amp; K51)</f>
        <v/>
      </c>
      <c r="F51" s="259">
        <f>IFERROR(VLOOKUP($B51, 'DAY 1 SCORES'!$B:$H, 7, FALSE), 0)</f>
        <v>120</v>
      </c>
      <c r="G51" s="259">
        <f>IFERROR(VLOOKUP($B51, 'DAY 2 SCORES'!$B:$H, 7, FALSE), 0)</f>
        <v>120</v>
      </c>
      <c r="H51" s="259">
        <f>IFERROR(VLOOKUP($B51, 'DAY 1 SCORES'!$B:$D, 3, FALSE), 0) + IFERROR(VLOOKUP($B51, 'DAY 2 SCORES'!$B:$D, 3, FALSE), 0)</f>
        <v>0</v>
      </c>
      <c r="I51" s="259">
        <f>IFERROR(VLOOKUP($B51, 'DAY 1 SCORES'!$B:$F, 5, FALSE), 0) + IFERROR(VLOOKUP($B51, 'DAY 2 SCORES'!$B:$F, 5, FALSE), 0)</f>
        <v>0</v>
      </c>
      <c r="J51" s="259">
        <f>MAX(IFERROR(VLOOKUP($B51, 'DAY 1 SCORES'!$B:$G, 6, FALSE), 0), IFERROR(VLOOKUP($B51, 'DAY 2 SCORES'!$B:$G, 6, FALSE), 0))</f>
        <v>0</v>
      </c>
      <c r="K51" s="259">
        <f>IFERROR(VLOOKUP($B51, 'DAY 1 SCORES'!$B:$E, 4, FALSE), 0) + IFERROR(VLOOKUP($B51, 'DAY 2 SCORES'!$B:$E, 4, FALSE), 0)</f>
        <v>0</v>
      </c>
      <c r="L51" s="259">
        <f>IF(B51="", 999, D51 - (H51/10000) - (I51/1000000) - (J51/100000000) - (K51/10000000000))</f>
        <v>999</v>
      </c>
    </row>
    <row r="52" spans="1:12" ht="15">
      <c r="A52" s="264" t="str">
        <f>IF(B52="", "", RANK(L52, $L$5:$L$124, 1))</f>
        <v/>
      </c>
      <c r="B52" s="266" t="str">
        <f>IF(REGISTRATION!$B43="", "", REGISTRATION!$B43)</f>
        <v/>
      </c>
      <c r="C52" s="268" t="str">
        <f>IF(B52="", "", REGISTRATION!$C43)</f>
        <v/>
      </c>
      <c r="D52" s="129">
        <f>F52 + G52</f>
        <v>240</v>
      </c>
      <c r="E52" s="267" t="str">
        <f>IF($B52="", "", H52 &amp; " / " &amp; I52 &amp; " / " &amp; J52 &amp; " / " &amp; K52)</f>
        <v/>
      </c>
      <c r="F52" s="259">
        <f>IFERROR(VLOOKUP($B52, 'DAY 1 SCORES'!$B:$H, 7, FALSE), 0)</f>
        <v>120</v>
      </c>
      <c r="G52" s="259">
        <f>IFERROR(VLOOKUP($B52, 'DAY 2 SCORES'!$B:$H, 7, FALSE), 0)</f>
        <v>120</v>
      </c>
      <c r="H52" s="259">
        <f>IFERROR(VLOOKUP($B52, 'DAY 1 SCORES'!$B:$D, 3, FALSE), 0) + IFERROR(VLOOKUP($B52, 'DAY 2 SCORES'!$B:$D, 3, FALSE), 0)</f>
        <v>0</v>
      </c>
      <c r="I52" s="259">
        <f>IFERROR(VLOOKUP($B52, 'DAY 1 SCORES'!$B:$F, 5, FALSE), 0) + IFERROR(VLOOKUP($B52, 'DAY 2 SCORES'!$B:$F, 5, FALSE), 0)</f>
        <v>0</v>
      </c>
      <c r="J52" s="259">
        <f>MAX(IFERROR(VLOOKUP($B52, 'DAY 1 SCORES'!$B:$G, 6, FALSE), 0), IFERROR(VLOOKUP($B52, 'DAY 2 SCORES'!$B:$G, 6, FALSE), 0))</f>
        <v>0</v>
      </c>
      <c r="K52" s="259">
        <f>IFERROR(VLOOKUP($B52, 'DAY 1 SCORES'!$B:$E, 4, FALSE), 0) + IFERROR(VLOOKUP($B52, 'DAY 2 SCORES'!$B:$E, 4, FALSE), 0)</f>
        <v>0</v>
      </c>
      <c r="L52" s="259">
        <f>IF(B52="", 999, D52 - (H52/10000) - (I52/1000000) - (J52/100000000) - (K52/10000000000))</f>
        <v>999</v>
      </c>
    </row>
    <row r="53" spans="1:12" ht="15">
      <c r="A53" s="264" t="str">
        <f>IF(B53="", "", RANK(L53, $L$5:$L$124, 1))</f>
        <v/>
      </c>
      <c r="B53" s="266" t="str">
        <f>IF(REGISTRATION!$B41="", "", REGISTRATION!$B41)</f>
        <v/>
      </c>
      <c r="C53" s="268" t="str">
        <f>IF(B53="", "", REGISTRATION!$C41)</f>
        <v/>
      </c>
      <c r="D53" s="129">
        <f>F53 + G53</f>
        <v>240</v>
      </c>
      <c r="E53" s="267" t="str">
        <f>IF($B53="", "", H53 &amp; " / " &amp; I53 &amp; " / " &amp; J53 &amp; " / " &amp; K53)</f>
        <v/>
      </c>
      <c r="F53" s="259">
        <f>IFERROR(VLOOKUP($B53, 'DAY 1 SCORES'!$B:$H, 7, FALSE), 0)</f>
        <v>120</v>
      </c>
      <c r="G53" s="259">
        <f>IFERROR(VLOOKUP($B53, 'DAY 2 SCORES'!$B:$H, 7, FALSE), 0)</f>
        <v>120</v>
      </c>
      <c r="H53" s="259">
        <f>IFERROR(VLOOKUP($B53, 'DAY 1 SCORES'!$B:$D, 3, FALSE), 0) + IFERROR(VLOOKUP($B53, 'DAY 2 SCORES'!$B:$D, 3, FALSE), 0)</f>
        <v>0</v>
      </c>
      <c r="I53" s="259">
        <f>IFERROR(VLOOKUP($B53, 'DAY 1 SCORES'!$B:$F, 5, FALSE), 0) + IFERROR(VLOOKUP($B53, 'DAY 2 SCORES'!$B:$F, 5, FALSE), 0)</f>
        <v>0</v>
      </c>
      <c r="J53" s="259">
        <f>MAX(IFERROR(VLOOKUP($B53, 'DAY 1 SCORES'!$B:$G, 6, FALSE), 0), IFERROR(VLOOKUP($B53, 'DAY 2 SCORES'!$B:$G, 6, FALSE), 0))</f>
        <v>0</v>
      </c>
      <c r="K53" s="259">
        <f>IFERROR(VLOOKUP($B53, 'DAY 1 SCORES'!$B:$E, 4, FALSE), 0) + IFERROR(VLOOKUP($B53, 'DAY 2 SCORES'!$B:$E, 4, FALSE), 0)</f>
        <v>0</v>
      </c>
      <c r="L53" s="259">
        <f>IF(B53="", 999, D53 - (H53/10000) - (I53/1000000) - (J53/100000000) - (K53/10000000000))</f>
        <v>999</v>
      </c>
    </row>
    <row r="54" spans="1:12" ht="15">
      <c r="A54" s="264" t="str">
        <f>IF(B54="", "", RANK(L54, $L$5:$L$124, 1))</f>
        <v/>
      </c>
      <c r="B54" s="266" t="str">
        <f>IF(REGISTRATION!$B57="", "", REGISTRATION!$B57)</f>
        <v/>
      </c>
      <c r="C54" s="268" t="str">
        <f>IF(B54="", "", REGISTRATION!$C57)</f>
        <v/>
      </c>
      <c r="D54" s="129">
        <f>F54 + G54</f>
        <v>240</v>
      </c>
      <c r="E54" s="267" t="str">
        <f>IF($B54="", "", H54 &amp; " / " &amp; I54 &amp; " / " &amp; J54 &amp; " / " &amp; K54)</f>
        <v/>
      </c>
      <c r="F54" s="259">
        <f>IFERROR(VLOOKUP($B54, 'DAY 1 SCORES'!$B:$H, 7, FALSE), 0)</f>
        <v>120</v>
      </c>
      <c r="G54" s="259">
        <f>IFERROR(VLOOKUP($B54, 'DAY 2 SCORES'!$B:$H, 7, FALSE), 0)</f>
        <v>120</v>
      </c>
      <c r="H54" s="259">
        <f>IFERROR(VLOOKUP($B54, 'DAY 1 SCORES'!$B:$D, 3, FALSE), 0) + IFERROR(VLOOKUP($B54, 'DAY 2 SCORES'!$B:$D, 3, FALSE), 0)</f>
        <v>0</v>
      </c>
      <c r="I54" s="259">
        <f>IFERROR(VLOOKUP($B54, 'DAY 1 SCORES'!$B:$F, 5, FALSE), 0) + IFERROR(VLOOKUP($B54, 'DAY 2 SCORES'!$B:$F, 5, FALSE), 0)</f>
        <v>0</v>
      </c>
      <c r="J54" s="259">
        <f>MAX(IFERROR(VLOOKUP($B54, 'DAY 1 SCORES'!$B:$G, 6, FALSE), 0), IFERROR(VLOOKUP($B54, 'DAY 2 SCORES'!$B:$G, 6, FALSE), 0))</f>
        <v>0</v>
      </c>
      <c r="K54" s="259">
        <f>IFERROR(VLOOKUP($B54, 'DAY 1 SCORES'!$B:$E, 4, FALSE), 0) + IFERROR(VLOOKUP($B54, 'DAY 2 SCORES'!$B:$E, 4, FALSE), 0)</f>
        <v>0</v>
      </c>
      <c r="L54" s="259">
        <f>IF(B54="", 999, D54 - (H54/10000) - (I54/1000000) - (J54/100000000) - (K54/10000000000))</f>
        <v>999</v>
      </c>
    </row>
    <row r="55" spans="1:12" ht="15">
      <c r="A55" s="264" t="str">
        <f>IF(B55="", "", RANK(L55, $L$5:$L$124, 1))</f>
        <v/>
      </c>
      <c r="B55" s="266" t="str">
        <f>IF(REGISTRATION!$B55="", "", REGISTRATION!$B55)</f>
        <v/>
      </c>
      <c r="C55" s="268" t="str">
        <f>IF(B55="", "", REGISTRATION!$C55)</f>
        <v/>
      </c>
      <c r="D55" s="129">
        <f>F55 + G55</f>
        <v>240</v>
      </c>
      <c r="E55" s="267" t="str">
        <f>IF($B55="", "", H55 &amp; " / " &amp; I55 &amp; " / " &amp; J55 &amp; " / " &amp; K55)</f>
        <v/>
      </c>
      <c r="F55" s="259">
        <f>IFERROR(VLOOKUP($B55, 'DAY 1 SCORES'!$B:$H, 7, FALSE), 0)</f>
        <v>120</v>
      </c>
      <c r="G55" s="259">
        <f>IFERROR(VLOOKUP($B55, 'DAY 2 SCORES'!$B:$H, 7, FALSE), 0)</f>
        <v>120</v>
      </c>
      <c r="H55" s="259">
        <f>IFERROR(VLOOKUP($B55, 'DAY 1 SCORES'!$B:$D, 3, FALSE), 0) + IFERROR(VLOOKUP($B55, 'DAY 2 SCORES'!$B:$D, 3, FALSE), 0)</f>
        <v>0</v>
      </c>
      <c r="I55" s="259">
        <f>IFERROR(VLOOKUP($B55, 'DAY 1 SCORES'!$B:$F, 5, FALSE), 0) + IFERROR(VLOOKUP($B55, 'DAY 2 SCORES'!$B:$F, 5, FALSE), 0)</f>
        <v>0</v>
      </c>
      <c r="J55" s="259">
        <f>MAX(IFERROR(VLOOKUP($B55, 'DAY 1 SCORES'!$B:$G, 6, FALSE), 0), IFERROR(VLOOKUP($B55, 'DAY 2 SCORES'!$B:$G, 6, FALSE), 0))</f>
        <v>0</v>
      </c>
      <c r="K55" s="259">
        <f>IFERROR(VLOOKUP($B55, 'DAY 1 SCORES'!$B:$E, 4, FALSE), 0) + IFERROR(VLOOKUP($B55, 'DAY 2 SCORES'!$B:$E, 4, FALSE), 0)</f>
        <v>0</v>
      </c>
      <c r="L55" s="259">
        <f>IF(B55="", 999, D55 - (H55/10000) - (I55/1000000) - (J55/100000000) - (K55/10000000000))</f>
        <v>999</v>
      </c>
    </row>
    <row r="56" spans="1:12" ht="15">
      <c r="A56" s="264" t="str">
        <f>IF(B56="", "", RANK(L56, $L$5:$L$124, 1))</f>
        <v/>
      </c>
      <c r="B56" s="266" t="str">
        <f>IF(REGISTRATION!$B12="", "", REGISTRATION!$B12)</f>
        <v/>
      </c>
      <c r="C56" s="268" t="str">
        <f>IF(B56="", "", REGISTRATION!$C12)</f>
        <v/>
      </c>
      <c r="D56" s="129">
        <f>F56 + G56</f>
        <v>240</v>
      </c>
      <c r="E56" s="267" t="str">
        <f>IF($B56="", "", H56 &amp; " / " &amp; I56 &amp; " / " &amp; J56 &amp; " / " &amp; K56)</f>
        <v/>
      </c>
      <c r="F56" s="259">
        <f>IFERROR(VLOOKUP($B56, 'DAY 1 SCORES'!$B:$H, 7, FALSE), 0)</f>
        <v>120</v>
      </c>
      <c r="G56" s="259">
        <f>IFERROR(VLOOKUP($B56, 'DAY 2 SCORES'!$B:$H, 7, FALSE), 0)</f>
        <v>120</v>
      </c>
      <c r="H56" s="259">
        <f>IFERROR(VLOOKUP($B56, 'DAY 1 SCORES'!$B:$D, 3, FALSE), 0) + IFERROR(VLOOKUP($B56, 'DAY 2 SCORES'!$B:$D, 3, FALSE), 0)</f>
        <v>0</v>
      </c>
      <c r="I56" s="259">
        <f>IFERROR(VLOOKUP($B56, 'DAY 1 SCORES'!$B:$F, 5, FALSE), 0) + IFERROR(VLOOKUP($B56, 'DAY 2 SCORES'!$B:$F, 5, FALSE), 0)</f>
        <v>0</v>
      </c>
      <c r="J56" s="259">
        <f>MAX(IFERROR(VLOOKUP($B56, 'DAY 1 SCORES'!$B:$G, 6, FALSE), 0), IFERROR(VLOOKUP($B56, 'DAY 2 SCORES'!$B:$G, 6, FALSE), 0))</f>
        <v>0</v>
      </c>
      <c r="K56" s="259">
        <f>IFERROR(VLOOKUP($B56, 'DAY 1 SCORES'!$B:$E, 4, FALSE), 0) + IFERROR(VLOOKUP($B56, 'DAY 2 SCORES'!$B:$E, 4, FALSE), 0)</f>
        <v>0</v>
      </c>
      <c r="L56" s="259">
        <f>IF(B56="", 999, D56 - (H56/10000) - (I56/1000000) - (J56/100000000) - (K56/10000000000))</f>
        <v>999</v>
      </c>
    </row>
    <row r="57" spans="1:12" ht="15">
      <c r="A57" s="264" t="str">
        <f>IF(B57="", "", RANK(L57, $L$5:$L$124, 1))</f>
        <v/>
      </c>
      <c r="B57" s="266" t="str">
        <f>IF(REGISTRATION!$B26="", "", REGISTRATION!$B26)</f>
        <v/>
      </c>
      <c r="C57" s="268" t="str">
        <f>IF(B57="", "", REGISTRATION!$C26)</f>
        <v/>
      </c>
      <c r="D57" s="129">
        <f>F57 + G57</f>
        <v>240</v>
      </c>
      <c r="E57" s="267" t="str">
        <f>IF($B57="", "", H57 &amp; " / " &amp; I57 &amp; " / " &amp; J57 &amp; " / " &amp; K57)</f>
        <v/>
      </c>
      <c r="F57" s="259">
        <f>IFERROR(VLOOKUP($B57, 'DAY 1 SCORES'!$B:$H, 7, FALSE), 0)</f>
        <v>120</v>
      </c>
      <c r="G57" s="259">
        <f>IFERROR(VLOOKUP($B57, 'DAY 2 SCORES'!$B:$H, 7, FALSE), 0)</f>
        <v>120</v>
      </c>
      <c r="H57" s="259">
        <f>IFERROR(VLOOKUP($B57, 'DAY 1 SCORES'!$B:$D, 3, FALSE), 0) + IFERROR(VLOOKUP($B57, 'DAY 2 SCORES'!$B:$D, 3, FALSE), 0)</f>
        <v>0</v>
      </c>
      <c r="I57" s="259">
        <f>IFERROR(VLOOKUP($B57, 'DAY 1 SCORES'!$B:$F, 5, FALSE), 0) + IFERROR(VLOOKUP($B57, 'DAY 2 SCORES'!$B:$F, 5, FALSE), 0)</f>
        <v>0</v>
      </c>
      <c r="J57" s="259">
        <f>MAX(IFERROR(VLOOKUP($B57, 'DAY 1 SCORES'!$B:$G, 6, FALSE), 0), IFERROR(VLOOKUP($B57, 'DAY 2 SCORES'!$B:$G, 6, FALSE), 0))</f>
        <v>0</v>
      </c>
      <c r="K57" s="259">
        <f>IFERROR(VLOOKUP($B57, 'DAY 1 SCORES'!$B:$E, 4, FALSE), 0) + IFERROR(VLOOKUP($B57, 'DAY 2 SCORES'!$B:$E, 4, FALSE), 0)</f>
        <v>0</v>
      </c>
      <c r="L57" s="259">
        <f>IF(B57="", 999, D57 - (H57/10000) - (I57/1000000) - (J57/100000000) - (K57/10000000000))</f>
        <v>999</v>
      </c>
    </row>
    <row r="58" spans="1:12" ht="15">
      <c r="A58" s="264" t="str">
        <f>IF(B58="", "", RANK(L58, $L$5:$L$124, 1))</f>
        <v/>
      </c>
      <c r="B58" s="266" t="str">
        <f>IF(REGISTRATION!$B31="", "", REGISTRATION!$B31)</f>
        <v/>
      </c>
      <c r="C58" s="268" t="str">
        <f>IF(B58="", "", REGISTRATION!$C31)</f>
        <v/>
      </c>
      <c r="D58" s="129">
        <f>F58 + G58</f>
        <v>240</v>
      </c>
      <c r="E58" s="267" t="str">
        <f>IF($B58="", "", H58 &amp; " / " &amp; I58 &amp; " / " &amp; J58 &amp; " / " &amp; K58)</f>
        <v/>
      </c>
      <c r="F58" s="259">
        <f>IFERROR(VLOOKUP($B58, 'DAY 1 SCORES'!$B:$H, 7, FALSE), 0)</f>
        <v>120</v>
      </c>
      <c r="G58" s="259">
        <f>IFERROR(VLOOKUP($B58, 'DAY 2 SCORES'!$B:$H, 7, FALSE), 0)</f>
        <v>120</v>
      </c>
      <c r="H58" s="259">
        <f>IFERROR(VLOOKUP($B58, 'DAY 1 SCORES'!$B:$D, 3, FALSE), 0) + IFERROR(VLOOKUP($B58, 'DAY 2 SCORES'!$B:$D, 3, FALSE), 0)</f>
        <v>0</v>
      </c>
      <c r="I58" s="259">
        <f>IFERROR(VLOOKUP($B58, 'DAY 1 SCORES'!$B:$F, 5, FALSE), 0) + IFERROR(VLOOKUP($B58, 'DAY 2 SCORES'!$B:$F, 5, FALSE), 0)</f>
        <v>0</v>
      </c>
      <c r="J58" s="259">
        <f>MAX(IFERROR(VLOOKUP($B58, 'DAY 1 SCORES'!$B:$G, 6, FALSE), 0), IFERROR(VLOOKUP($B58, 'DAY 2 SCORES'!$B:$G, 6, FALSE), 0))</f>
        <v>0</v>
      </c>
      <c r="K58" s="259">
        <f>IFERROR(VLOOKUP($B58, 'DAY 1 SCORES'!$B:$E, 4, FALSE), 0) + IFERROR(VLOOKUP($B58, 'DAY 2 SCORES'!$B:$E, 4, FALSE), 0)</f>
        <v>0</v>
      </c>
      <c r="L58" s="259">
        <f>IF(B58="", 999, D58 - (H58/10000) - (I58/1000000) - (J58/100000000) - (K58/10000000000))</f>
        <v>999</v>
      </c>
    </row>
    <row r="59" spans="1:12" ht="15">
      <c r="A59" s="264" t="str">
        <f>IF(B59="", "", RANK(L59, $L$5:$L$124, 1))</f>
        <v/>
      </c>
      <c r="B59" s="266" t="str">
        <f>IF(REGISTRATION!$B54="", "", REGISTRATION!$B54)</f>
        <v/>
      </c>
      <c r="C59" s="268" t="str">
        <f>IF(B59="", "", REGISTRATION!$C54)</f>
        <v/>
      </c>
      <c r="D59" s="129">
        <f>F59 + G59</f>
        <v>240</v>
      </c>
      <c r="E59" s="267" t="str">
        <f>IF($B59="", "", H59 &amp; " / " &amp; I59 &amp; " / " &amp; J59 &amp; " / " &amp; K59)</f>
        <v/>
      </c>
      <c r="F59" s="259">
        <f>IFERROR(VLOOKUP($B59, 'DAY 1 SCORES'!$B:$H, 7, FALSE), 0)</f>
        <v>120</v>
      </c>
      <c r="G59" s="259">
        <f>IFERROR(VLOOKUP($B59, 'DAY 2 SCORES'!$B:$H, 7, FALSE), 0)</f>
        <v>120</v>
      </c>
      <c r="H59" s="259">
        <f>IFERROR(VLOOKUP($B59, 'DAY 1 SCORES'!$B:$D, 3, FALSE), 0) + IFERROR(VLOOKUP($B59, 'DAY 2 SCORES'!$B:$D, 3, FALSE), 0)</f>
        <v>0</v>
      </c>
      <c r="I59" s="259">
        <f>IFERROR(VLOOKUP($B59, 'DAY 1 SCORES'!$B:$F, 5, FALSE), 0) + IFERROR(VLOOKUP($B59, 'DAY 2 SCORES'!$B:$F, 5, FALSE), 0)</f>
        <v>0</v>
      </c>
      <c r="J59" s="259">
        <f>MAX(IFERROR(VLOOKUP($B59, 'DAY 1 SCORES'!$B:$G, 6, FALSE), 0), IFERROR(VLOOKUP($B59, 'DAY 2 SCORES'!$B:$G, 6, FALSE), 0))</f>
        <v>0</v>
      </c>
      <c r="K59" s="259">
        <f>IFERROR(VLOOKUP($B59, 'DAY 1 SCORES'!$B:$E, 4, FALSE), 0) + IFERROR(VLOOKUP($B59, 'DAY 2 SCORES'!$B:$E, 4, FALSE), 0)</f>
        <v>0</v>
      </c>
      <c r="L59" s="259">
        <f>IF(B59="", 999, D59 - (H59/10000) - (I59/1000000) - (J59/100000000) - (K59/10000000000))</f>
        <v>999</v>
      </c>
    </row>
    <row r="60" spans="1:12" ht="15">
      <c r="A60" s="264" t="str">
        <f>IF(B60="", "", RANK(L60, $L$5:$L$124, 1))</f>
        <v/>
      </c>
      <c r="B60" s="266" t="str">
        <f>IF(REGISTRATION!$B45="", "", REGISTRATION!$B45)</f>
        <v/>
      </c>
      <c r="C60" s="268" t="str">
        <f>IF(B60="", "", REGISTRATION!$C45)</f>
        <v/>
      </c>
      <c r="D60" s="129">
        <f>F60 + G60</f>
        <v>240</v>
      </c>
      <c r="E60" s="267" t="str">
        <f>IF($B60="", "", H60 &amp; " / " &amp; I60 &amp; " / " &amp; J60 &amp; " / " &amp; K60)</f>
        <v/>
      </c>
      <c r="F60" s="259">
        <f>IFERROR(VLOOKUP($B60, 'DAY 1 SCORES'!$B:$H, 7, FALSE), 0)</f>
        <v>120</v>
      </c>
      <c r="G60" s="259">
        <f>IFERROR(VLOOKUP($B60, 'DAY 2 SCORES'!$B:$H, 7, FALSE), 0)</f>
        <v>120</v>
      </c>
      <c r="H60" s="259">
        <f>IFERROR(VLOOKUP($B60, 'DAY 1 SCORES'!$B:$D, 3, FALSE), 0) + IFERROR(VLOOKUP($B60, 'DAY 2 SCORES'!$B:$D, 3, FALSE), 0)</f>
        <v>0</v>
      </c>
      <c r="I60" s="259">
        <f>IFERROR(VLOOKUP($B60, 'DAY 1 SCORES'!$B:$F, 5, FALSE), 0) + IFERROR(VLOOKUP($B60, 'DAY 2 SCORES'!$B:$F, 5, FALSE), 0)</f>
        <v>0</v>
      </c>
      <c r="J60" s="259">
        <f>MAX(IFERROR(VLOOKUP($B60, 'DAY 1 SCORES'!$B:$G, 6, FALSE), 0), IFERROR(VLOOKUP($B60, 'DAY 2 SCORES'!$B:$G, 6, FALSE), 0))</f>
        <v>0</v>
      </c>
      <c r="K60" s="259">
        <f>IFERROR(VLOOKUP($B60, 'DAY 1 SCORES'!$B:$E, 4, FALSE), 0) + IFERROR(VLOOKUP($B60, 'DAY 2 SCORES'!$B:$E, 4, FALSE), 0)</f>
        <v>0</v>
      </c>
      <c r="L60" s="259">
        <f>IF(B60="", 999, D60 - (H60/10000) - (I60/1000000) - (J60/100000000) - (K60/10000000000))</f>
        <v>999</v>
      </c>
    </row>
    <row r="61" spans="1:12" ht="15">
      <c r="A61" s="264" t="str">
        <f>IF(B61="", "", RANK(L61, $L$5:$L$124, 1))</f>
        <v/>
      </c>
      <c r="B61" s="266" t="str">
        <f>IF(REGISTRATION!$B11="", "", REGISTRATION!$B11)</f>
        <v/>
      </c>
      <c r="C61" s="268" t="str">
        <f>IF(B61="", "", REGISTRATION!$C11)</f>
        <v/>
      </c>
      <c r="D61" s="129">
        <f>F61 + G61</f>
        <v>240</v>
      </c>
      <c r="E61" s="267" t="str">
        <f>IF($B61="", "", H61 &amp; " / " &amp; I61 &amp; " / " &amp; J61 &amp; " / " &amp; K61)</f>
        <v/>
      </c>
      <c r="F61" s="259">
        <f>IFERROR(VLOOKUP($B61, 'DAY 1 SCORES'!$B:$H, 7, FALSE), 0)</f>
        <v>120</v>
      </c>
      <c r="G61" s="259">
        <f>IFERROR(VLOOKUP($B61, 'DAY 2 SCORES'!$B:$H, 7, FALSE), 0)</f>
        <v>120</v>
      </c>
      <c r="H61" s="259">
        <f>IFERROR(VLOOKUP($B61, 'DAY 1 SCORES'!$B:$D, 3, FALSE), 0) + IFERROR(VLOOKUP($B61, 'DAY 2 SCORES'!$B:$D, 3, FALSE), 0)</f>
        <v>0</v>
      </c>
      <c r="I61" s="259">
        <f>IFERROR(VLOOKUP($B61, 'DAY 1 SCORES'!$B:$F, 5, FALSE), 0) + IFERROR(VLOOKUP($B61, 'DAY 2 SCORES'!$B:$F, 5, FALSE), 0)</f>
        <v>0</v>
      </c>
      <c r="J61" s="259">
        <f>MAX(IFERROR(VLOOKUP($B61, 'DAY 1 SCORES'!$B:$G, 6, FALSE), 0), IFERROR(VLOOKUP($B61, 'DAY 2 SCORES'!$B:$G, 6, FALSE), 0))</f>
        <v>0</v>
      </c>
      <c r="K61" s="259">
        <f>IFERROR(VLOOKUP($B61, 'DAY 1 SCORES'!$B:$E, 4, FALSE), 0) + IFERROR(VLOOKUP($B61, 'DAY 2 SCORES'!$B:$E, 4, FALSE), 0)</f>
        <v>0</v>
      </c>
      <c r="L61" s="259">
        <f>IF(B61="", 999, D61 - (H61/10000) - (I61/1000000) - (J61/100000000) - (K61/10000000000))</f>
        <v>999</v>
      </c>
    </row>
    <row r="62" spans="1:12" ht="15">
      <c r="A62" s="264" t="str">
        <f>IF(B62="", "", RANK(L62, $L$5:$L$124, 1))</f>
        <v/>
      </c>
      <c r="B62" s="266" t="str">
        <f>IF(REGISTRATION!$B20="", "", REGISTRATION!$B20)</f>
        <v/>
      </c>
      <c r="C62" s="268" t="str">
        <f>IF(B62="", "", REGISTRATION!$C20)</f>
        <v/>
      </c>
      <c r="D62" s="129">
        <f>F62 + G62</f>
        <v>240</v>
      </c>
      <c r="E62" s="267" t="str">
        <f>IF($B62="", "", H62 &amp; " / " &amp; I62 &amp; " / " &amp; J62 &amp; " / " &amp; K62)</f>
        <v/>
      </c>
      <c r="F62" s="259">
        <f>IFERROR(VLOOKUP($B62, 'DAY 1 SCORES'!$B:$H, 7, FALSE), 0)</f>
        <v>120</v>
      </c>
      <c r="G62" s="259">
        <f>IFERROR(VLOOKUP($B62, 'DAY 2 SCORES'!$B:$H, 7, FALSE), 0)</f>
        <v>120</v>
      </c>
      <c r="H62" s="259">
        <f>IFERROR(VLOOKUP($B62, 'DAY 1 SCORES'!$B:$D, 3, FALSE), 0) + IFERROR(VLOOKUP($B62, 'DAY 2 SCORES'!$B:$D, 3, FALSE), 0)</f>
        <v>0</v>
      </c>
      <c r="I62" s="259">
        <f>IFERROR(VLOOKUP($B62, 'DAY 1 SCORES'!$B:$F, 5, FALSE), 0) + IFERROR(VLOOKUP($B62, 'DAY 2 SCORES'!$B:$F, 5, FALSE), 0)</f>
        <v>0</v>
      </c>
      <c r="J62" s="259">
        <f>MAX(IFERROR(VLOOKUP($B62, 'DAY 1 SCORES'!$B:$G, 6, FALSE), 0), IFERROR(VLOOKUP($B62, 'DAY 2 SCORES'!$B:$G, 6, FALSE), 0))</f>
        <v>0</v>
      </c>
      <c r="K62" s="259">
        <f>IFERROR(VLOOKUP($B62, 'DAY 1 SCORES'!$B:$E, 4, FALSE), 0) + IFERROR(VLOOKUP($B62, 'DAY 2 SCORES'!$B:$E, 4, FALSE), 0)</f>
        <v>0</v>
      </c>
      <c r="L62" s="259">
        <f>IF(B62="", 999, D62 - (H62/10000) - (I62/1000000) - (J62/100000000) - (K62/10000000000))</f>
        <v>999</v>
      </c>
    </row>
    <row r="63" spans="1:12" ht="15">
      <c r="A63" s="264" t="str">
        <f>IF(B63="", "", RANK(L63, $L$5:$L$124, 1))</f>
        <v/>
      </c>
      <c r="B63" s="266" t="str">
        <f>IF(REGISTRATION!$B42="", "", REGISTRATION!$B42)</f>
        <v/>
      </c>
      <c r="C63" s="268" t="str">
        <f>IF(B63="", "", REGISTRATION!$C42)</f>
        <v/>
      </c>
      <c r="D63" s="129">
        <f>F63 + G63</f>
        <v>240</v>
      </c>
      <c r="E63" s="267" t="str">
        <f>IF($B63="", "", H63 &amp; " / " &amp; I63 &amp; " / " &amp; J63 &amp; " / " &amp; K63)</f>
        <v/>
      </c>
      <c r="F63" s="259">
        <f>IFERROR(VLOOKUP($B63, 'DAY 1 SCORES'!$B:$H, 7, FALSE), 0)</f>
        <v>120</v>
      </c>
      <c r="G63" s="259">
        <f>IFERROR(VLOOKUP($B63, 'DAY 2 SCORES'!$B:$H, 7, FALSE), 0)</f>
        <v>120</v>
      </c>
      <c r="H63" s="259">
        <f>IFERROR(VLOOKUP($B63, 'DAY 1 SCORES'!$B:$D, 3, FALSE), 0) + IFERROR(VLOOKUP($B63, 'DAY 2 SCORES'!$B:$D, 3, FALSE), 0)</f>
        <v>0</v>
      </c>
      <c r="I63" s="259">
        <f>IFERROR(VLOOKUP($B63, 'DAY 1 SCORES'!$B:$F, 5, FALSE), 0) + IFERROR(VLOOKUP($B63, 'DAY 2 SCORES'!$B:$F, 5, FALSE), 0)</f>
        <v>0</v>
      </c>
      <c r="J63" s="259">
        <f>MAX(IFERROR(VLOOKUP($B63, 'DAY 1 SCORES'!$B:$G, 6, FALSE), 0), IFERROR(VLOOKUP($B63, 'DAY 2 SCORES'!$B:$G, 6, FALSE), 0))</f>
        <v>0</v>
      </c>
      <c r="K63" s="259">
        <f>IFERROR(VLOOKUP($B63, 'DAY 1 SCORES'!$B:$E, 4, FALSE), 0) + IFERROR(VLOOKUP($B63, 'DAY 2 SCORES'!$B:$E, 4, FALSE), 0)</f>
        <v>0</v>
      </c>
      <c r="L63" s="259">
        <f>IF(B63="", 999, D63 - (H63/10000) - (I63/1000000) - (J63/100000000) - (K63/10000000000))</f>
        <v>999</v>
      </c>
    </row>
    <row r="64" spans="1:12" ht="15">
      <c r="A64" s="264" t="str">
        <f>IF(B64="", "", RANK(L64, $L$5:$L$124, 1))</f>
        <v/>
      </c>
      <c r="B64" s="266" t="str">
        <f>IF(REGISTRATION!$B53="", "", REGISTRATION!$B53)</f>
        <v/>
      </c>
      <c r="C64" s="268" t="str">
        <f>IF(B64="", "", REGISTRATION!$C53)</f>
        <v/>
      </c>
      <c r="D64" s="129">
        <f>F64 + G64</f>
        <v>240</v>
      </c>
      <c r="E64" s="267" t="str">
        <f>IF($B64="", "", H64 &amp; " / " &amp; I64 &amp; " / " &amp; J64 &amp; " / " &amp; K64)</f>
        <v/>
      </c>
      <c r="F64" s="259">
        <f>IFERROR(VLOOKUP($B64, 'DAY 1 SCORES'!$B:$H, 7, FALSE), 0)</f>
        <v>120</v>
      </c>
      <c r="G64" s="259">
        <f>IFERROR(VLOOKUP($B64, 'DAY 2 SCORES'!$B:$H, 7, FALSE), 0)</f>
        <v>120</v>
      </c>
      <c r="H64" s="259">
        <f>IFERROR(VLOOKUP($B64, 'DAY 1 SCORES'!$B:$D, 3, FALSE), 0) + IFERROR(VLOOKUP($B64, 'DAY 2 SCORES'!$B:$D, 3, FALSE), 0)</f>
        <v>0</v>
      </c>
      <c r="I64" s="259">
        <f>IFERROR(VLOOKUP($B64, 'DAY 1 SCORES'!$B:$F, 5, FALSE), 0) + IFERROR(VLOOKUP($B64, 'DAY 2 SCORES'!$B:$F, 5, FALSE), 0)</f>
        <v>0</v>
      </c>
      <c r="J64" s="259">
        <f>MAX(IFERROR(VLOOKUP($B64, 'DAY 1 SCORES'!$B:$G, 6, FALSE), 0), IFERROR(VLOOKUP($B64, 'DAY 2 SCORES'!$B:$G, 6, FALSE), 0))</f>
        <v>0</v>
      </c>
      <c r="K64" s="259">
        <f>IFERROR(VLOOKUP($B64, 'DAY 1 SCORES'!$B:$E, 4, FALSE), 0) + IFERROR(VLOOKUP($B64, 'DAY 2 SCORES'!$B:$E, 4, FALSE), 0)</f>
        <v>0</v>
      </c>
      <c r="L64" s="259">
        <f>IF(B64="", 999, D64 - (H64/10000) - (I64/1000000) - (J64/100000000) - (K64/10000000000))</f>
        <v>999</v>
      </c>
    </row>
    <row r="65" spans="1:12" ht="15">
      <c r="A65" s="264" t="str">
        <f>IF(B65="", "", RANK(L65, $L$5:$L$124, 1))</f>
        <v/>
      </c>
      <c r="B65" s="266" t="str">
        <f>IF(REGISTRATION!$B62="", "", REGISTRATION!$B62)</f>
        <v/>
      </c>
      <c r="C65" s="268" t="str">
        <f>IF(B65="", "", REGISTRATION!$C62)</f>
        <v/>
      </c>
      <c r="D65" s="129">
        <f>F65 + G65</f>
        <v>240</v>
      </c>
      <c r="E65" s="267" t="str">
        <f>IF($B65="", "", H65 &amp; " / " &amp; I65 &amp; " / " &amp; J65 &amp; " / " &amp; K65)</f>
        <v/>
      </c>
      <c r="F65" s="259">
        <f>IFERROR(VLOOKUP($B65, 'DAY 1 SCORES'!$B:$H, 7, FALSE), 0)</f>
        <v>120</v>
      </c>
      <c r="G65" s="259">
        <f>IFERROR(VLOOKUP($B65, 'DAY 2 SCORES'!$B:$H, 7, FALSE), 0)</f>
        <v>120</v>
      </c>
      <c r="H65" s="259">
        <f>IFERROR(VLOOKUP($B65, 'DAY 1 SCORES'!$B:$D, 3, FALSE), 0) + IFERROR(VLOOKUP($B65, 'DAY 2 SCORES'!$B:$D, 3, FALSE), 0)</f>
        <v>0</v>
      </c>
      <c r="I65" s="259">
        <f>IFERROR(VLOOKUP($B65, 'DAY 1 SCORES'!$B:$F, 5, FALSE), 0) + IFERROR(VLOOKUP($B65, 'DAY 2 SCORES'!$B:$F, 5, FALSE), 0)</f>
        <v>0</v>
      </c>
      <c r="J65" s="259">
        <f>MAX(IFERROR(VLOOKUP($B65, 'DAY 1 SCORES'!$B:$G, 6, FALSE), 0), IFERROR(VLOOKUP($B65, 'DAY 2 SCORES'!$B:$G, 6, FALSE), 0))</f>
        <v>0</v>
      </c>
      <c r="K65" s="259">
        <f>IFERROR(VLOOKUP($B65, 'DAY 1 SCORES'!$B:$E, 4, FALSE), 0) + IFERROR(VLOOKUP($B65, 'DAY 2 SCORES'!$B:$E, 4, FALSE), 0)</f>
        <v>0</v>
      </c>
      <c r="L65" s="259">
        <f>IF(B65="", 999, D65 - (H65/10000) - (I65/1000000) - (J65/100000000) - (K65/10000000000))</f>
        <v>999</v>
      </c>
    </row>
    <row r="66" spans="1:12" ht="15">
      <c r="A66" s="264" t="str">
        <f>IF(B66="", "", RANK(L66, $L$5:$L$124, 1))</f>
        <v/>
      </c>
      <c r="B66" s="266" t="str">
        <f>IF(REGISTRATION!$B63="", "", REGISTRATION!$B63)</f>
        <v/>
      </c>
      <c r="C66" s="268" t="str">
        <f>IF(B66="", "", REGISTRATION!$C63)</f>
        <v/>
      </c>
      <c r="D66" s="129">
        <f>F66 + G66</f>
        <v>240</v>
      </c>
      <c r="E66" s="267" t="str">
        <f>IF($B66="", "", H66 &amp; " / " &amp; I66 &amp; " / " &amp; J66 &amp; " / " &amp; K66)</f>
        <v/>
      </c>
      <c r="F66" s="259">
        <f>IFERROR(VLOOKUP($B66, 'DAY 1 SCORES'!$B:$H, 7, FALSE), 0)</f>
        <v>120</v>
      </c>
      <c r="G66" s="259">
        <f>IFERROR(VLOOKUP($B66, 'DAY 2 SCORES'!$B:$H, 7, FALSE), 0)</f>
        <v>120</v>
      </c>
      <c r="H66" s="259">
        <f>IFERROR(VLOOKUP($B66, 'DAY 1 SCORES'!$B:$D, 3, FALSE), 0) + IFERROR(VLOOKUP($B66, 'DAY 2 SCORES'!$B:$D, 3, FALSE), 0)</f>
        <v>0</v>
      </c>
      <c r="I66" s="259">
        <f>IFERROR(VLOOKUP($B66, 'DAY 1 SCORES'!$B:$F, 5, FALSE), 0) + IFERROR(VLOOKUP($B66, 'DAY 2 SCORES'!$B:$F, 5, FALSE), 0)</f>
        <v>0</v>
      </c>
      <c r="J66" s="259">
        <f>MAX(IFERROR(VLOOKUP($B66, 'DAY 1 SCORES'!$B:$G, 6, FALSE), 0), IFERROR(VLOOKUP($B66, 'DAY 2 SCORES'!$B:$G, 6, FALSE), 0))</f>
        <v>0</v>
      </c>
      <c r="K66" s="259">
        <f>IFERROR(VLOOKUP($B66, 'DAY 1 SCORES'!$B:$E, 4, FALSE), 0) + IFERROR(VLOOKUP($B66, 'DAY 2 SCORES'!$B:$E, 4, FALSE), 0)</f>
        <v>0</v>
      </c>
      <c r="L66" s="259">
        <f>IF(B66="", 999, D66 - (H66/10000) - (I66/1000000) - (J66/100000000) - (K66/10000000000))</f>
        <v>999</v>
      </c>
    </row>
    <row r="67" spans="1:12" ht="15">
      <c r="A67" s="264" t="str">
        <f>IF(B67="", "", RANK(L67, $L$5:$L$124, 1))</f>
        <v/>
      </c>
      <c r="B67" s="266" t="str">
        <f>IF(REGISTRATION!$B64="", "", REGISTRATION!$B64)</f>
        <v/>
      </c>
      <c r="C67" s="268" t="str">
        <f>IF(B67="", "", REGISTRATION!$C64)</f>
        <v/>
      </c>
      <c r="D67" s="129">
        <f>F67 + G67</f>
        <v>240</v>
      </c>
      <c r="E67" s="267" t="str">
        <f>IF($B67="", "", H67 &amp; " / " &amp; I67 &amp; " / " &amp; J67 &amp; " / " &amp; K67)</f>
        <v/>
      </c>
      <c r="F67" s="259">
        <f>IFERROR(VLOOKUP($B67, 'DAY 1 SCORES'!$B:$H, 7, FALSE), 0)</f>
        <v>120</v>
      </c>
      <c r="G67" s="259">
        <f>IFERROR(VLOOKUP($B67, 'DAY 2 SCORES'!$B:$H, 7, FALSE), 0)</f>
        <v>120</v>
      </c>
      <c r="H67" s="259">
        <f>IFERROR(VLOOKUP($B67, 'DAY 1 SCORES'!$B:$D, 3, FALSE), 0) + IFERROR(VLOOKUP($B67, 'DAY 2 SCORES'!$B:$D, 3, FALSE), 0)</f>
        <v>0</v>
      </c>
      <c r="I67" s="259">
        <f>IFERROR(VLOOKUP($B67, 'DAY 1 SCORES'!$B:$F, 5, FALSE), 0) + IFERROR(VLOOKUP($B67, 'DAY 2 SCORES'!$B:$F, 5, FALSE), 0)</f>
        <v>0</v>
      </c>
      <c r="J67" s="259">
        <f>MAX(IFERROR(VLOOKUP($B67, 'DAY 1 SCORES'!$B:$G, 6, FALSE), 0), IFERROR(VLOOKUP($B67, 'DAY 2 SCORES'!$B:$G, 6, FALSE), 0))</f>
        <v>0</v>
      </c>
      <c r="K67" s="259">
        <f>IFERROR(VLOOKUP($B67, 'DAY 1 SCORES'!$B:$E, 4, FALSE), 0) + IFERROR(VLOOKUP($B67, 'DAY 2 SCORES'!$B:$E, 4, FALSE), 0)</f>
        <v>0</v>
      </c>
      <c r="L67" s="259">
        <f>IF(B67="", 999, D67 - (H67/10000) - (I67/1000000) - (J67/100000000) - (K67/10000000000))</f>
        <v>999</v>
      </c>
    </row>
    <row r="68" spans="1:12" ht="15">
      <c r="A68" s="264" t="str">
        <f>IF(B68="", "", RANK(L68, $L$5:$L$124, 1))</f>
        <v/>
      </c>
      <c r="B68" s="266" t="str">
        <f>IF(REGISTRATION!$B65="", "", REGISTRATION!$B65)</f>
        <v/>
      </c>
      <c r="C68" s="268" t="str">
        <f>IF(B68="", "", REGISTRATION!$C65)</f>
        <v/>
      </c>
      <c r="D68" s="129">
        <f>F68 + G68</f>
        <v>240</v>
      </c>
      <c r="E68" s="267" t="str">
        <f>IF($B68="", "", H68 &amp; " / " &amp; I68 &amp; " / " &amp; J68 &amp; " / " &amp; K68)</f>
        <v/>
      </c>
      <c r="F68" s="259">
        <f>IFERROR(VLOOKUP($B68, 'DAY 1 SCORES'!$B:$H, 7, FALSE), 0)</f>
        <v>120</v>
      </c>
      <c r="G68" s="259">
        <f>IFERROR(VLOOKUP($B68, 'DAY 2 SCORES'!$B:$H, 7, FALSE), 0)</f>
        <v>120</v>
      </c>
      <c r="H68" s="259">
        <f>IFERROR(VLOOKUP($B68, 'DAY 1 SCORES'!$B:$D, 3, FALSE), 0) + IFERROR(VLOOKUP($B68, 'DAY 2 SCORES'!$B:$D, 3, FALSE), 0)</f>
        <v>0</v>
      </c>
      <c r="I68" s="259">
        <f>IFERROR(VLOOKUP($B68, 'DAY 1 SCORES'!$B:$F, 5, FALSE), 0) + IFERROR(VLOOKUP($B68, 'DAY 2 SCORES'!$B:$F, 5, FALSE), 0)</f>
        <v>0</v>
      </c>
      <c r="J68" s="259">
        <f>MAX(IFERROR(VLOOKUP($B68, 'DAY 1 SCORES'!$B:$G, 6, FALSE), 0), IFERROR(VLOOKUP($B68, 'DAY 2 SCORES'!$B:$G, 6, FALSE), 0))</f>
        <v>0</v>
      </c>
      <c r="K68" s="259">
        <f>IFERROR(VLOOKUP($B68, 'DAY 1 SCORES'!$B:$E, 4, FALSE), 0) + IFERROR(VLOOKUP($B68, 'DAY 2 SCORES'!$B:$E, 4, FALSE), 0)</f>
        <v>0</v>
      </c>
      <c r="L68" s="259">
        <f>IF(B68="", 999, D68 - (H68/10000) - (I68/1000000) - (J68/100000000) - (K68/10000000000))</f>
        <v>999</v>
      </c>
    </row>
    <row r="69" spans="1:12" ht="15">
      <c r="A69" s="264" t="str">
        <f>IF(B69="", "", RANK(L69, $L$5:$L$124, 1))</f>
        <v/>
      </c>
      <c r="B69" s="266" t="str">
        <f>IF(REGISTRATION!$B66="", "", REGISTRATION!$B66)</f>
        <v/>
      </c>
      <c r="C69" s="268" t="str">
        <f>IF(B69="", "", REGISTRATION!$C66)</f>
        <v/>
      </c>
      <c r="D69" s="129">
        <f>F69 + G69</f>
        <v>240</v>
      </c>
      <c r="E69" s="267" t="str">
        <f>IF($B69="", "", H69 &amp; " / " &amp; I69 &amp; " / " &amp; J69 &amp; " / " &amp; K69)</f>
        <v/>
      </c>
      <c r="F69" s="259">
        <f>IFERROR(VLOOKUP($B69, 'DAY 1 SCORES'!$B:$H, 7, FALSE), 0)</f>
        <v>120</v>
      </c>
      <c r="G69" s="259">
        <f>IFERROR(VLOOKUP($B69, 'DAY 2 SCORES'!$B:$H, 7, FALSE), 0)</f>
        <v>120</v>
      </c>
      <c r="H69" s="259">
        <f>IFERROR(VLOOKUP($B69, 'DAY 1 SCORES'!$B:$D, 3, FALSE), 0) + IFERROR(VLOOKUP($B69, 'DAY 2 SCORES'!$B:$D, 3, FALSE), 0)</f>
        <v>0</v>
      </c>
      <c r="I69" s="259">
        <f>IFERROR(VLOOKUP($B69, 'DAY 1 SCORES'!$B:$F, 5, FALSE), 0) + IFERROR(VLOOKUP($B69, 'DAY 2 SCORES'!$B:$F, 5, FALSE), 0)</f>
        <v>0</v>
      </c>
      <c r="J69" s="259">
        <f>MAX(IFERROR(VLOOKUP($B69, 'DAY 1 SCORES'!$B:$G, 6, FALSE), 0), IFERROR(VLOOKUP($B69, 'DAY 2 SCORES'!$B:$G, 6, FALSE), 0))</f>
        <v>0</v>
      </c>
      <c r="K69" s="259">
        <f>IFERROR(VLOOKUP($B69, 'DAY 1 SCORES'!$B:$E, 4, FALSE), 0) + IFERROR(VLOOKUP($B69, 'DAY 2 SCORES'!$B:$E, 4, FALSE), 0)</f>
        <v>0</v>
      </c>
      <c r="L69" s="259">
        <f>IF(B69="", 999, D69 - (H69/10000) - (I69/1000000) - (J69/100000000) - (K69/10000000000))</f>
        <v>999</v>
      </c>
    </row>
    <row r="70" spans="1:12" ht="15">
      <c r="A70" s="264" t="str">
        <f>IF(B70="", "", RANK(L70, $L$5:$L$124, 1))</f>
        <v/>
      </c>
      <c r="B70" s="266" t="str">
        <f>IF(REGISTRATION!$B67="", "", REGISTRATION!$B67)</f>
        <v/>
      </c>
      <c r="C70" s="268" t="str">
        <f>IF(B70="", "", REGISTRATION!$C67)</f>
        <v/>
      </c>
      <c r="D70" s="129">
        <f>F70 + G70</f>
        <v>240</v>
      </c>
      <c r="E70" s="267" t="str">
        <f>IF($B70="", "", H70 &amp; " / " &amp; I70 &amp; " / " &amp; J70 &amp; " / " &amp; K70)</f>
        <v/>
      </c>
      <c r="F70" s="259">
        <f>IFERROR(VLOOKUP($B70, 'DAY 1 SCORES'!$B:$H, 7, FALSE), 0)</f>
        <v>120</v>
      </c>
      <c r="G70" s="259">
        <f>IFERROR(VLOOKUP($B70, 'DAY 2 SCORES'!$B:$H, 7, FALSE), 0)</f>
        <v>120</v>
      </c>
      <c r="H70" s="259">
        <f>IFERROR(VLOOKUP($B70, 'DAY 1 SCORES'!$B:$D, 3, FALSE), 0) + IFERROR(VLOOKUP($B70, 'DAY 2 SCORES'!$B:$D, 3, FALSE), 0)</f>
        <v>0</v>
      </c>
      <c r="I70" s="259">
        <f>IFERROR(VLOOKUP($B70, 'DAY 1 SCORES'!$B:$F, 5, FALSE), 0) + IFERROR(VLOOKUP($B70, 'DAY 2 SCORES'!$B:$F, 5, FALSE), 0)</f>
        <v>0</v>
      </c>
      <c r="J70" s="259">
        <f>MAX(IFERROR(VLOOKUP($B70, 'DAY 1 SCORES'!$B:$G, 6, FALSE), 0), IFERROR(VLOOKUP($B70, 'DAY 2 SCORES'!$B:$G, 6, FALSE), 0))</f>
        <v>0</v>
      </c>
      <c r="K70" s="259">
        <f>IFERROR(VLOOKUP($B70, 'DAY 1 SCORES'!$B:$E, 4, FALSE), 0) + IFERROR(VLOOKUP($B70, 'DAY 2 SCORES'!$B:$E, 4, FALSE), 0)</f>
        <v>0</v>
      </c>
      <c r="L70" s="259">
        <f>IF(B70="", 999, D70 - (H70/10000) - (I70/1000000) - (J70/100000000) - (K70/10000000000))</f>
        <v>999</v>
      </c>
    </row>
    <row r="71" spans="1:12" ht="15">
      <c r="A71" s="264" t="str">
        <f>IF(B71="", "", RANK(L71, $L$5:$L$124, 1))</f>
        <v/>
      </c>
      <c r="B71" s="266" t="str">
        <f>IF(REGISTRATION!$B68="", "", REGISTRATION!$B68)</f>
        <v/>
      </c>
      <c r="C71" s="268" t="str">
        <f>IF(B71="", "", REGISTRATION!$C68)</f>
        <v/>
      </c>
      <c r="D71" s="129">
        <f>F71 + G71</f>
        <v>240</v>
      </c>
      <c r="E71" s="267" t="str">
        <f>IF($B71="", "", H71 &amp; " / " &amp; I71 &amp; " / " &amp; J71 &amp; " / " &amp; K71)</f>
        <v/>
      </c>
      <c r="F71" s="259">
        <f>IFERROR(VLOOKUP($B71, 'DAY 1 SCORES'!$B:$H, 7, FALSE), 0)</f>
        <v>120</v>
      </c>
      <c r="G71" s="259">
        <f>IFERROR(VLOOKUP($B71, 'DAY 2 SCORES'!$B:$H, 7, FALSE), 0)</f>
        <v>120</v>
      </c>
      <c r="H71" s="259">
        <f>IFERROR(VLOOKUP($B71, 'DAY 1 SCORES'!$B:$D, 3, FALSE), 0) + IFERROR(VLOOKUP($B71, 'DAY 2 SCORES'!$B:$D, 3, FALSE), 0)</f>
        <v>0</v>
      </c>
      <c r="I71" s="259">
        <f>IFERROR(VLOOKUP($B71, 'DAY 1 SCORES'!$B:$F, 5, FALSE), 0) + IFERROR(VLOOKUP($B71, 'DAY 2 SCORES'!$B:$F, 5, FALSE), 0)</f>
        <v>0</v>
      </c>
      <c r="J71" s="259">
        <f>MAX(IFERROR(VLOOKUP($B71, 'DAY 1 SCORES'!$B:$G, 6, FALSE), 0), IFERROR(VLOOKUP($B71, 'DAY 2 SCORES'!$B:$G, 6, FALSE), 0))</f>
        <v>0</v>
      </c>
      <c r="K71" s="259">
        <f>IFERROR(VLOOKUP($B71, 'DAY 1 SCORES'!$B:$E, 4, FALSE), 0) + IFERROR(VLOOKUP($B71, 'DAY 2 SCORES'!$B:$E, 4, FALSE), 0)</f>
        <v>0</v>
      </c>
      <c r="L71" s="259">
        <f>IF(B71="", 999, D71 - (H71/10000) - (I71/1000000) - (J71/100000000) - (K71/10000000000))</f>
        <v>999</v>
      </c>
    </row>
    <row r="72" spans="1:12" ht="15">
      <c r="A72" s="264" t="str">
        <f>IF(B72="", "", RANK(L72, $L$5:$L$124, 1))</f>
        <v/>
      </c>
      <c r="B72" s="266" t="str">
        <f>IF(REGISTRATION!$B69="", "", REGISTRATION!$B69)</f>
        <v/>
      </c>
      <c r="C72" s="268" t="str">
        <f>IF(B72="", "", REGISTRATION!$C69)</f>
        <v/>
      </c>
      <c r="D72" s="129">
        <f>F72 + G72</f>
        <v>240</v>
      </c>
      <c r="E72" s="267" t="str">
        <f>IF($B72="", "", H72 &amp; " / " &amp; I72 &amp; " / " &amp; J72 &amp; " / " &amp; K72)</f>
        <v/>
      </c>
      <c r="F72" s="259">
        <f>IFERROR(VLOOKUP($B72, 'DAY 1 SCORES'!$B:$H, 7, FALSE), 0)</f>
        <v>120</v>
      </c>
      <c r="G72" s="259">
        <f>IFERROR(VLOOKUP($B72, 'DAY 2 SCORES'!$B:$H, 7, FALSE), 0)</f>
        <v>120</v>
      </c>
      <c r="H72" s="259">
        <f>IFERROR(VLOOKUP($B72, 'DAY 1 SCORES'!$B:$D, 3, FALSE), 0) + IFERROR(VLOOKUP($B72, 'DAY 2 SCORES'!$B:$D, 3, FALSE), 0)</f>
        <v>0</v>
      </c>
      <c r="I72" s="259">
        <f>IFERROR(VLOOKUP($B72, 'DAY 1 SCORES'!$B:$F, 5, FALSE), 0) + IFERROR(VLOOKUP($B72, 'DAY 2 SCORES'!$B:$F, 5, FALSE), 0)</f>
        <v>0</v>
      </c>
      <c r="J72" s="259">
        <f>MAX(IFERROR(VLOOKUP($B72, 'DAY 1 SCORES'!$B:$G, 6, FALSE), 0), IFERROR(VLOOKUP($B72, 'DAY 2 SCORES'!$B:$G, 6, FALSE), 0))</f>
        <v>0</v>
      </c>
      <c r="K72" s="259">
        <f>IFERROR(VLOOKUP($B72, 'DAY 1 SCORES'!$B:$E, 4, FALSE), 0) + IFERROR(VLOOKUP($B72, 'DAY 2 SCORES'!$B:$E, 4, FALSE), 0)</f>
        <v>0</v>
      </c>
      <c r="L72" s="259">
        <f>IF(B72="", 999, D72 - (H72/10000) - (I72/1000000) - (J72/100000000) - (K72/10000000000))</f>
        <v>999</v>
      </c>
    </row>
    <row r="73" spans="1:12" ht="15">
      <c r="A73" s="264" t="str">
        <f>IF(B73="", "", RANK(L73, $L$5:$L$124, 1))</f>
        <v/>
      </c>
      <c r="B73" s="266" t="str">
        <f>IF(REGISTRATION!$B70="", "", REGISTRATION!$B70)</f>
        <v/>
      </c>
      <c r="C73" s="268" t="str">
        <f>IF(B73="", "", REGISTRATION!$C70)</f>
        <v/>
      </c>
      <c r="D73" s="129">
        <f>F73 + G73</f>
        <v>240</v>
      </c>
      <c r="E73" s="267" t="str">
        <f>IF($B73="", "", H73 &amp; " / " &amp; I73 &amp; " / " &amp; J73 &amp; " / " &amp; K73)</f>
        <v/>
      </c>
      <c r="F73" s="259">
        <f>IFERROR(VLOOKUP($B73, 'DAY 1 SCORES'!$B:$H, 7, FALSE), 0)</f>
        <v>120</v>
      </c>
      <c r="G73" s="259">
        <f>IFERROR(VLOOKUP($B73, 'DAY 2 SCORES'!$B:$H, 7, FALSE), 0)</f>
        <v>120</v>
      </c>
      <c r="H73" s="259">
        <f>IFERROR(VLOOKUP($B73, 'DAY 1 SCORES'!$B:$D, 3, FALSE), 0) + IFERROR(VLOOKUP($B73, 'DAY 2 SCORES'!$B:$D, 3, FALSE), 0)</f>
        <v>0</v>
      </c>
      <c r="I73" s="259">
        <f>IFERROR(VLOOKUP($B73, 'DAY 1 SCORES'!$B:$F, 5, FALSE), 0) + IFERROR(VLOOKUP($B73, 'DAY 2 SCORES'!$B:$F, 5, FALSE), 0)</f>
        <v>0</v>
      </c>
      <c r="J73" s="259">
        <f>MAX(IFERROR(VLOOKUP($B73, 'DAY 1 SCORES'!$B:$G, 6, FALSE), 0), IFERROR(VLOOKUP($B73, 'DAY 2 SCORES'!$B:$G, 6, FALSE), 0))</f>
        <v>0</v>
      </c>
      <c r="K73" s="259">
        <f>IFERROR(VLOOKUP($B73, 'DAY 1 SCORES'!$B:$E, 4, FALSE), 0) + IFERROR(VLOOKUP($B73, 'DAY 2 SCORES'!$B:$E, 4, FALSE), 0)</f>
        <v>0</v>
      </c>
      <c r="L73" s="259">
        <f>IF(B73="", 999, D73 - (H73/10000) - (I73/1000000) - (J73/100000000) - (K73/10000000000))</f>
        <v>999</v>
      </c>
    </row>
    <row r="74" spans="1:12" ht="15">
      <c r="A74" s="264" t="str">
        <f>IF(B74="", "", RANK(L74, $L$5:$L$124, 1))</f>
        <v/>
      </c>
      <c r="B74" s="266" t="str">
        <f>IF(REGISTRATION!$B71="", "", REGISTRATION!$B71)</f>
        <v/>
      </c>
      <c r="C74" s="268" t="str">
        <f>IF(B74="", "", REGISTRATION!$C71)</f>
        <v/>
      </c>
      <c r="D74" s="129">
        <f>F74 + G74</f>
        <v>240</v>
      </c>
      <c r="E74" s="267" t="str">
        <f>IF($B74="", "", H74 &amp; " / " &amp; I74 &amp; " / " &amp; J74 &amp; " / " &amp; K74)</f>
        <v/>
      </c>
      <c r="F74" s="259">
        <f>IFERROR(VLOOKUP($B74, 'DAY 1 SCORES'!$B:$H, 7, FALSE), 0)</f>
        <v>120</v>
      </c>
      <c r="G74" s="259">
        <f>IFERROR(VLOOKUP($B74, 'DAY 2 SCORES'!$B:$H, 7, FALSE), 0)</f>
        <v>120</v>
      </c>
      <c r="H74" s="259">
        <f>IFERROR(VLOOKUP($B74, 'DAY 1 SCORES'!$B:$D, 3, FALSE), 0) + IFERROR(VLOOKUP($B74, 'DAY 2 SCORES'!$B:$D, 3, FALSE), 0)</f>
        <v>0</v>
      </c>
      <c r="I74" s="259">
        <f>IFERROR(VLOOKUP($B74, 'DAY 1 SCORES'!$B:$F, 5, FALSE), 0) + IFERROR(VLOOKUP($B74, 'DAY 2 SCORES'!$B:$F, 5, FALSE), 0)</f>
        <v>0</v>
      </c>
      <c r="J74" s="259">
        <f>MAX(IFERROR(VLOOKUP($B74, 'DAY 1 SCORES'!$B:$G, 6, FALSE), 0), IFERROR(VLOOKUP($B74, 'DAY 2 SCORES'!$B:$G, 6, FALSE), 0))</f>
        <v>0</v>
      </c>
      <c r="K74" s="259">
        <f>IFERROR(VLOOKUP($B74, 'DAY 1 SCORES'!$B:$E, 4, FALSE), 0) + IFERROR(VLOOKUP($B74, 'DAY 2 SCORES'!$B:$E, 4, FALSE), 0)</f>
        <v>0</v>
      </c>
      <c r="L74" s="259">
        <f>IF(B74="", 999, D74 - (H74/10000) - (I74/1000000) - (J74/100000000) - (K74/10000000000))</f>
        <v>999</v>
      </c>
    </row>
    <row r="75" spans="1:12" ht="15">
      <c r="A75" s="264" t="str">
        <f>IF(B75="", "", RANK(L75, $L$5:$L$124, 1))</f>
        <v/>
      </c>
      <c r="B75" s="266" t="str">
        <f>IF(REGISTRATION!$B72="", "", REGISTRATION!$B72)</f>
        <v/>
      </c>
      <c r="C75" s="268" t="str">
        <f>IF(B75="", "", REGISTRATION!$C72)</f>
        <v/>
      </c>
      <c r="D75" s="129">
        <f>F75 + G75</f>
        <v>240</v>
      </c>
      <c r="E75" s="267" t="str">
        <f>IF($B75="", "", H75 &amp; " / " &amp; I75 &amp; " / " &amp; J75 &amp; " / " &amp; K75)</f>
        <v/>
      </c>
      <c r="F75" s="259">
        <f>IFERROR(VLOOKUP($B75, 'DAY 1 SCORES'!$B:$H, 7, FALSE), 0)</f>
        <v>120</v>
      </c>
      <c r="G75" s="259">
        <f>IFERROR(VLOOKUP($B75, 'DAY 2 SCORES'!$B:$H, 7, FALSE), 0)</f>
        <v>120</v>
      </c>
      <c r="H75" s="259">
        <f>IFERROR(VLOOKUP($B75, 'DAY 1 SCORES'!$B:$D, 3, FALSE), 0) + IFERROR(VLOOKUP($B75, 'DAY 2 SCORES'!$B:$D, 3, FALSE), 0)</f>
        <v>0</v>
      </c>
      <c r="I75" s="259">
        <f>IFERROR(VLOOKUP($B75, 'DAY 1 SCORES'!$B:$F, 5, FALSE), 0) + IFERROR(VLOOKUP($B75, 'DAY 2 SCORES'!$B:$F, 5, FALSE), 0)</f>
        <v>0</v>
      </c>
      <c r="J75" s="259">
        <f>MAX(IFERROR(VLOOKUP($B75, 'DAY 1 SCORES'!$B:$G, 6, FALSE), 0), IFERROR(VLOOKUP($B75, 'DAY 2 SCORES'!$B:$G, 6, FALSE), 0))</f>
        <v>0</v>
      </c>
      <c r="K75" s="259">
        <f>IFERROR(VLOOKUP($B75, 'DAY 1 SCORES'!$B:$E, 4, FALSE), 0) + IFERROR(VLOOKUP($B75, 'DAY 2 SCORES'!$B:$E, 4, FALSE), 0)</f>
        <v>0</v>
      </c>
      <c r="L75" s="259">
        <f>IF(B75="", 999, D75 - (H75/10000) - (I75/1000000) - (J75/100000000) - (K75/10000000000))</f>
        <v>999</v>
      </c>
    </row>
    <row r="76" spans="1:12" ht="15">
      <c r="A76" s="264" t="str">
        <f>IF(B76="", "", RANK(L76, $L$5:$L$124, 1))</f>
        <v/>
      </c>
      <c r="B76" s="266" t="str">
        <f>IF(REGISTRATION!$B73="", "", REGISTRATION!$B73)</f>
        <v/>
      </c>
      <c r="C76" s="268" t="str">
        <f>IF(B76="", "", REGISTRATION!$C73)</f>
        <v/>
      </c>
      <c r="D76" s="129">
        <f>F76 + G76</f>
        <v>240</v>
      </c>
      <c r="E76" s="267" t="str">
        <f>IF($B76="", "", H76 &amp; " / " &amp; I76 &amp; " / " &amp; J76 &amp; " / " &amp; K76)</f>
        <v/>
      </c>
      <c r="F76" s="259">
        <f>IFERROR(VLOOKUP($B76, 'DAY 1 SCORES'!$B:$H, 7, FALSE), 0)</f>
        <v>120</v>
      </c>
      <c r="G76" s="259">
        <f>IFERROR(VLOOKUP($B76, 'DAY 2 SCORES'!$B:$H, 7, FALSE), 0)</f>
        <v>120</v>
      </c>
      <c r="H76" s="259">
        <f>IFERROR(VLOOKUP($B76, 'DAY 1 SCORES'!$B:$D, 3, FALSE), 0) + IFERROR(VLOOKUP($B76, 'DAY 2 SCORES'!$B:$D, 3, FALSE), 0)</f>
        <v>0</v>
      </c>
      <c r="I76" s="259">
        <f>IFERROR(VLOOKUP($B76, 'DAY 1 SCORES'!$B:$F, 5, FALSE), 0) + IFERROR(VLOOKUP($B76, 'DAY 2 SCORES'!$B:$F, 5, FALSE), 0)</f>
        <v>0</v>
      </c>
      <c r="J76" s="259">
        <f>MAX(IFERROR(VLOOKUP($B76, 'DAY 1 SCORES'!$B:$G, 6, FALSE), 0), IFERROR(VLOOKUP($B76, 'DAY 2 SCORES'!$B:$G, 6, FALSE), 0))</f>
        <v>0</v>
      </c>
      <c r="K76" s="259">
        <f>IFERROR(VLOOKUP($B76, 'DAY 1 SCORES'!$B:$E, 4, FALSE), 0) + IFERROR(VLOOKUP($B76, 'DAY 2 SCORES'!$B:$E, 4, FALSE), 0)</f>
        <v>0</v>
      </c>
      <c r="L76" s="259">
        <f>IF(B76="", 999, D76 - (H76/10000) - (I76/1000000) - (J76/100000000) - (K76/10000000000))</f>
        <v>999</v>
      </c>
    </row>
    <row r="77" spans="1:12" ht="15">
      <c r="A77" s="264" t="str">
        <f>IF(B77="", "", RANK(L77, $L$5:$L$124, 1))</f>
        <v/>
      </c>
      <c r="B77" s="266" t="str">
        <f>IF(REGISTRATION!$B74="", "", REGISTRATION!$B74)</f>
        <v/>
      </c>
      <c r="C77" s="268" t="str">
        <f>IF(B77="", "", REGISTRATION!$C74)</f>
        <v/>
      </c>
      <c r="D77" s="129">
        <f>F77 + G77</f>
        <v>240</v>
      </c>
      <c r="E77" s="267" t="str">
        <f>IF($B77="", "", H77 &amp; " / " &amp; I77 &amp; " / " &amp; J77 &amp; " / " &amp; K77)</f>
        <v/>
      </c>
      <c r="F77" s="259">
        <f>IFERROR(VLOOKUP($B77, 'DAY 1 SCORES'!$B:$H, 7, FALSE), 0)</f>
        <v>120</v>
      </c>
      <c r="G77" s="259">
        <f>IFERROR(VLOOKUP($B77, 'DAY 2 SCORES'!$B:$H, 7, FALSE), 0)</f>
        <v>120</v>
      </c>
      <c r="H77" s="259">
        <f>IFERROR(VLOOKUP($B77, 'DAY 1 SCORES'!$B:$D, 3, FALSE), 0) + IFERROR(VLOOKUP($B77, 'DAY 2 SCORES'!$B:$D, 3, FALSE), 0)</f>
        <v>0</v>
      </c>
      <c r="I77" s="259">
        <f>IFERROR(VLOOKUP($B77, 'DAY 1 SCORES'!$B:$F, 5, FALSE), 0) + IFERROR(VLOOKUP($B77, 'DAY 2 SCORES'!$B:$F, 5, FALSE), 0)</f>
        <v>0</v>
      </c>
      <c r="J77" s="259">
        <f>MAX(IFERROR(VLOOKUP($B77, 'DAY 1 SCORES'!$B:$G, 6, FALSE), 0), IFERROR(VLOOKUP($B77, 'DAY 2 SCORES'!$B:$G, 6, FALSE), 0))</f>
        <v>0</v>
      </c>
      <c r="K77" s="259">
        <f>IFERROR(VLOOKUP($B77, 'DAY 1 SCORES'!$B:$E, 4, FALSE), 0) + IFERROR(VLOOKUP($B77, 'DAY 2 SCORES'!$B:$E, 4, FALSE), 0)</f>
        <v>0</v>
      </c>
      <c r="L77" s="259">
        <f>IF(B77="", 999, D77 - (H77/10000) - (I77/1000000) - (J77/100000000) - (K77/10000000000))</f>
        <v>999</v>
      </c>
    </row>
    <row r="78" spans="1:12" ht="15">
      <c r="A78" s="264" t="str">
        <f>IF(B78="", "", RANK(L78, $L$5:$L$124, 1))</f>
        <v/>
      </c>
      <c r="B78" s="266" t="str">
        <f>IF(REGISTRATION!$B75="", "", REGISTRATION!$B75)</f>
        <v/>
      </c>
      <c r="C78" s="268" t="str">
        <f>IF(B78="", "", REGISTRATION!$C75)</f>
        <v/>
      </c>
      <c r="D78" s="129">
        <f>F78 + G78</f>
        <v>240</v>
      </c>
      <c r="E78" s="267" t="str">
        <f>IF($B78="", "", H78 &amp; " / " &amp; I78 &amp; " / " &amp; J78 &amp; " / " &amp; K78)</f>
        <v/>
      </c>
      <c r="F78" s="259">
        <f>IFERROR(VLOOKUP($B78, 'DAY 1 SCORES'!$B:$H, 7, FALSE), 0)</f>
        <v>120</v>
      </c>
      <c r="G78" s="259">
        <f>IFERROR(VLOOKUP($B78, 'DAY 2 SCORES'!$B:$H, 7, FALSE), 0)</f>
        <v>120</v>
      </c>
      <c r="H78" s="259">
        <f>IFERROR(VLOOKUP($B78, 'DAY 1 SCORES'!$B:$D, 3, FALSE), 0) + IFERROR(VLOOKUP($B78, 'DAY 2 SCORES'!$B:$D, 3, FALSE), 0)</f>
        <v>0</v>
      </c>
      <c r="I78" s="259">
        <f>IFERROR(VLOOKUP($B78, 'DAY 1 SCORES'!$B:$F, 5, FALSE), 0) + IFERROR(VLOOKUP($B78, 'DAY 2 SCORES'!$B:$F, 5, FALSE), 0)</f>
        <v>0</v>
      </c>
      <c r="J78" s="259">
        <f>MAX(IFERROR(VLOOKUP($B78, 'DAY 1 SCORES'!$B:$G, 6, FALSE), 0), IFERROR(VLOOKUP($B78, 'DAY 2 SCORES'!$B:$G, 6, FALSE), 0))</f>
        <v>0</v>
      </c>
      <c r="K78" s="259">
        <f>IFERROR(VLOOKUP($B78, 'DAY 1 SCORES'!$B:$E, 4, FALSE), 0) + IFERROR(VLOOKUP($B78, 'DAY 2 SCORES'!$B:$E, 4, FALSE), 0)</f>
        <v>0</v>
      </c>
      <c r="L78" s="259">
        <f>IF(B78="", 999, D78 - (H78/10000) - (I78/1000000) - (J78/100000000) - (K78/10000000000))</f>
        <v>999</v>
      </c>
    </row>
    <row r="79" spans="1:12" ht="15">
      <c r="A79" s="264" t="str">
        <f>IF(B79="", "", RANK(L79, $L$5:$L$124, 1))</f>
        <v/>
      </c>
      <c r="B79" s="266" t="str">
        <f>IF(REGISTRATION!$B76="", "", REGISTRATION!$B76)</f>
        <v/>
      </c>
      <c r="C79" s="268" t="str">
        <f>IF(B79="", "", REGISTRATION!$C76)</f>
        <v/>
      </c>
      <c r="D79" s="129">
        <f>F79 + G79</f>
        <v>240</v>
      </c>
      <c r="E79" s="267" t="str">
        <f>IF($B79="", "", H79 &amp; " / " &amp; I79 &amp; " / " &amp; J79 &amp; " / " &amp; K79)</f>
        <v/>
      </c>
      <c r="F79" s="259">
        <f>IFERROR(VLOOKUP($B79, 'DAY 1 SCORES'!$B:$H, 7, FALSE), 0)</f>
        <v>120</v>
      </c>
      <c r="G79" s="259">
        <f>IFERROR(VLOOKUP($B79, 'DAY 2 SCORES'!$B:$H, 7, FALSE), 0)</f>
        <v>120</v>
      </c>
      <c r="H79" s="259">
        <f>IFERROR(VLOOKUP($B79, 'DAY 1 SCORES'!$B:$D, 3, FALSE), 0) + IFERROR(VLOOKUP($B79, 'DAY 2 SCORES'!$B:$D, 3, FALSE), 0)</f>
        <v>0</v>
      </c>
      <c r="I79" s="259">
        <f>IFERROR(VLOOKUP($B79, 'DAY 1 SCORES'!$B:$F, 5, FALSE), 0) + IFERROR(VLOOKUP($B79, 'DAY 2 SCORES'!$B:$F, 5, FALSE), 0)</f>
        <v>0</v>
      </c>
      <c r="J79" s="259">
        <f>MAX(IFERROR(VLOOKUP($B79, 'DAY 1 SCORES'!$B:$G, 6, FALSE), 0), IFERROR(VLOOKUP($B79, 'DAY 2 SCORES'!$B:$G, 6, FALSE), 0))</f>
        <v>0</v>
      </c>
      <c r="K79" s="259">
        <f>IFERROR(VLOOKUP($B79, 'DAY 1 SCORES'!$B:$E, 4, FALSE), 0) + IFERROR(VLOOKUP($B79, 'DAY 2 SCORES'!$B:$E, 4, FALSE), 0)</f>
        <v>0</v>
      </c>
      <c r="L79" s="259">
        <f>IF(B79="", 999, D79 - (H79/10000) - (I79/1000000) - (J79/100000000) - (K79/10000000000))</f>
        <v>999</v>
      </c>
    </row>
    <row r="80" spans="1:12" ht="15">
      <c r="A80" s="264" t="str">
        <f>IF(B80="", "", RANK(L80, $L$5:$L$124, 1))</f>
        <v/>
      </c>
      <c r="B80" s="266" t="str">
        <f>IF(REGISTRATION!$B77="", "", REGISTRATION!$B77)</f>
        <v/>
      </c>
      <c r="C80" s="268" t="str">
        <f>IF(B80="", "", REGISTRATION!$C77)</f>
        <v/>
      </c>
      <c r="D80" s="129">
        <f>F80 + G80</f>
        <v>240</v>
      </c>
      <c r="E80" s="267" t="str">
        <f>IF($B80="", "", H80 &amp; " / " &amp; I80 &amp; " / " &amp; J80 &amp; " / " &amp; K80)</f>
        <v/>
      </c>
      <c r="F80" s="259">
        <f>IFERROR(VLOOKUP($B80, 'DAY 1 SCORES'!$B:$H, 7, FALSE), 0)</f>
        <v>120</v>
      </c>
      <c r="G80" s="259">
        <f>IFERROR(VLOOKUP($B80, 'DAY 2 SCORES'!$B:$H, 7, FALSE), 0)</f>
        <v>120</v>
      </c>
      <c r="H80" s="259">
        <f>IFERROR(VLOOKUP($B80, 'DAY 1 SCORES'!$B:$D, 3, FALSE), 0) + IFERROR(VLOOKUP($B80, 'DAY 2 SCORES'!$B:$D, 3, FALSE), 0)</f>
        <v>0</v>
      </c>
      <c r="I80" s="259">
        <f>IFERROR(VLOOKUP($B80, 'DAY 1 SCORES'!$B:$F, 5, FALSE), 0) + IFERROR(VLOOKUP($B80, 'DAY 2 SCORES'!$B:$F, 5, FALSE), 0)</f>
        <v>0</v>
      </c>
      <c r="J80" s="259">
        <f>MAX(IFERROR(VLOOKUP($B80, 'DAY 1 SCORES'!$B:$G, 6, FALSE), 0), IFERROR(VLOOKUP($B80, 'DAY 2 SCORES'!$B:$G, 6, FALSE), 0))</f>
        <v>0</v>
      </c>
      <c r="K80" s="259">
        <f>IFERROR(VLOOKUP($B80, 'DAY 1 SCORES'!$B:$E, 4, FALSE), 0) + IFERROR(VLOOKUP($B80, 'DAY 2 SCORES'!$B:$E, 4, FALSE), 0)</f>
        <v>0</v>
      </c>
      <c r="L80" s="259">
        <f>IF(B80="", 999, D80 - (H80/10000) - (I80/1000000) - (J80/100000000) - (K80/10000000000))</f>
        <v>999</v>
      </c>
    </row>
    <row r="81" spans="1:12" ht="15">
      <c r="A81" s="264" t="str">
        <f>IF(B81="", "", RANK(L81, $L$5:$L$124, 1))</f>
        <v/>
      </c>
      <c r="B81" s="266" t="str">
        <f>IF(REGISTRATION!$B78="", "", REGISTRATION!$B78)</f>
        <v/>
      </c>
      <c r="C81" s="268" t="str">
        <f>IF(B81="", "", REGISTRATION!$C78)</f>
        <v/>
      </c>
      <c r="D81" s="129">
        <f>F81 + G81</f>
        <v>240</v>
      </c>
      <c r="E81" s="267" t="str">
        <f>IF($B81="", "", H81 &amp; " / " &amp; I81 &amp; " / " &amp; J81 &amp; " / " &amp; K81)</f>
        <v/>
      </c>
      <c r="F81" s="259">
        <f>IFERROR(VLOOKUP($B81, 'DAY 1 SCORES'!$B:$H, 7, FALSE), 0)</f>
        <v>120</v>
      </c>
      <c r="G81" s="259">
        <f>IFERROR(VLOOKUP($B81, 'DAY 2 SCORES'!$B:$H, 7, FALSE), 0)</f>
        <v>120</v>
      </c>
      <c r="H81" s="259">
        <f>IFERROR(VLOOKUP($B81, 'DAY 1 SCORES'!$B:$D, 3, FALSE), 0) + IFERROR(VLOOKUP($B81, 'DAY 2 SCORES'!$B:$D, 3, FALSE), 0)</f>
        <v>0</v>
      </c>
      <c r="I81" s="259">
        <f>IFERROR(VLOOKUP($B81, 'DAY 1 SCORES'!$B:$F, 5, FALSE), 0) + IFERROR(VLOOKUP($B81, 'DAY 2 SCORES'!$B:$F, 5, FALSE), 0)</f>
        <v>0</v>
      </c>
      <c r="J81" s="259">
        <f>MAX(IFERROR(VLOOKUP($B81, 'DAY 1 SCORES'!$B:$G, 6, FALSE), 0), IFERROR(VLOOKUP($B81, 'DAY 2 SCORES'!$B:$G, 6, FALSE), 0))</f>
        <v>0</v>
      </c>
      <c r="K81" s="259">
        <f>IFERROR(VLOOKUP($B81, 'DAY 1 SCORES'!$B:$E, 4, FALSE), 0) + IFERROR(VLOOKUP($B81, 'DAY 2 SCORES'!$B:$E, 4, FALSE), 0)</f>
        <v>0</v>
      </c>
      <c r="L81" s="259">
        <f>IF(B81="", 999, D81 - (H81/10000) - (I81/1000000) - (J81/100000000) - (K81/10000000000))</f>
        <v>999</v>
      </c>
    </row>
    <row r="82" spans="1:12" ht="15">
      <c r="A82" s="264" t="str">
        <f>IF(B82="", "", RANK(L82, $L$5:$L$124, 1))</f>
        <v/>
      </c>
      <c r="B82" s="266" t="str">
        <f>IF(REGISTRATION!$B79="", "", REGISTRATION!$B79)</f>
        <v/>
      </c>
      <c r="C82" s="268" t="str">
        <f>IF(B82="", "", REGISTRATION!$C79)</f>
        <v/>
      </c>
      <c r="D82" s="129">
        <f>F82 + G82</f>
        <v>240</v>
      </c>
      <c r="E82" s="267" t="str">
        <f>IF($B82="", "", H82 &amp; " / " &amp; I82 &amp; " / " &amp; J82 &amp; " / " &amp; K82)</f>
        <v/>
      </c>
      <c r="F82" s="259">
        <f>IFERROR(VLOOKUP($B82, 'DAY 1 SCORES'!$B:$H, 7, FALSE), 0)</f>
        <v>120</v>
      </c>
      <c r="G82" s="259">
        <f>IFERROR(VLOOKUP($B82, 'DAY 2 SCORES'!$B:$H, 7, FALSE), 0)</f>
        <v>120</v>
      </c>
      <c r="H82" s="259">
        <f>IFERROR(VLOOKUP($B82, 'DAY 1 SCORES'!$B:$D, 3, FALSE), 0) + IFERROR(VLOOKUP($B82, 'DAY 2 SCORES'!$B:$D, 3, FALSE), 0)</f>
        <v>0</v>
      </c>
      <c r="I82" s="259">
        <f>IFERROR(VLOOKUP($B82, 'DAY 1 SCORES'!$B:$F, 5, FALSE), 0) + IFERROR(VLOOKUP($B82, 'DAY 2 SCORES'!$B:$F, 5, FALSE), 0)</f>
        <v>0</v>
      </c>
      <c r="J82" s="259">
        <f>MAX(IFERROR(VLOOKUP($B82, 'DAY 1 SCORES'!$B:$G, 6, FALSE), 0), IFERROR(VLOOKUP($B82, 'DAY 2 SCORES'!$B:$G, 6, FALSE), 0))</f>
        <v>0</v>
      </c>
      <c r="K82" s="259">
        <f>IFERROR(VLOOKUP($B82, 'DAY 1 SCORES'!$B:$E, 4, FALSE), 0) + IFERROR(VLOOKUP($B82, 'DAY 2 SCORES'!$B:$E, 4, FALSE), 0)</f>
        <v>0</v>
      </c>
      <c r="L82" s="259">
        <f>IF(B82="", 999, D82 - (H82/10000) - (I82/1000000) - (J82/100000000) - (K82/10000000000))</f>
        <v>999</v>
      </c>
    </row>
    <row r="83" spans="1:12" ht="15">
      <c r="A83" s="264" t="str">
        <f>IF(B83="", "", RANK(L83, $L$5:$L$124, 1))</f>
        <v/>
      </c>
      <c r="B83" s="266" t="str">
        <f>IF(REGISTRATION!$B80="", "", REGISTRATION!$B80)</f>
        <v/>
      </c>
      <c r="C83" s="268" t="str">
        <f>IF(B83="", "", REGISTRATION!$C80)</f>
        <v/>
      </c>
      <c r="D83" s="129">
        <f>F83 + G83</f>
        <v>240</v>
      </c>
      <c r="E83" s="267" t="str">
        <f>IF($B83="", "", H83 &amp; " / " &amp; I83 &amp; " / " &amp; J83 &amp; " / " &amp; K83)</f>
        <v/>
      </c>
      <c r="F83" s="259">
        <f>IFERROR(VLOOKUP($B83, 'DAY 1 SCORES'!$B:$H, 7, FALSE), 0)</f>
        <v>120</v>
      </c>
      <c r="G83" s="259">
        <f>IFERROR(VLOOKUP($B83, 'DAY 2 SCORES'!$B:$H, 7, FALSE), 0)</f>
        <v>120</v>
      </c>
      <c r="H83" s="259">
        <f>IFERROR(VLOOKUP($B83, 'DAY 1 SCORES'!$B:$D, 3, FALSE), 0) + IFERROR(VLOOKUP($B83, 'DAY 2 SCORES'!$B:$D, 3, FALSE), 0)</f>
        <v>0</v>
      </c>
      <c r="I83" s="259">
        <f>IFERROR(VLOOKUP($B83, 'DAY 1 SCORES'!$B:$F, 5, FALSE), 0) + IFERROR(VLOOKUP($B83, 'DAY 2 SCORES'!$B:$F, 5, FALSE), 0)</f>
        <v>0</v>
      </c>
      <c r="J83" s="259">
        <f>MAX(IFERROR(VLOOKUP($B83, 'DAY 1 SCORES'!$B:$G, 6, FALSE), 0), IFERROR(VLOOKUP($B83, 'DAY 2 SCORES'!$B:$G, 6, FALSE), 0))</f>
        <v>0</v>
      </c>
      <c r="K83" s="259">
        <f>IFERROR(VLOOKUP($B83, 'DAY 1 SCORES'!$B:$E, 4, FALSE), 0) + IFERROR(VLOOKUP($B83, 'DAY 2 SCORES'!$B:$E, 4, FALSE), 0)</f>
        <v>0</v>
      </c>
      <c r="L83" s="259">
        <f>IF(B83="", 999, D83 - (H83/10000) - (I83/1000000) - (J83/100000000) - (K83/10000000000))</f>
        <v>999</v>
      </c>
    </row>
    <row r="84" spans="1:12" ht="15">
      <c r="A84" s="264" t="str">
        <f>IF(B84="", "", RANK(L84, $L$5:$L$124, 1))</f>
        <v/>
      </c>
      <c r="B84" s="266" t="str">
        <f>IF(REGISTRATION!$B81="", "", REGISTRATION!$B81)</f>
        <v/>
      </c>
      <c r="C84" s="268" t="str">
        <f>IF(B84="", "", REGISTRATION!$C81)</f>
        <v/>
      </c>
      <c r="D84" s="129">
        <f>F84 + G84</f>
        <v>240</v>
      </c>
      <c r="E84" s="267" t="str">
        <f>IF($B84="", "", H84 &amp; " / " &amp; I84 &amp; " / " &amp; J84 &amp; " / " &amp; K84)</f>
        <v/>
      </c>
      <c r="F84" s="259">
        <f>IFERROR(VLOOKUP($B84, 'DAY 1 SCORES'!$B:$H, 7, FALSE), 0)</f>
        <v>120</v>
      </c>
      <c r="G84" s="259">
        <f>IFERROR(VLOOKUP($B84, 'DAY 2 SCORES'!$B:$H, 7, FALSE), 0)</f>
        <v>120</v>
      </c>
      <c r="H84" s="259">
        <f>IFERROR(VLOOKUP($B84, 'DAY 1 SCORES'!$B:$D, 3, FALSE), 0) + IFERROR(VLOOKUP($B84, 'DAY 2 SCORES'!$B:$D, 3, FALSE), 0)</f>
        <v>0</v>
      </c>
      <c r="I84" s="259">
        <f>IFERROR(VLOOKUP($B84, 'DAY 1 SCORES'!$B:$F, 5, FALSE), 0) + IFERROR(VLOOKUP($B84, 'DAY 2 SCORES'!$B:$F, 5, FALSE), 0)</f>
        <v>0</v>
      </c>
      <c r="J84" s="259">
        <f>MAX(IFERROR(VLOOKUP($B84, 'DAY 1 SCORES'!$B:$G, 6, FALSE), 0), IFERROR(VLOOKUP($B84, 'DAY 2 SCORES'!$B:$G, 6, FALSE), 0))</f>
        <v>0</v>
      </c>
      <c r="K84" s="259">
        <f>IFERROR(VLOOKUP($B84, 'DAY 1 SCORES'!$B:$E, 4, FALSE), 0) + IFERROR(VLOOKUP($B84, 'DAY 2 SCORES'!$B:$E, 4, FALSE), 0)</f>
        <v>0</v>
      </c>
      <c r="L84" s="259">
        <f>IF(B84="", 999, D84 - (H84/10000) - (I84/1000000) - (J84/100000000) - (K84/10000000000))</f>
        <v>999</v>
      </c>
    </row>
    <row r="85" spans="1:12" ht="15">
      <c r="A85" s="264" t="str">
        <f>IF(B85="", "", RANK(L85, $L$5:$L$124, 1))</f>
        <v/>
      </c>
      <c r="B85" s="266" t="str">
        <f>IF(REGISTRATION!$B82="", "", REGISTRATION!$B82)</f>
        <v/>
      </c>
      <c r="C85" s="268" t="str">
        <f>IF(B85="", "", REGISTRATION!$C82)</f>
        <v/>
      </c>
      <c r="D85" s="129">
        <f>F85 + G85</f>
        <v>240</v>
      </c>
      <c r="E85" s="267" t="str">
        <f>IF($B85="", "", H85 &amp; " / " &amp; I85 &amp; " / " &amp; J85 &amp; " / " &amp; K85)</f>
        <v/>
      </c>
      <c r="F85" s="259">
        <f>IFERROR(VLOOKUP($B85, 'DAY 1 SCORES'!$B:$H, 7, FALSE), 0)</f>
        <v>120</v>
      </c>
      <c r="G85" s="259">
        <f>IFERROR(VLOOKUP($B85, 'DAY 2 SCORES'!$B:$H, 7, FALSE), 0)</f>
        <v>120</v>
      </c>
      <c r="H85" s="259">
        <f>IFERROR(VLOOKUP($B85, 'DAY 1 SCORES'!$B:$D, 3, FALSE), 0) + IFERROR(VLOOKUP($B85, 'DAY 2 SCORES'!$B:$D, 3, FALSE), 0)</f>
        <v>0</v>
      </c>
      <c r="I85" s="259">
        <f>IFERROR(VLOOKUP($B85, 'DAY 1 SCORES'!$B:$F, 5, FALSE), 0) + IFERROR(VLOOKUP($B85, 'DAY 2 SCORES'!$B:$F, 5, FALSE), 0)</f>
        <v>0</v>
      </c>
      <c r="J85" s="259">
        <f>MAX(IFERROR(VLOOKUP($B85, 'DAY 1 SCORES'!$B:$G, 6, FALSE), 0), IFERROR(VLOOKUP($B85, 'DAY 2 SCORES'!$B:$G, 6, FALSE), 0))</f>
        <v>0</v>
      </c>
      <c r="K85" s="259">
        <f>IFERROR(VLOOKUP($B85, 'DAY 1 SCORES'!$B:$E, 4, FALSE), 0) + IFERROR(VLOOKUP($B85, 'DAY 2 SCORES'!$B:$E, 4, FALSE), 0)</f>
        <v>0</v>
      </c>
      <c r="L85" s="259">
        <f>IF(B85="", 999, D85 - (H85/10000) - (I85/1000000) - (J85/100000000) - (K85/10000000000))</f>
        <v>999</v>
      </c>
    </row>
    <row r="86" spans="1:12" ht="15">
      <c r="A86" s="264" t="str">
        <f>IF(B86="", "", RANK(L86, $L$5:$L$124, 1))</f>
        <v/>
      </c>
      <c r="B86" s="266" t="str">
        <f>IF(REGISTRATION!$B83="", "", REGISTRATION!$B83)</f>
        <v/>
      </c>
      <c r="C86" s="268" t="str">
        <f>IF(B86="", "", REGISTRATION!$C83)</f>
        <v/>
      </c>
      <c r="D86" s="129">
        <f>F86 + G86</f>
        <v>240</v>
      </c>
      <c r="E86" s="267" t="str">
        <f>IF($B86="", "", H86 &amp; " / " &amp; I86 &amp; " / " &amp; J86 &amp; " / " &amp; K86)</f>
        <v/>
      </c>
      <c r="F86" s="259">
        <f>IFERROR(VLOOKUP($B86, 'DAY 1 SCORES'!$B:$H, 7, FALSE), 0)</f>
        <v>120</v>
      </c>
      <c r="G86" s="259">
        <f>IFERROR(VLOOKUP($B86, 'DAY 2 SCORES'!$B:$H, 7, FALSE), 0)</f>
        <v>120</v>
      </c>
      <c r="H86" s="259">
        <f>IFERROR(VLOOKUP($B86, 'DAY 1 SCORES'!$B:$D, 3, FALSE), 0) + IFERROR(VLOOKUP($B86, 'DAY 2 SCORES'!$B:$D, 3, FALSE), 0)</f>
        <v>0</v>
      </c>
      <c r="I86" s="259">
        <f>IFERROR(VLOOKUP($B86, 'DAY 1 SCORES'!$B:$F, 5, FALSE), 0) + IFERROR(VLOOKUP($B86, 'DAY 2 SCORES'!$B:$F, 5, FALSE), 0)</f>
        <v>0</v>
      </c>
      <c r="J86" s="259">
        <f>MAX(IFERROR(VLOOKUP($B86, 'DAY 1 SCORES'!$B:$G, 6, FALSE), 0), IFERROR(VLOOKUP($B86, 'DAY 2 SCORES'!$B:$G, 6, FALSE), 0))</f>
        <v>0</v>
      </c>
      <c r="K86" s="259">
        <f>IFERROR(VLOOKUP($B86, 'DAY 1 SCORES'!$B:$E, 4, FALSE), 0) + IFERROR(VLOOKUP($B86, 'DAY 2 SCORES'!$B:$E, 4, FALSE), 0)</f>
        <v>0</v>
      </c>
      <c r="L86" s="259">
        <f>IF(B86="", 999, D86 - (H86/10000) - (I86/1000000) - (J86/100000000) - (K86/10000000000))</f>
        <v>999</v>
      </c>
    </row>
    <row r="87" spans="1:12" ht="15">
      <c r="A87" s="264" t="str">
        <f>IF(B87="", "", RANK(L87, $L$5:$L$124, 1))</f>
        <v/>
      </c>
      <c r="B87" s="266" t="str">
        <f>IF(REGISTRATION!$B84="", "", REGISTRATION!$B84)</f>
        <v/>
      </c>
      <c r="C87" s="268" t="str">
        <f>IF(B87="", "", REGISTRATION!$C84)</f>
        <v/>
      </c>
      <c r="D87" s="129">
        <f>F87 + G87</f>
        <v>240</v>
      </c>
      <c r="E87" s="267" t="str">
        <f>IF($B87="", "", H87 &amp; " / " &amp; I87 &amp; " / " &amp; J87 &amp; " / " &amp; K87)</f>
        <v/>
      </c>
      <c r="F87" s="259">
        <f>IFERROR(VLOOKUP($B87, 'DAY 1 SCORES'!$B:$H, 7, FALSE), 0)</f>
        <v>120</v>
      </c>
      <c r="G87" s="259">
        <f>IFERROR(VLOOKUP($B87, 'DAY 2 SCORES'!$B:$H, 7, FALSE), 0)</f>
        <v>120</v>
      </c>
      <c r="H87" s="259">
        <f>IFERROR(VLOOKUP($B87, 'DAY 1 SCORES'!$B:$D, 3, FALSE), 0) + IFERROR(VLOOKUP($B87, 'DAY 2 SCORES'!$B:$D, 3, FALSE), 0)</f>
        <v>0</v>
      </c>
      <c r="I87" s="259">
        <f>IFERROR(VLOOKUP($B87, 'DAY 1 SCORES'!$B:$F, 5, FALSE), 0) + IFERROR(VLOOKUP($B87, 'DAY 2 SCORES'!$B:$F, 5, FALSE), 0)</f>
        <v>0</v>
      </c>
      <c r="J87" s="259">
        <f>MAX(IFERROR(VLOOKUP($B87, 'DAY 1 SCORES'!$B:$G, 6, FALSE), 0), IFERROR(VLOOKUP($B87, 'DAY 2 SCORES'!$B:$G, 6, FALSE), 0))</f>
        <v>0</v>
      </c>
      <c r="K87" s="259">
        <f>IFERROR(VLOOKUP($B87, 'DAY 1 SCORES'!$B:$E, 4, FALSE), 0) + IFERROR(VLOOKUP($B87, 'DAY 2 SCORES'!$B:$E, 4, FALSE), 0)</f>
        <v>0</v>
      </c>
      <c r="L87" s="259">
        <f>IF(B87="", 999, D87 - (H87/10000) - (I87/1000000) - (J87/100000000) - (K87/10000000000))</f>
        <v>999</v>
      </c>
    </row>
    <row r="88" spans="1:12" ht="15">
      <c r="A88" s="264" t="str">
        <f>IF(B88="", "", RANK(L88, $L$5:$L$124, 1))</f>
        <v/>
      </c>
      <c r="B88" s="266" t="str">
        <f>IF(REGISTRATION!$B85="", "", REGISTRATION!$B85)</f>
        <v/>
      </c>
      <c r="C88" s="268" t="str">
        <f>IF(B88="", "", REGISTRATION!$C85)</f>
        <v/>
      </c>
      <c r="D88" s="129">
        <f>F88 + G88</f>
        <v>240</v>
      </c>
      <c r="E88" s="267" t="str">
        <f>IF($B88="", "", H88 &amp; " / " &amp; I88 &amp; " / " &amp; J88 &amp; " / " &amp; K88)</f>
        <v/>
      </c>
      <c r="F88" s="259">
        <f>IFERROR(VLOOKUP($B88, 'DAY 1 SCORES'!$B:$H, 7, FALSE), 0)</f>
        <v>120</v>
      </c>
      <c r="G88" s="259">
        <f>IFERROR(VLOOKUP($B88, 'DAY 2 SCORES'!$B:$H, 7, FALSE), 0)</f>
        <v>120</v>
      </c>
      <c r="H88" s="259">
        <f>IFERROR(VLOOKUP($B88, 'DAY 1 SCORES'!$B:$D, 3, FALSE), 0) + IFERROR(VLOOKUP($B88, 'DAY 2 SCORES'!$B:$D, 3, FALSE), 0)</f>
        <v>0</v>
      </c>
      <c r="I88" s="259">
        <f>IFERROR(VLOOKUP($B88, 'DAY 1 SCORES'!$B:$F, 5, FALSE), 0) + IFERROR(VLOOKUP($B88, 'DAY 2 SCORES'!$B:$F, 5, FALSE), 0)</f>
        <v>0</v>
      </c>
      <c r="J88" s="259">
        <f>MAX(IFERROR(VLOOKUP($B88, 'DAY 1 SCORES'!$B:$G, 6, FALSE), 0), IFERROR(VLOOKUP($B88, 'DAY 2 SCORES'!$B:$G, 6, FALSE), 0))</f>
        <v>0</v>
      </c>
      <c r="K88" s="259">
        <f>IFERROR(VLOOKUP($B88, 'DAY 1 SCORES'!$B:$E, 4, FALSE), 0) + IFERROR(VLOOKUP($B88, 'DAY 2 SCORES'!$B:$E, 4, FALSE), 0)</f>
        <v>0</v>
      </c>
      <c r="L88" s="259">
        <f>IF(B88="", 999, D88 - (H88/10000) - (I88/1000000) - (J88/100000000) - (K88/10000000000))</f>
        <v>999</v>
      </c>
    </row>
    <row r="89" spans="1:12" ht="15">
      <c r="A89" s="264" t="str">
        <f>IF(B89="", "", RANK(L89, $L$5:$L$124, 1))</f>
        <v/>
      </c>
      <c r="B89" s="266" t="str">
        <f>IF(REGISTRATION!$B86="", "", REGISTRATION!$B86)</f>
        <v/>
      </c>
      <c r="C89" s="268" t="str">
        <f>IF(B89="", "", REGISTRATION!$C86)</f>
        <v/>
      </c>
      <c r="D89" s="129">
        <f>F89 + G89</f>
        <v>240</v>
      </c>
      <c r="E89" s="267" t="str">
        <f>IF($B89="", "", H89 &amp; " / " &amp; I89 &amp; " / " &amp; J89 &amp; " / " &amp; K89)</f>
        <v/>
      </c>
      <c r="F89" s="259">
        <f>IFERROR(VLOOKUP($B89, 'DAY 1 SCORES'!$B:$H, 7, FALSE), 0)</f>
        <v>120</v>
      </c>
      <c r="G89" s="259">
        <f>IFERROR(VLOOKUP($B89, 'DAY 2 SCORES'!$B:$H, 7, FALSE), 0)</f>
        <v>120</v>
      </c>
      <c r="H89" s="259">
        <f>IFERROR(VLOOKUP($B89, 'DAY 1 SCORES'!$B:$D, 3, FALSE), 0) + IFERROR(VLOOKUP($B89, 'DAY 2 SCORES'!$B:$D, 3, FALSE), 0)</f>
        <v>0</v>
      </c>
      <c r="I89" s="259">
        <f>IFERROR(VLOOKUP($B89, 'DAY 1 SCORES'!$B:$F, 5, FALSE), 0) + IFERROR(VLOOKUP($B89, 'DAY 2 SCORES'!$B:$F, 5, FALSE), 0)</f>
        <v>0</v>
      </c>
      <c r="J89" s="259">
        <f>MAX(IFERROR(VLOOKUP($B89, 'DAY 1 SCORES'!$B:$G, 6, FALSE), 0), IFERROR(VLOOKUP($B89, 'DAY 2 SCORES'!$B:$G, 6, FALSE), 0))</f>
        <v>0</v>
      </c>
      <c r="K89" s="259">
        <f>IFERROR(VLOOKUP($B89, 'DAY 1 SCORES'!$B:$E, 4, FALSE), 0) + IFERROR(VLOOKUP($B89, 'DAY 2 SCORES'!$B:$E, 4, FALSE), 0)</f>
        <v>0</v>
      </c>
      <c r="L89" s="259">
        <f>IF(B89="", 999, D89 - (H89/10000) - (I89/1000000) - (J89/100000000) - (K89/10000000000))</f>
        <v>999</v>
      </c>
    </row>
    <row r="90" spans="1:12" ht="15">
      <c r="A90" s="264" t="str">
        <f>IF(B90="", "", RANK(L90, $L$5:$L$124, 1))</f>
        <v/>
      </c>
      <c r="B90" s="266" t="str">
        <f>IF(REGISTRATION!$B87="", "", REGISTRATION!$B87)</f>
        <v/>
      </c>
      <c r="C90" s="268" t="str">
        <f>IF(B90="", "", REGISTRATION!$C87)</f>
        <v/>
      </c>
      <c r="D90" s="129">
        <f>F90 + G90</f>
        <v>240</v>
      </c>
      <c r="E90" s="267" t="str">
        <f>IF($B90="", "", H90 &amp; " / " &amp; I90 &amp; " / " &amp; J90 &amp; " / " &amp; K90)</f>
        <v/>
      </c>
      <c r="F90" s="259">
        <f>IFERROR(VLOOKUP($B90, 'DAY 1 SCORES'!$B:$H, 7, FALSE), 0)</f>
        <v>120</v>
      </c>
      <c r="G90" s="259">
        <f>IFERROR(VLOOKUP($B90, 'DAY 2 SCORES'!$B:$H, 7, FALSE), 0)</f>
        <v>120</v>
      </c>
      <c r="H90" s="259">
        <f>IFERROR(VLOOKUP($B90, 'DAY 1 SCORES'!$B:$D, 3, FALSE), 0) + IFERROR(VLOOKUP($B90, 'DAY 2 SCORES'!$B:$D, 3, FALSE), 0)</f>
        <v>0</v>
      </c>
      <c r="I90" s="259">
        <f>IFERROR(VLOOKUP($B90, 'DAY 1 SCORES'!$B:$F, 5, FALSE), 0) + IFERROR(VLOOKUP($B90, 'DAY 2 SCORES'!$B:$F, 5, FALSE), 0)</f>
        <v>0</v>
      </c>
      <c r="J90" s="259">
        <f>MAX(IFERROR(VLOOKUP($B90, 'DAY 1 SCORES'!$B:$G, 6, FALSE), 0), IFERROR(VLOOKUP($B90, 'DAY 2 SCORES'!$B:$G, 6, FALSE), 0))</f>
        <v>0</v>
      </c>
      <c r="K90" s="259">
        <f>IFERROR(VLOOKUP($B90, 'DAY 1 SCORES'!$B:$E, 4, FALSE), 0) + IFERROR(VLOOKUP($B90, 'DAY 2 SCORES'!$B:$E, 4, FALSE), 0)</f>
        <v>0</v>
      </c>
      <c r="L90" s="259">
        <f>IF(B90="", 999, D90 - (H90/10000) - (I90/1000000) - (J90/100000000) - (K90/10000000000))</f>
        <v>999</v>
      </c>
    </row>
    <row r="91" spans="1:12" ht="15">
      <c r="A91" s="264" t="str">
        <f>IF(B91="", "", RANK(L91, $L$5:$L$124, 1))</f>
        <v/>
      </c>
      <c r="B91" s="266" t="str">
        <f>IF(REGISTRATION!$B88="", "", REGISTRATION!$B88)</f>
        <v/>
      </c>
      <c r="C91" s="268" t="str">
        <f>IF(B91="", "", REGISTRATION!$C88)</f>
        <v/>
      </c>
      <c r="D91" s="129">
        <f>F91 + G91</f>
        <v>240</v>
      </c>
      <c r="E91" s="267" t="str">
        <f>IF($B91="", "", H91 &amp; " / " &amp; I91 &amp; " / " &amp; J91 &amp; " / " &amp; K91)</f>
        <v/>
      </c>
      <c r="F91" s="259">
        <f>IFERROR(VLOOKUP($B91, 'DAY 1 SCORES'!$B:$H, 7, FALSE), 0)</f>
        <v>120</v>
      </c>
      <c r="G91" s="259">
        <f>IFERROR(VLOOKUP($B91, 'DAY 2 SCORES'!$B:$H, 7, FALSE), 0)</f>
        <v>120</v>
      </c>
      <c r="H91" s="259">
        <f>IFERROR(VLOOKUP($B91, 'DAY 1 SCORES'!$B:$D, 3, FALSE), 0) + IFERROR(VLOOKUP($B91, 'DAY 2 SCORES'!$B:$D, 3, FALSE), 0)</f>
        <v>0</v>
      </c>
      <c r="I91" s="259">
        <f>IFERROR(VLOOKUP($B91, 'DAY 1 SCORES'!$B:$F, 5, FALSE), 0) + IFERROR(VLOOKUP($B91, 'DAY 2 SCORES'!$B:$F, 5, FALSE), 0)</f>
        <v>0</v>
      </c>
      <c r="J91" s="259">
        <f>MAX(IFERROR(VLOOKUP($B91, 'DAY 1 SCORES'!$B:$G, 6, FALSE), 0), IFERROR(VLOOKUP($B91, 'DAY 2 SCORES'!$B:$G, 6, FALSE), 0))</f>
        <v>0</v>
      </c>
      <c r="K91" s="259">
        <f>IFERROR(VLOOKUP($B91, 'DAY 1 SCORES'!$B:$E, 4, FALSE), 0) + IFERROR(VLOOKUP($B91, 'DAY 2 SCORES'!$B:$E, 4, FALSE), 0)</f>
        <v>0</v>
      </c>
      <c r="L91" s="259">
        <f>IF(B91="", 999, D91 - (H91/10000) - (I91/1000000) - (J91/100000000) - (K91/10000000000))</f>
        <v>999</v>
      </c>
    </row>
    <row r="92" spans="1:12" ht="15">
      <c r="A92" s="264" t="str">
        <f>IF(B92="", "", RANK(L92, $L$5:$L$124, 1))</f>
        <v/>
      </c>
      <c r="B92" s="266" t="str">
        <f>IF(REGISTRATION!$B89="", "", REGISTRATION!$B89)</f>
        <v/>
      </c>
      <c r="C92" s="268" t="str">
        <f>IF(B92="", "", REGISTRATION!$C89)</f>
        <v/>
      </c>
      <c r="D92" s="129">
        <f>F92 + G92</f>
        <v>240</v>
      </c>
      <c r="E92" s="267" t="str">
        <f>IF($B92="", "", H92 &amp; " / " &amp; I92 &amp; " / " &amp; J92 &amp; " / " &amp; K92)</f>
        <v/>
      </c>
      <c r="F92" s="259">
        <f>IFERROR(VLOOKUP($B92, 'DAY 1 SCORES'!$B:$H, 7, FALSE), 0)</f>
        <v>120</v>
      </c>
      <c r="G92" s="259">
        <f>IFERROR(VLOOKUP($B92, 'DAY 2 SCORES'!$B:$H, 7, FALSE), 0)</f>
        <v>120</v>
      </c>
      <c r="H92" s="259">
        <f>IFERROR(VLOOKUP($B92, 'DAY 1 SCORES'!$B:$D, 3, FALSE), 0) + IFERROR(VLOOKUP($B92, 'DAY 2 SCORES'!$B:$D, 3, FALSE), 0)</f>
        <v>0</v>
      </c>
      <c r="I92" s="259">
        <f>IFERROR(VLOOKUP($B92, 'DAY 1 SCORES'!$B:$F, 5, FALSE), 0) + IFERROR(VLOOKUP($B92, 'DAY 2 SCORES'!$B:$F, 5, FALSE), 0)</f>
        <v>0</v>
      </c>
      <c r="J92" s="259">
        <f>MAX(IFERROR(VLOOKUP($B92, 'DAY 1 SCORES'!$B:$G, 6, FALSE), 0), IFERROR(VLOOKUP($B92, 'DAY 2 SCORES'!$B:$G, 6, FALSE), 0))</f>
        <v>0</v>
      </c>
      <c r="K92" s="259">
        <f>IFERROR(VLOOKUP($B92, 'DAY 1 SCORES'!$B:$E, 4, FALSE), 0) + IFERROR(VLOOKUP($B92, 'DAY 2 SCORES'!$B:$E, 4, FALSE), 0)</f>
        <v>0</v>
      </c>
      <c r="L92" s="259">
        <f>IF(B92="", 999, D92 - (H92/10000) - (I92/1000000) - (J92/100000000) - (K92/10000000000))</f>
        <v>999</v>
      </c>
    </row>
    <row r="93" spans="1:12" ht="15">
      <c r="A93" s="264" t="str">
        <f>IF(B93="", "", RANK(L93, $L$5:$L$124, 1))</f>
        <v/>
      </c>
      <c r="B93" s="266" t="str">
        <f>IF(REGISTRATION!$B90="", "", REGISTRATION!$B90)</f>
        <v/>
      </c>
      <c r="C93" s="268" t="str">
        <f>IF(B93="", "", REGISTRATION!$C90)</f>
        <v/>
      </c>
      <c r="D93" s="129">
        <f>F93 + G93</f>
        <v>240</v>
      </c>
      <c r="E93" s="267" t="str">
        <f>IF($B93="", "", H93 &amp; " / " &amp; I93 &amp; " / " &amp; J93 &amp; " / " &amp; K93)</f>
        <v/>
      </c>
      <c r="F93" s="259">
        <f>IFERROR(VLOOKUP($B93, 'DAY 1 SCORES'!$B:$H, 7, FALSE), 0)</f>
        <v>120</v>
      </c>
      <c r="G93" s="259">
        <f>IFERROR(VLOOKUP($B93, 'DAY 2 SCORES'!$B:$H, 7, FALSE), 0)</f>
        <v>120</v>
      </c>
      <c r="H93" s="259">
        <f>IFERROR(VLOOKUP($B93, 'DAY 1 SCORES'!$B:$D, 3, FALSE), 0) + IFERROR(VLOOKUP($B93, 'DAY 2 SCORES'!$B:$D, 3, FALSE), 0)</f>
        <v>0</v>
      </c>
      <c r="I93" s="259">
        <f>IFERROR(VLOOKUP($B93, 'DAY 1 SCORES'!$B:$F, 5, FALSE), 0) + IFERROR(VLOOKUP($B93, 'DAY 2 SCORES'!$B:$F, 5, FALSE), 0)</f>
        <v>0</v>
      </c>
      <c r="J93" s="259">
        <f>MAX(IFERROR(VLOOKUP($B93, 'DAY 1 SCORES'!$B:$G, 6, FALSE), 0), IFERROR(VLOOKUP($B93, 'DAY 2 SCORES'!$B:$G, 6, FALSE), 0))</f>
        <v>0</v>
      </c>
      <c r="K93" s="259">
        <f>IFERROR(VLOOKUP($B93, 'DAY 1 SCORES'!$B:$E, 4, FALSE), 0) + IFERROR(VLOOKUP($B93, 'DAY 2 SCORES'!$B:$E, 4, FALSE), 0)</f>
        <v>0</v>
      </c>
      <c r="L93" s="259">
        <f>IF(B93="", 999, D93 - (H93/10000) - (I93/1000000) - (J93/100000000) - (K93/10000000000))</f>
        <v>999</v>
      </c>
    </row>
    <row r="94" spans="1:12" ht="15">
      <c r="A94" s="264" t="str">
        <f>IF(B94="", "", RANK(L94, $L$5:$L$124, 1))</f>
        <v/>
      </c>
      <c r="B94" s="266" t="str">
        <f>IF(REGISTRATION!$B91="", "", REGISTRATION!$B91)</f>
        <v/>
      </c>
      <c r="C94" s="268" t="str">
        <f>IF(B94="", "", REGISTRATION!$C91)</f>
        <v/>
      </c>
      <c r="D94" s="129">
        <f>F94 + G94</f>
        <v>240</v>
      </c>
      <c r="E94" s="267" t="str">
        <f>IF($B94="", "", H94 &amp; " / " &amp; I94 &amp; " / " &amp; J94 &amp; " / " &amp; K94)</f>
        <v/>
      </c>
      <c r="F94" s="259">
        <f>IFERROR(VLOOKUP($B94, 'DAY 1 SCORES'!$B:$H, 7, FALSE), 0)</f>
        <v>120</v>
      </c>
      <c r="G94" s="259">
        <f>IFERROR(VLOOKUP($B94, 'DAY 2 SCORES'!$B:$H, 7, FALSE), 0)</f>
        <v>120</v>
      </c>
      <c r="H94" s="259">
        <f>IFERROR(VLOOKUP($B94, 'DAY 1 SCORES'!$B:$D, 3, FALSE), 0) + IFERROR(VLOOKUP($B94, 'DAY 2 SCORES'!$B:$D, 3, FALSE), 0)</f>
        <v>0</v>
      </c>
      <c r="I94" s="259">
        <f>IFERROR(VLOOKUP($B94, 'DAY 1 SCORES'!$B:$F, 5, FALSE), 0) + IFERROR(VLOOKUP($B94, 'DAY 2 SCORES'!$B:$F, 5, FALSE), 0)</f>
        <v>0</v>
      </c>
      <c r="J94" s="259">
        <f>MAX(IFERROR(VLOOKUP($B94, 'DAY 1 SCORES'!$B:$G, 6, FALSE), 0), IFERROR(VLOOKUP($B94, 'DAY 2 SCORES'!$B:$G, 6, FALSE), 0))</f>
        <v>0</v>
      </c>
      <c r="K94" s="259">
        <f>IFERROR(VLOOKUP($B94, 'DAY 1 SCORES'!$B:$E, 4, FALSE), 0) + IFERROR(VLOOKUP($B94, 'DAY 2 SCORES'!$B:$E, 4, FALSE), 0)</f>
        <v>0</v>
      </c>
      <c r="L94" s="259">
        <f>IF(B94="", 999, D94 - (H94/10000) - (I94/1000000) - (J94/100000000) - (K94/10000000000))</f>
        <v>999</v>
      </c>
    </row>
    <row r="95" spans="1:12" ht="15">
      <c r="A95" s="264" t="str">
        <f>IF(B95="", "", RANK(L95, $L$5:$L$124, 1))</f>
        <v/>
      </c>
      <c r="B95" s="266" t="str">
        <f>IF(REGISTRATION!$B92="", "", REGISTRATION!$B92)</f>
        <v/>
      </c>
      <c r="C95" s="268" t="str">
        <f>IF(B95="", "", REGISTRATION!$C92)</f>
        <v/>
      </c>
      <c r="D95" s="129">
        <f>F95 + G95</f>
        <v>240</v>
      </c>
      <c r="E95" s="267" t="str">
        <f>IF($B95="", "", H95 &amp; " / " &amp; I95 &amp; " / " &amp; J95 &amp; " / " &amp; K95)</f>
        <v/>
      </c>
      <c r="F95" s="259">
        <f>IFERROR(VLOOKUP($B95, 'DAY 1 SCORES'!$B:$H, 7, FALSE), 0)</f>
        <v>120</v>
      </c>
      <c r="G95" s="259">
        <f>IFERROR(VLOOKUP($B95, 'DAY 2 SCORES'!$B:$H, 7, FALSE), 0)</f>
        <v>120</v>
      </c>
      <c r="H95" s="259">
        <f>IFERROR(VLOOKUP($B95, 'DAY 1 SCORES'!$B:$D, 3, FALSE), 0) + IFERROR(VLOOKUP($B95, 'DAY 2 SCORES'!$B:$D, 3, FALSE), 0)</f>
        <v>0</v>
      </c>
      <c r="I95" s="259">
        <f>IFERROR(VLOOKUP($B95, 'DAY 1 SCORES'!$B:$F, 5, FALSE), 0) + IFERROR(VLOOKUP($B95, 'DAY 2 SCORES'!$B:$F, 5, FALSE), 0)</f>
        <v>0</v>
      </c>
      <c r="J95" s="259">
        <f>MAX(IFERROR(VLOOKUP($B95, 'DAY 1 SCORES'!$B:$G, 6, FALSE), 0), IFERROR(VLOOKUP($B95, 'DAY 2 SCORES'!$B:$G, 6, FALSE), 0))</f>
        <v>0</v>
      </c>
      <c r="K95" s="259">
        <f>IFERROR(VLOOKUP($B95, 'DAY 1 SCORES'!$B:$E, 4, FALSE), 0) + IFERROR(VLOOKUP($B95, 'DAY 2 SCORES'!$B:$E, 4, FALSE), 0)</f>
        <v>0</v>
      </c>
      <c r="L95" s="259">
        <f>IF(B95="", 999, D95 - (H95/10000) - (I95/1000000) - (J95/100000000) - (K95/10000000000))</f>
        <v>999</v>
      </c>
    </row>
    <row r="96" spans="1:12" ht="15">
      <c r="A96" s="264" t="str">
        <f>IF(B96="", "", RANK(L96, $L$5:$L$124, 1))</f>
        <v/>
      </c>
      <c r="B96" s="266" t="str">
        <f>IF(REGISTRATION!$B93="", "", REGISTRATION!$B93)</f>
        <v/>
      </c>
      <c r="C96" s="268" t="str">
        <f>IF(B96="", "", REGISTRATION!$C93)</f>
        <v/>
      </c>
      <c r="D96" s="129">
        <f>F96 + G96</f>
        <v>240</v>
      </c>
      <c r="E96" s="267" t="str">
        <f>IF($B96="", "", H96 &amp; " / " &amp; I96 &amp; " / " &amp; J96 &amp; " / " &amp; K96)</f>
        <v/>
      </c>
      <c r="F96" s="259">
        <f>IFERROR(VLOOKUP($B96, 'DAY 1 SCORES'!$B:$H, 7, FALSE), 0)</f>
        <v>120</v>
      </c>
      <c r="G96" s="259">
        <f>IFERROR(VLOOKUP($B96, 'DAY 2 SCORES'!$B:$H, 7, FALSE), 0)</f>
        <v>120</v>
      </c>
      <c r="H96" s="259">
        <f>IFERROR(VLOOKUP($B96, 'DAY 1 SCORES'!$B:$D, 3, FALSE), 0) + IFERROR(VLOOKUP($B96, 'DAY 2 SCORES'!$B:$D, 3, FALSE), 0)</f>
        <v>0</v>
      </c>
      <c r="I96" s="259">
        <f>IFERROR(VLOOKUP($B96, 'DAY 1 SCORES'!$B:$F, 5, FALSE), 0) + IFERROR(VLOOKUP($B96, 'DAY 2 SCORES'!$B:$F, 5, FALSE), 0)</f>
        <v>0</v>
      </c>
      <c r="J96" s="259">
        <f>MAX(IFERROR(VLOOKUP($B96, 'DAY 1 SCORES'!$B:$G, 6, FALSE), 0), IFERROR(VLOOKUP($B96, 'DAY 2 SCORES'!$B:$G, 6, FALSE), 0))</f>
        <v>0</v>
      </c>
      <c r="K96" s="259">
        <f>IFERROR(VLOOKUP($B96, 'DAY 1 SCORES'!$B:$E, 4, FALSE), 0) + IFERROR(VLOOKUP($B96, 'DAY 2 SCORES'!$B:$E, 4, FALSE), 0)</f>
        <v>0</v>
      </c>
      <c r="L96" s="259">
        <f>IF(B96="", 999, D96 - (H96/10000) - (I96/1000000) - (J96/100000000) - (K96/10000000000))</f>
        <v>999</v>
      </c>
    </row>
    <row r="97" spans="1:12" ht="15">
      <c r="A97" s="264" t="str">
        <f>IF(B97="", "", RANK(L97, $L$5:$L$124, 1))</f>
        <v/>
      </c>
      <c r="B97" s="266" t="str">
        <f>IF(REGISTRATION!$B94="", "", REGISTRATION!$B94)</f>
        <v/>
      </c>
      <c r="C97" s="268" t="str">
        <f>IF(B97="", "", REGISTRATION!$C94)</f>
        <v/>
      </c>
      <c r="D97" s="129">
        <f>F97 + G97</f>
        <v>240</v>
      </c>
      <c r="E97" s="267" t="str">
        <f>IF($B97="", "", H97 &amp; " / " &amp; I97 &amp; " / " &amp; J97 &amp; " / " &amp; K97)</f>
        <v/>
      </c>
      <c r="F97" s="259">
        <f>IFERROR(VLOOKUP($B97, 'DAY 1 SCORES'!$B:$H, 7, FALSE), 0)</f>
        <v>120</v>
      </c>
      <c r="G97" s="259">
        <f>IFERROR(VLOOKUP($B97, 'DAY 2 SCORES'!$B:$H, 7, FALSE), 0)</f>
        <v>120</v>
      </c>
      <c r="H97" s="259">
        <f>IFERROR(VLOOKUP($B97, 'DAY 1 SCORES'!$B:$D, 3, FALSE), 0) + IFERROR(VLOOKUP($B97, 'DAY 2 SCORES'!$B:$D, 3, FALSE), 0)</f>
        <v>0</v>
      </c>
      <c r="I97" s="259">
        <f>IFERROR(VLOOKUP($B97, 'DAY 1 SCORES'!$B:$F, 5, FALSE), 0) + IFERROR(VLOOKUP($B97, 'DAY 2 SCORES'!$B:$F, 5, FALSE), 0)</f>
        <v>0</v>
      </c>
      <c r="J97" s="259">
        <f>MAX(IFERROR(VLOOKUP($B97, 'DAY 1 SCORES'!$B:$G, 6, FALSE), 0), IFERROR(VLOOKUP($B97, 'DAY 2 SCORES'!$B:$G, 6, FALSE), 0))</f>
        <v>0</v>
      </c>
      <c r="K97" s="259">
        <f>IFERROR(VLOOKUP($B97, 'DAY 1 SCORES'!$B:$E, 4, FALSE), 0) + IFERROR(VLOOKUP($B97, 'DAY 2 SCORES'!$B:$E, 4, FALSE), 0)</f>
        <v>0</v>
      </c>
      <c r="L97" s="259">
        <f>IF(B97="", 999, D97 - (H97/10000) - (I97/1000000) - (J97/100000000) - (K97/10000000000))</f>
        <v>999</v>
      </c>
    </row>
    <row r="98" spans="1:12" ht="15">
      <c r="A98" s="264" t="str">
        <f>IF(B98="", "", RANK(L98, $L$5:$L$124, 1))</f>
        <v/>
      </c>
      <c r="B98" s="266" t="str">
        <f>IF(REGISTRATION!$B95="", "", REGISTRATION!$B95)</f>
        <v/>
      </c>
      <c r="C98" s="268" t="str">
        <f>IF(B98="", "", REGISTRATION!$C95)</f>
        <v/>
      </c>
      <c r="D98" s="129">
        <f>F98 + G98</f>
        <v>240</v>
      </c>
      <c r="E98" s="267" t="str">
        <f>IF($B98="", "", H98 &amp; " / " &amp; I98 &amp; " / " &amp; J98 &amp; " / " &amp; K98)</f>
        <v/>
      </c>
      <c r="F98" s="259">
        <f>IFERROR(VLOOKUP($B98, 'DAY 1 SCORES'!$B:$H, 7, FALSE), 0)</f>
        <v>120</v>
      </c>
      <c r="G98" s="259">
        <f>IFERROR(VLOOKUP($B98, 'DAY 2 SCORES'!$B:$H, 7, FALSE), 0)</f>
        <v>120</v>
      </c>
      <c r="H98" s="259">
        <f>IFERROR(VLOOKUP($B98, 'DAY 1 SCORES'!$B:$D, 3, FALSE), 0) + IFERROR(VLOOKUP($B98, 'DAY 2 SCORES'!$B:$D, 3, FALSE), 0)</f>
        <v>0</v>
      </c>
      <c r="I98" s="259">
        <f>IFERROR(VLOOKUP($B98, 'DAY 1 SCORES'!$B:$F, 5, FALSE), 0) + IFERROR(VLOOKUP($B98, 'DAY 2 SCORES'!$B:$F, 5, FALSE), 0)</f>
        <v>0</v>
      </c>
      <c r="J98" s="259">
        <f>MAX(IFERROR(VLOOKUP($B98, 'DAY 1 SCORES'!$B:$G, 6, FALSE), 0), IFERROR(VLOOKUP($B98, 'DAY 2 SCORES'!$B:$G, 6, FALSE), 0))</f>
        <v>0</v>
      </c>
      <c r="K98" s="259">
        <f>IFERROR(VLOOKUP($B98, 'DAY 1 SCORES'!$B:$E, 4, FALSE), 0) + IFERROR(VLOOKUP($B98, 'DAY 2 SCORES'!$B:$E, 4, FALSE), 0)</f>
        <v>0</v>
      </c>
      <c r="L98" s="259">
        <f>IF(B98="", 999, D98 - (H98/10000) - (I98/1000000) - (J98/100000000) - (K98/10000000000))</f>
        <v>999</v>
      </c>
    </row>
    <row r="99" spans="1:12" ht="15">
      <c r="A99" s="264" t="str">
        <f>IF(B99="", "", RANK(L99, $L$5:$L$124, 1))</f>
        <v/>
      </c>
      <c r="B99" s="266" t="str">
        <f>IF(REGISTRATION!$B96="", "", REGISTRATION!$B96)</f>
        <v/>
      </c>
      <c r="C99" s="268" t="str">
        <f>IF(B99="", "", REGISTRATION!$C96)</f>
        <v/>
      </c>
      <c r="D99" s="129">
        <f>F99 + G99</f>
        <v>240</v>
      </c>
      <c r="E99" s="267" t="str">
        <f>IF($B99="", "", H99 &amp; " / " &amp; I99 &amp; " / " &amp; J99 &amp; " / " &amp; K99)</f>
        <v/>
      </c>
      <c r="F99" s="259">
        <f>IFERROR(VLOOKUP($B99, 'DAY 1 SCORES'!$B:$H, 7, FALSE), 0)</f>
        <v>120</v>
      </c>
      <c r="G99" s="259">
        <f>IFERROR(VLOOKUP($B99, 'DAY 2 SCORES'!$B:$H, 7, FALSE), 0)</f>
        <v>120</v>
      </c>
      <c r="H99" s="259">
        <f>IFERROR(VLOOKUP($B99, 'DAY 1 SCORES'!$B:$D, 3, FALSE), 0) + IFERROR(VLOOKUP($B99, 'DAY 2 SCORES'!$B:$D, 3, FALSE), 0)</f>
        <v>0</v>
      </c>
      <c r="I99" s="259">
        <f>IFERROR(VLOOKUP($B99, 'DAY 1 SCORES'!$B:$F, 5, FALSE), 0) + IFERROR(VLOOKUP($B99, 'DAY 2 SCORES'!$B:$F, 5, FALSE), 0)</f>
        <v>0</v>
      </c>
      <c r="J99" s="259">
        <f>MAX(IFERROR(VLOOKUP($B99, 'DAY 1 SCORES'!$B:$G, 6, FALSE), 0), IFERROR(VLOOKUP($B99, 'DAY 2 SCORES'!$B:$G, 6, FALSE), 0))</f>
        <v>0</v>
      </c>
      <c r="K99" s="259">
        <f>IFERROR(VLOOKUP($B99, 'DAY 1 SCORES'!$B:$E, 4, FALSE), 0) + IFERROR(VLOOKUP($B99, 'DAY 2 SCORES'!$B:$E, 4, FALSE), 0)</f>
        <v>0</v>
      </c>
      <c r="L99" s="259">
        <f>IF(B99="", 999, D99 - (H99/10000) - (I99/1000000) - (J99/100000000) - (K99/10000000000))</f>
        <v>999</v>
      </c>
    </row>
    <row r="100" spans="1:12" ht="15">
      <c r="A100" s="264" t="str">
        <f>IF(B100="", "", RANK(L100, $L$5:$L$124, 1))</f>
        <v/>
      </c>
      <c r="B100" s="266" t="str">
        <f>IF(REGISTRATION!$B97="", "", REGISTRATION!$B97)</f>
        <v/>
      </c>
      <c r="C100" s="268" t="str">
        <f>IF(B100="", "", REGISTRATION!$C97)</f>
        <v/>
      </c>
      <c r="D100" s="129">
        <f>F100 + G100</f>
        <v>240</v>
      </c>
      <c r="E100" s="267" t="str">
        <f>IF($B100="", "", H100 &amp; " / " &amp; I100 &amp; " / " &amp; J100 &amp; " / " &amp; K100)</f>
        <v/>
      </c>
      <c r="F100" s="259">
        <f>IFERROR(VLOOKUP($B100, 'DAY 1 SCORES'!$B:$H, 7, FALSE), 0)</f>
        <v>120</v>
      </c>
      <c r="G100" s="259">
        <f>IFERROR(VLOOKUP($B100, 'DAY 2 SCORES'!$B:$H, 7, FALSE), 0)</f>
        <v>120</v>
      </c>
      <c r="H100" s="259">
        <f>IFERROR(VLOOKUP($B100, 'DAY 1 SCORES'!$B:$D, 3, FALSE), 0) + IFERROR(VLOOKUP($B100, 'DAY 2 SCORES'!$B:$D, 3, FALSE), 0)</f>
        <v>0</v>
      </c>
      <c r="I100" s="259">
        <f>IFERROR(VLOOKUP($B100, 'DAY 1 SCORES'!$B:$F, 5, FALSE), 0) + IFERROR(VLOOKUP($B100, 'DAY 2 SCORES'!$B:$F, 5, FALSE), 0)</f>
        <v>0</v>
      </c>
      <c r="J100" s="259">
        <f>MAX(IFERROR(VLOOKUP($B100, 'DAY 1 SCORES'!$B:$G, 6, FALSE), 0), IFERROR(VLOOKUP($B100, 'DAY 2 SCORES'!$B:$G, 6, FALSE), 0))</f>
        <v>0</v>
      </c>
      <c r="K100" s="259">
        <f>IFERROR(VLOOKUP($B100, 'DAY 1 SCORES'!$B:$E, 4, FALSE), 0) + IFERROR(VLOOKUP($B100, 'DAY 2 SCORES'!$B:$E, 4, FALSE), 0)</f>
        <v>0</v>
      </c>
      <c r="L100" s="259">
        <f>IF(B100="", 999, D100 - (H100/10000) - (I100/1000000) - (J100/100000000) - (K100/10000000000))</f>
        <v>999</v>
      </c>
    </row>
    <row r="101" spans="1:12" ht="15">
      <c r="A101" s="264" t="str">
        <f>IF(B101="", "", RANK(L101, $L$5:$L$124, 1))</f>
        <v/>
      </c>
      <c r="B101" s="266" t="str">
        <f>IF(REGISTRATION!$B98="", "", REGISTRATION!$B98)</f>
        <v/>
      </c>
      <c r="C101" s="268" t="str">
        <f>IF(B101="", "", REGISTRATION!$C98)</f>
        <v/>
      </c>
      <c r="D101" s="129">
        <f>F101 + G101</f>
        <v>240</v>
      </c>
      <c r="E101" s="267" t="str">
        <f>IF($B101="", "", H101 &amp; " / " &amp; I101 &amp; " / " &amp; J101 &amp; " / " &amp; K101)</f>
        <v/>
      </c>
      <c r="F101" s="259">
        <f>IFERROR(VLOOKUP($B101, 'DAY 1 SCORES'!$B:$H, 7, FALSE), 0)</f>
        <v>120</v>
      </c>
      <c r="G101" s="259">
        <f>IFERROR(VLOOKUP($B101, 'DAY 2 SCORES'!$B:$H, 7, FALSE), 0)</f>
        <v>120</v>
      </c>
      <c r="H101" s="259">
        <f>IFERROR(VLOOKUP($B101, 'DAY 1 SCORES'!$B:$D, 3, FALSE), 0) + IFERROR(VLOOKUP($B101, 'DAY 2 SCORES'!$B:$D, 3, FALSE), 0)</f>
        <v>0</v>
      </c>
      <c r="I101" s="259">
        <f>IFERROR(VLOOKUP($B101, 'DAY 1 SCORES'!$B:$F, 5, FALSE), 0) + IFERROR(VLOOKUP($B101, 'DAY 2 SCORES'!$B:$F, 5, FALSE), 0)</f>
        <v>0</v>
      </c>
      <c r="J101" s="259">
        <f>MAX(IFERROR(VLOOKUP($B101, 'DAY 1 SCORES'!$B:$G, 6, FALSE), 0), IFERROR(VLOOKUP($B101, 'DAY 2 SCORES'!$B:$G, 6, FALSE), 0))</f>
        <v>0</v>
      </c>
      <c r="K101" s="259">
        <f>IFERROR(VLOOKUP($B101, 'DAY 1 SCORES'!$B:$E, 4, FALSE), 0) + IFERROR(VLOOKUP($B101, 'DAY 2 SCORES'!$B:$E, 4, FALSE), 0)</f>
        <v>0</v>
      </c>
      <c r="L101" s="259">
        <f>IF(B101="", 999, D101 - (H101/10000) - (I101/1000000) - (J101/100000000) - (K101/10000000000))</f>
        <v>999</v>
      </c>
    </row>
    <row r="102" spans="1:12" ht="15">
      <c r="A102" s="264" t="str">
        <f>IF(B102="", "", RANK(L102, $L$5:$L$124, 1))</f>
        <v/>
      </c>
      <c r="B102" s="266" t="str">
        <f>IF(REGISTRATION!$B99="", "", REGISTRATION!$B99)</f>
        <v/>
      </c>
      <c r="C102" s="268" t="str">
        <f>IF(B102="", "", REGISTRATION!$C99)</f>
        <v/>
      </c>
      <c r="D102" s="129">
        <f>F102 + G102</f>
        <v>240</v>
      </c>
      <c r="E102" s="267" t="str">
        <f>IF($B102="", "", H102 &amp; " / " &amp; I102 &amp; " / " &amp; J102 &amp; " / " &amp; K102)</f>
        <v/>
      </c>
      <c r="F102" s="259">
        <f>IFERROR(VLOOKUP($B102, 'DAY 1 SCORES'!$B:$H, 7, FALSE), 0)</f>
        <v>120</v>
      </c>
      <c r="G102" s="259">
        <f>IFERROR(VLOOKUP($B102, 'DAY 2 SCORES'!$B:$H, 7, FALSE), 0)</f>
        <v>120</v>
      </c>
      <c r="H102" s="259">
        <f>IFERROR(VLOOKUP($B102, 'DAY 1 SCORES'!$B:$D, 3, FALSE), 0) + IFERROR(VLOOKUP($B102, 'DAY 2 SCORES'!$B:$D, 3, FALSE), 0)</f>
        <v>0</v>
      </c>
      <c r="I102" s="259">
        <f>IFERROR(VLOOKUP($B102, 'DAY 1 SCORES'!$B:$F, 5, FALSE), 0) + IFERROR(VLOOKUP($B102, 'DAY 2 SCORES'!$B:$F, 5, FALSE), 0)</f>
        <v>0</v>
      </c>
      <c r="J102" s="259">
        <f>MAX(IFERROR(VLOOKUP($B102, 'DAY 1 SCORES'!$B:$G, 6, FALSE), 0), IFERROR(VLOOKUP($B102, 'DAY 2 SCORES'!$B:$G, 6, FALSE), 0))</f>
        <v>0</v>
      </c>
      <c r="K102" s="259">
        <f>IFERROR(VLOOKUP($B102, 'DAY 1 SCORES'!$B:$E, 4, FALSE), 0) + IFERROR(VLOOKUP($B102, 'DAY 2 SCORES'!$B:$E, 4, FALSE), 0)</f>
        <v>0</v>
      </c>
      <c r="L102" s="259">
        <f>IF(B102="", 999, D102 - (H102/10000) - (I102/1000000) - (J102/100000000) - (K102/10000000000))</f>
        <v>999</v>
      </c>
    </row>
    <row r="103" spans="1:12" ht="15">
      <c r="A103" s="264" t="str">
        <f>IF(B103="", "", RANK(L103, $L$5:$L$124, 1))</f>
        <v/>
      </c>
      <c r="B103" s="266" t="str">
        <f>IF(REGISTRATION!$B100="", "", REGISTRATION!$B100)</f>
        <v/>
      </c>
      <c r="C103" s="268" t="str">
        <f>IF(B103="", "", REGISTRATION!$C100)</f>
        <v/>
      </c>
      <c r="D103" s="129">
        <f>F103 + G103</f>
        <v>240</v>
      </c>
      <c r="E103" s="267" t="str">
        <f>IF($B103="", "", H103 &amp; " / " &amp; I103 &amp; " / " &amp; J103 &amp; " / " &amp; K103)</f>
        <v/>
      </c>
      <c r="F103" s="259">
        <f>IFERROR(VLOOKUP($B103, 'DAY 1 SCORES'!$B:$H, 7, FALSE), 0)</f>
        <v>120</v>
      </c>
      <c r="G103" s="259">
        <f>IFERROR(VLOOKUP($B103, 'DAY 2 SCORES'!$B:$H, 7, FALSE), 0)</f>
        <v>120</v>
      </c>
      <c r="H103" s="259">
        <f>IFERROR(VLOOKUP($B103, 'DAY 1 SCORES'!$B:$D, 3, FALSE), 0) + IFERROR(VLOOKUP($B103, 'DAY 2 SCORES'!$B:$D, 3, FALSE), 0)</f>
        <v>0</v>
      </c>
      <c r="I103" s="259">
        <f>IFERROR(VLOOKUP($B103, 'DAY 1 SCORES'!$B:$F, 5, FALSE), 0) + IFERROR(VLOOKUP($B103, 'DAY 2 SCORES'!$B:$F, 5, FALSE), 0)</f>
        <v>0</v>
      </c>
      <c r="J103" s="259">
        <f>MAX(IFERROR(VLOOKUP($B103, 'DAY 1 SCORES'!$B:$G, 6, FALSE), 0), IFERROR(VLOOKUP($B103, 'DAY 2 SCORES'!$B:$G, 6, FALSE), 0))</f>
        <v>0</v>
      </c>
      <c r="K103" s="259">
        <f>IFERROR(VLOOKUP($B103, 'DAY 1 SCORES'!$B:$E, 4, FALSE), 0) + IFERROR(VLOOKUP($B103, 'DAY 2 SCORES'!$B:$E, 4, FALSE), 0)</f>
        <v>0</v>
      </c>
      <c r="L103" s="259">
        <f>IF(B103="", 999, D103 - (H103/10000) - (I103/1000000) - (J103/100000000) - (K103/10000000000))</f>
        <v>999</v>
      </c>
    </row>
    <row r="104" spans="1:12" ht="15">
      <c r="A104" s="264" t="str">
        <f>IF(B104="", "", RANK(L104, $L$5:$L$124, 1))</f>
        <v/>
      </c>
      <c r="B104" s="266" t="str">
        <f>IF(REGISTRATION!$B101="", "", REGISTRATION!$B101)</f>
        <v/>
      </c>
      <c r="C104" s="268" t="str">
        <f>IF(B104="", "", REGISTRATION!$C101)</f>
        <v/>
      </c>
      <c r="D104" s="129">
        <f>F104 + G104</f>
        <v>240</v>
      </c>
      <c r="E104" s="267" t="str">
        <f>IF($B104="", "", H104 &amp; " / " &amp; I104 &amp; " / " &amp; J104 &amp; " / " &amp; K104)</f>
        <v/>
      </c>
      <c r="F104" s="259">
        <f>IFERROR(VLOOKUP($B104, 'DAY 1 SCORES'!$B:$H, 7, FALSE), 0)</f>
        <v>120</v>
      </c>
      <c r="G104" s="259">
        <f>IFERROR(VLOOKUP($B104, 'DAY 2 SCORES'!$B:$H, 7, FALSE), 0)</f>
        <v>120</v>
      </c>
      <c r="H104" s="259">
        <f>IFERROR(VLOOKUP($B104, 'DAY 1 SCORES'!$B:$D, 3, FALSE), 0) + IFERROR(VLOOKUP($B104, 'DAY 2 SCORES'!$B:$D, 3, FALSE), 0)</f>
        <v>0</v>
      </c>
      <c r="I104" s="259">
        <f>IFERROR(VLOOKUP($B104, 'DAY 1 SCORES'!$B:$F, 5, FALSE), 0) + IFERROR(VLOOKUP($B104, 'DAY 2 SCORES'!$B:$F, 5, FALSE), 0)</f>
        <v>0</v>
      </c>
      <c r="J104" s="259">
        <f>MAX(IFERROR(VLOOKUP($B104, 'DAY 1 SCORES'!$B:$G, 6, FALSE), 0), IFERROR(VLOOKUP($B104, 'DAY 2 SCORES'!$B:$G, 6, FALSE), 0))</f>
        <v>0</v>
      </c>
      <c r="K104" s="259">
        <f>IFERROR(VLOOKUP($B104, 'DAY 1 SCORES'!$B:$E, 4, FALSE), 0) + IFERROR(VLOOKUP($B104, 'DAY 2 SCORES'!$B:$E, 4, FALSE), 0)</f>
        <v>0</v>
      </c>
      <c r="L104" s="259">
        <f>IF(B104="", 999, D104 - (H104/10000) - (I104/1000000) - (J104/100000000) - (K104/10000000000))</f>
        <v>999</v>
      </c>
    </row>
    <row r="105" spans="1:12" ht="15">
      <c r="A105" s="264" t="str">
        <f>IF(B105="", "", RANK(L105, $L$5:$L$124, 1))</f>
        <v/>
      </c>
      <c r="B105" s="266" t="str">
        <f>IF(REGISTRATION!$B102="", "", REGISTRATION!$B102)</f>
        <v/>
      </c>
      <c r="C105" s="268" t="str">
        <f>IF(B105="", "", REGISTRATION!$C102)</f>
        <v/>
      </c>
      <c r="D105" s="129">
        <f>F105 + G105</f>
        <v>240</v>
      </c>
      <c r="E105" s="267" t="str">
        <f>IF($B105="", "", H105 &amp; " / " &amp; I105 &amp; " / " &amp; J105 &amp; " / " &amp; K105)</f>
        <v/>
      </c>
      <c r="F105" s="259">
        <f>IFERROR(VLOOKUP($B105, 'DAY 1 SCORES'!$B:$H, 7, FALSE), 0)</f>
        <v>120</v>
      </c>
      <c r="G105" s="259">
        <f>IFERROR(VLOOKUP($B105, 'DAY 2 SCORES'!$B:$H, 7, FALSE), 0)</f>
        <v>120</v>
      </c>
      <c r="H105" s="259">
        <f>IFERROR(VLOOKUP($B105, 'DAY 1 SCORES'!$B:$D, 3, FALSE), 0) + IFERROR(VLOOKUP($B105, 'DAY 2 SCORES'!$B:$D, 3, FALSE), 0)</f>
        <v>0</v>
      </c>
      <c r="I105" s="259">
        <f>IFERROR(VLOOKUP($B105, 'DAY 1 SCORES'!$B:$F, 5, FALSE), 0) + IFERROR(VLOOKUP($B105, 'DAY 2 SCORES'!$B:$F, 5, FALSE), 0)</f>
        <v>0</v>
      </c>
      <c r="J105" s="259">
        <f>MAX(IFERROR(VLOOKUP($B105, 'DAY 1 SCORES'!$B:$G, 6, FALSE), 0), IFERROR(VLOOKUP($B105, 'DAY 2 SCORES'!$B:$G, 6, FALSE), 0))</f>
        <v>0</v>
      </c>
      <c r="K105" s="259">
        <f>IFERROR(VLOOKUP($B105, 'DAY 1 SCORES'!$B:$E, 4, FALSE), 0) + IFERROR(VLOOKUP($B105, 'DAY 2 SCORES'!$B:$E, 4, FALSE), 0)</f>
        <v>0</v>
      </c>
      <c r="L105" s="259">
        <f>IF(B105="", 999, D105 - (H105/10000) - (I105/1000000) - (J105/100000000) - (K105/10000000000))</f>
        <v>999</v>
      </c>
    </row>
    <row r="106" spans="1:12" ht="15">
      <c r="A106" s="264" t="str">
        <f>IF(B106="", "", RANK(L106, $L$5:$L$124, 1))</f>
        <v/>
      </c>
      <c r="B106" s="266" t="str">
        <f>IF(REGISTRATION!$B103="", "", REGISTRATION!$B103)</f>
        <v/>
      </c>
      <c r="C106" s="268" t="str">
        <f>IF(B106="", "", REGISTRATION!$C103)</f>
        <v/>
      </c>
      <c r="D106" s="129">
        <f>F106 + G106</f>
        <v>240</v>
      </c>
      <c r="E106" s="267" t="str">
        <f>IF($B106="", "", H106 &amp; " / " &amp; I106 &amp; " / " &amp; J106 &amp; " / " &amp; K106)</f>
        <v/>
      </c>
      <c r="F106" s="259">
        <f>IFERROR(VLOOKUP($B106, 'DAY 1 SCORES'!$B:$H, 7, FALSE), 0)</f>
        <v>120</v>
      </c>
      <c r="G106" s="259">
        <f>IFERROR(VLOOKUP($B106, 'DAY 2 SCORES'!$B:$H, 7, FALSE), 0)</f>
        <v>120</v>
      </c>
      <c r="H106" s="259">
        <f>IFERROR(VLOOKUP($B106, 'DAY 1 SCORES'!$B:$D, 3, FALSE), 0) + IFERROR(VLOOKUP($B106, 'DAY 2 SCORES'!$B:$D, 3, FALSE), 0)</f>
        <v>0</v>
      </c>
      <c r="I106" s="259">
        <f>IFERROR(VLOOKUP($B106, 'DAY 1 SCORES'!$B:$F, 5, FALSE), 0) + IFERROR(VLOOKUP($B106, 'DAY 2 SCORES'!$B:$F, 5, FALSE), 0)</f>
        <v>0</v>
      </c>
      <c r="J106" s="259">
        <f>MAX(IFERROR(VLOOKUP($B106, 'DAY 1 SCORES'!$B:$G, 6, FALSE), 0), IFERROR(VLOOKUP($B106, 'DAY 2 SCORES'!$B:$G, 6, FALSE), 0))</f>
        <v>0</v>
      </c>
      <c r="K106" s="259">
        <f>IFERROR(VLOOKUP($B106, 'DAY 1 SCORES'!$B:$E, 4, FALSE), 0) + IFERROR(VLOOKUP($B106, 'DAY 2 SCORES'!$B:$E, 4, FALSE), 0)</f>
        <v>0</v>
      </c>
      <c r="L106" s="259">
        <f>IF(B106="", 999, D106 - (H106/10000) - (I106/1000000) - (J106/100000000) - (K106/10000000000))</f>
        <v>999</v>
      </c>
    </row>
    <row r="107" spans="1:12" ht="15">
      <c r="A107" s="264" t="str">
        <f>IF(B107="", "", RANK(L107, $L$5:$L$124, 1))</f>
        <v/>
      </c>
      <c r="B107" s="266" t="str">
        <f>IF(REGISTRATION!$B104="", "", REGISTRATION!$B104)</f>
        <v/>
      </c>
      <c r="C107" s="268" t="str">
        <f>IF(B107="", "", REGISTRATION!$C104)</f>
        <v/>
      </c>
      <c r="D107" s="129">
        <f>F107 + G107</f>
        <v>240</v>
      </c>
      <c r="E107" s="267" t="str">
        <f>IF($B107="", "", H107 &amp; " / " &amp; I107 &amp; " / " &amp; J107 &amp; " / " &amp; K107)</f>
        <v/>
      </c>
      <c r="F107" s="259">
        <f>IFERROR(VLOOKUP($B107, 'DAY 1 SCORES'!$B:$H, 7, FALSE), 0)</f>
        <v>120</v>
      </c>
      <c r="G107" s="259">
        <f>IFERROR(VLOOKUP($B107, 'DAY 2 SCORES'!$B:$H, 7, FALSE), 0)</f>
        <v>120</v>
      </c>
      <c r="H107" s="259">
        <f>IFERROR(VLOOKUP($B107, 'DAY 1 SCORES'!$B:$D, 3, FALSE), 0) + IFERROR(VLOOKUP($B107, 'DAY 2 SCORES'!$B:$D, 3, FALSE), 0)</f>
        <v>0</v>
      </c>
      <c r="I107" s="259">
        <f>IFERROR(VLOOKUP($B107, 'DAY 1 SCORES'!$B:$F, 5, FALSE), 0) + IFERROR(VLOOKUP($B107, 'DAY 2 SCORES'!$B:$F, 5, FALSE), 0)</f>
        <v>0</v>
      </c>
      <c r="J107" s="259">
        <f>MAX(IFERROR(VLOOKUP($B107, 'DAY 1 SCORES'!$B:$G, 6, FALSE), 0), IFERROR(VLOOKUP($B107, 'DAY 2 SCORES'!$B:$G, 6, FALSE), 0))</f>
        <v>0</v>
      </c>
      <c r="K107" s="259">
        <f>IFERROR(VLOOKUP($B107, 'DAY 1 SCORES'!$B:$E, 4, FALSE), 0) + IFERROR(VLOOKUP($B107, 'DAY 2 SCORES'!$B:$E, 4, FALSE), 0)</f>
        <v>0</v>
      </c>
      <c r="L107" s="259">
        <f>IF(B107="", 999, D107 - (H107/10000) - (I107/1000000) - (J107/100000000) - (K107/10000000000))</f>
        <v>999</v>
      </c>
    </row>
    <row r="108" spans="1:12" ht="15">
      <c r="A108" s="264" t="str">
        <f>IF(B108="", "", RANK(L108, $L$5:$L$124, 1))</f>
        <v/>
      </c>
      <c r="B108" s="266" t="str">
        <f>IF(REGISTRATION!$B105="", "", REGISTRATION!$B105)</f>
        <v/>
      </c>
      <c r="C108" s="268" t="str">
        <f>IF(B108="", "", REGISTRATION!$C105)</f>
        <v/>
      </c>
      <c r="D108" s="129">
        <f>F108 + G108</f>
        <v>240</v>
      </c>
      <c r="E108" s="267" t="str">
        <f>IF($B108="", "", H108 &amp; " / " &amp; I108 &amp; " / " &amp; J108 &amp; " / " &amp; K108)</f>
        <v/>
      </c>
      <c r="F108" s="259">
        <f>IFERROR(VLOOKUP($B108, 'DAY 1 SCORES'!$B:$H, 7, FALSE), 0)</f>
        <v>120</v>
      </c>
      <c r="G108" s="259">
        <f>IFERROR(VLOOKUP($B108, 'DAY 2 SCORES'!$B:$H, 7, FALSE), 0)</f>
        <v>120</v>
      </c>
      <c r="H108" s="259">
        <f>IFERROR(VLOOKUP($B108, 'DAY 1 SCORES'!$B:$D, 3, FALSE), 0) + IFERROR(VLOOKUP($B108, 'DAY 2 SCORES'!$B:$D, 3, FALSE), 0)</f>
        <v>0</v>
      </c>
      <c r="I108" s="259">
        <f>IFERROR(VLOOKUP($B108, 'DAY 1 SCORES'!$B:$F, 5, FALSE), 0) + IFERROR(VLOOKUP($B108, 'DAY 2 SCORES'!$B:$F, 5, FALSE), 0)</f>
        <v>0</v>
      </c>
      <c r="J108" s="259">
        <f>MAX(IFERROR(VLOOKUP($B108, 'DAY 1 SCORES'!$B:$G, 6, FALSE), 0), IFERROR(VLOOKUP($B108, 'DAY 2 SCORES'!$B:$G, 6, FALSE), 0))</f>
        <v>0</v>
      </c>
      <c r="K108" s="259">
        <f>IFERROR(VLOOKUP($B108, 'DAY 1 SCORES'!$B:$E, 4, FALSE), 0) + IFERROR(VLOOKUP($B108, 'DAY 2 SCORES'!$B:$E, 4, FALSE), 0)</f>
        <v>0</v>
      </c>
      <c r="L108" s="259">
        <f>IF(B108="", 999, D108 - (H108/10000) - (I108/1000000) - (J108/100000000) - (K108/10000000000))</f>
        <v>999</v>
      </c>
    </row>
    <row r="109" spans="1:12" ht="15">
      <c r="A109" s="264" t="str">
        <f>IF(B109="", "", RANK(L109, $L$5:$L$124, 1))</f>
        <v/>
      </c>
      <c r="B109" s="266" t="str">
        <f>IF(REGISTRATION!$B106="", "", REGISTRATION!$B106)</f>
        <v/>
      </c>
      <c r="C109" s="268" t="str">
        <f>IF(B109="", "", REGISTRATION!$C106)</f>
        <v/>
      </c>
      <c r="D109" s="129">
        <f>F109 + G109</f>
        <v>240</v>
      </c>
      <c r="E109" s="267" t="str">
        <f>IF($B109="", "", H109 &amp; " / " &amp; I109 &amp; " / " &amp; J109 &amp; " / " &amp; K109)</f>
        <v/>
      </c>
      <c r="F109" s="259">
        <f>IFERROR(VLOOKUP($B109, 'DAY 1 SCORES'!$B:$H, 7, FALSE), 0)</f>
        <v>120</v>
      </c>
      <c r="G109" s="259">
        <f>IFERROR(VLOOKUP($B109, 'DAY 2 SCORES'!$B:$H, 7, FALSE), 0)</f>
        <v>120</v>
      </c>
      <c r="H109" s="259">
        <f>IFERROR(VLOOKUP($B109, 'DAY 1 SCORES'!$B:$D, 3, FALSE), 0) + IFERROR(VLOOKUP($B109, 'DAY 2 SCORES'!$B:$D, 3, FALSE), 0)</f>
        <v>0</v>
      </c>
      <c r="I109" s="259">
        <f>IFERROR(VLOOKUP($B109, 'DAY 1 SCORES'!$B:$F, 5, FALSE), 0) + IFERROR(VLOOKUP($B109, 'DAY 2 SCORES'!$B:$F, 5, FALSE), 0)</f>
        <v>0</v>
      </c>
      <c r="J109" s="259">
        <f>MAX(IFERROR(VLOOKUP($B109, 'DAY 1 SCORES'!$B:$G, 6, FALSE), 0), IFERROR(VLOOKUP($B109, 'DAY 2 SCORES'!$B:$G, 6, FALSE), 0))</f>
        <v>0</v>
      </c>
      <c r="K109" s="259">
        <f>IFERROR(VLOOKUP($B109, 'DAY 1 SCORES'!$B:$E, 4, FALSE), 0) + IFERROR(VLOOKUP($B109, 'DAY 2 SCORES'!$B:$E, 4, FALSE), 0)</f>
        <v>0</v>
      </c>
      <c r="L109" s="259">
        <f>IF(B109="", 999, D109 - (H109/10000) - (I109/1000000) - (J109/100000000) - (K109/10000000000))</f>
        <v>999</v>
      </c>
    </row>
    <row r="110" spans="1:12" ht="15">
      <c r="A110" s="264" t="str">
        <f>IF(B110="", "", RANK(L110, $L$5:$L$124, 1))</f>
        <v/>
      </c>
      <c r="B110" s="266" t="str">
        <f>IF(REGISTRATION!$B107="", "", REGISTRATION!$B107)</f>
        <v/>
      </c>
      <c r="C110" s="268" t="str">
        <f>IF(B110="", "", REGISTRATION!$C107)</f>
        <v/>
      </c>
      <c r="D110" s="129">
        <f>F110 + G110</f>
        <v>240</v>
      </c>
      <c r="E110" s="267" t="str">
        <f>IF($B110="", "", H110 &amp; " / " &amp; I110 &amp; " / " &amp; J110 &amp; " / " &amp; K110)</f>
        <v/>
      </c>
      <c r="F110" s="259">
        <f>IFERROR(VLOOKUP($B110, 'DAY 1 SCORES'!$B:$H, 7, FALSE), 0)</f>
        <v>120</v>
      </c>
      <c r="G110" s="259">
        <f>IFERROR(VLOOKUP($B110, 'DAY 2 SCORES'!$B:$H, 7, FALSE), 0)</f>
        <v>120</v>
      </c>
      <c r="H110" s="259">
        <f>IFERROR(VLOOKUP($B110, 'DAY 1 SCORES'!$B:$D, 3, FALSE), 0) + IFERROR(VLOOKUP($B110, 'DAY 2 SCORES'!$B:$D, 3, FALSE), 0)</f>
        <v>0</v>
      </c>
      <c r="I110" s="259">
        <f>IFERROR(VLOOKUP($B110, 'DAY 1 SCORES'!$B:$F, 5, FALSE), 0) + IFERROR(VLOOKUP($B110, 'DAY 2 SCORES'!$B:$F, 5, FALSE), 0)</f>
        <v>0</v>
      </c>
      <c r="J110" s="259">
        <f>MAX(IFERROR(VLOOKUP($B110, 'DAY 1 SCORES'!$B:$G, 6, FALSE), 0), IFERROR(VLOOKUP($B110, 'DAY 2 SCORES'!$B:$G, 6, FALSE), 0))</f>
        <v>0</v>
      </c>
      <c r="K110" s="259">
        <f>IFERROR(VLOOKUP($B110, 'DAY 1 SCORES'!$B:$E, 4, FALSE), 0) + IFERROR(VLOOKUP($B110, 'DAY 2 SCORES'!$B:$E, 4, FALSE), 0)</f>
        <v>0</v>
      </c>
      <c r="L110" s="259">
        <f>IF(B110="", 999, D110 - (H110/10000) - (I110/1000000) - (J110/100000000) - (K110/10000000000))</f>
        <v>999</v>
      </c>
    </row>
    <row r="111" spans="1:12" ht="15">
      <c r="A111" s="264" t="str">
        <f>IF(B111="", "", RANK(L111, $L$5:$L$124, 1))</f>
        <v/>
      </c>
      <c r="B111" s="266" t="str">
        <f>IF(REGISTRATION!$B108="", "", REGISTRATION!$B108)</f>
        <v/>
      </c>
      <c r="C111" s="268" t="str">
        <f>IF(B111="", "", REGISTRATION!$C108)</f>
        <v/>
      </c>
      <c r="D111" s="129">
        <f>F111 + G111</f>
        <v>240</v>
      </c>
      <c r="E111" s="267" t="str">
        <f>IF($B111="", "", H111 &amp; " / " &amp; I111 &amp; " / " &amp; J111 &amp; " / " &amp; K111)</f>
        <v/>
      </c>
      <c r="F111" s="259">
        <f>IFERROR(VLOOKUP($B111, 'DAY 1 SCORES'!$B:$H, 7, FALSE), 0)</f>
        <v>120</v>
      </c>
      <c r="G111" s="259">
        <f>IFERROR(VLOOKUP($B111, 'DAY 2 SCORES'!$B:$H, 7, FALSE), 0)</f>
        <v>120</v>
      </c>
      <c r="H111" s="259">
        <f>IFERROR(VLOOKUP($B111, 'DAY 1 SCORES'!$B:$D, 3, FALSE), 0) + IFERROR(VLOOKUP($B111, 'DAY 2 SCORES'!$B:$D, 3, FALSE), 0)</f>
        <v>0</v>
      </c>
      <c r="I111" s="259">
        <f>IFERROR(VLOOKUP($B111, 'DAY 1 SCORES'!$B:$F, 5, FALSE), 0) + IFERROR(VLOOKUP($B111, 'DAY 2 SCORES'!$B:$F, 5, FALSE), 0)</f>
        <v>0</v>
      </c>
      <c r="J111" s="259">
        <f>MAX(IFERROR(VLOOKUP($B111, 'DAY 1 SCORES'!$B:$G, 6, FALSE), 0), IFERROR(VLOOKUP($B111, 'DAY 2 SCORES'!$B:$G, 6, FALSE), 0))</f>
        <v>0</v>
      </c>
      <c r="K111" s="259">
        <f>IFERROR(VLOOKUP($B111, 'DAY 1 SCORES'!$B:$E, 4, FALSE), 0) + IFERROR(VLOOKUP($B111, 'DAY 2 SCORES'!$B:$E, 4, FALSE), 0)</f>
        <v>0</v>
      </c>
      <c r="L111" s="259">
        <f>IF(B111="", 999, D111 - (H111/10000) - (I111/1000000) - (J111/100000000) - (K111/10000000000))</f>
        <v>999</v>
      </c>
    </row>
    <row r="112" spans="1:12" ht="15">
      <c r="A112" s="264" t="str">
        <f>IF(B112="", "", RANK(L112, $L$5:$L$124, 1))</f>
        <v/>
      </c>
      <c r="B112" s="266" t="str">
        <f>IF(REGISTRATION!$B109="", "", REGISTRATION!$B109)</f>
        <v/>
      </c>
      <c r="C112" s="268" t="str">
        <f>IF(B112="", "", REGISTRATION!$C109)</f>
        <v/>
      </c>
      <c r="D112" s="129">
        <f>F112 + G112</f>
        <v>240</v>
      </c>
      <c r="E112" s="267" t="str">
        <f>IF($B112="", "", H112 &amp; " / " &amp; I112 &amp; " / " &amp; J112 &amp; " / " &amp; K112)</f>
        <v/>
      </c>
      <c r="F112" s="259">
        <f>IFERROR(VLOOKUP($B112, 'DAY 1 SCORES'!$B:$H, 7, FALSE), 0)</f>
        <v>120</v>
      </c>
      <c r="G112" s="259">
        <f>IFERROR(VLOOKUP($B112, 'DAY 2 SCORES'!$B:$H, 7, FALSE), 0)</f>
        <v>120</v>
      </c>
      <c r="H112" s="259">
        <f>IFERROR(VLOOKUP($B112, 'DAY 1 SCORES'!$B:$D, 3, FALSE), 0) + IFERROR(VLOOKUP($B112, 'DAY 2 SCORES'!$B:$D, 3, FALSE), 0)</f>
        <v>0</v>
      </c>
      <c r="I112" s="259">
        <f>IFERROR(VLOOKUP($B112, 'DAY 1 SCORES'!$B:$F, 5, FALSE), 0) + IFERROR(VLOOKUP($B112, 'DAY 2 SCORES'!$B:$F, 5, FALSE), 0)</f>
        <v>0</v>
      </c>
      <c r="J112" s="259">
        <f>MAX(IFERROR(VLOOKUP($B112, 'DAY 1 SCORES'!$B:$G, 6, FALSE), 0), IFERROR(VLOOKUP($B112, 'DAY 2 SCORES'!$B:$G, 6, FALSE), 0))</f>
        <v>0</v>
      </c>
      <c r="K112" s="259">
        <f>IFERROR(VLOOKUP($B112, 'DAY 1 SCORES'!$B:$E, 4, FALSE), 0) + IFERROR(VLOOKUP($B112, 'DAY 2 SCORES'!$B:$E, 4, FALSE), 0)</f>
        <v>0</v>
      </c>
      <c r="L112" s="259">
        <f>IF(B112="", 999, D112 - (H112/10000) - (I112/1000000) - (J112/100000000) - (K112/10000000000))</f>
        <v>999</v>
      </c>
    </row>
    <row r="113" spans="1:12" ht="15">
      <c r="A113" s="264" t="str">
        <f>IF(B113="", "", RANK(L113, $L$5:$L$124, 1))</f>
        <v/>
      </c>
      <c r="B113" s="266" t="str">
        <f>IF(REGISTRATION!$B110="", "", REGISTRATION!$B110)</f>
        <v/>
      </c>
      <c r="C113" s="268" t="str">
        <f>IF(B113="", "", REGISTRATION!$C110)</f>
        <v/>
      </c>
      <c r="D113" s="129">
        <f>F113 + G113</f>
        <v>240</v>
      </c>
      <c r="E113" s="267" t="str">
        <f>IF($B113="", "", H113 &amp; " / " &amp; I113 &amp; " / " &amp; J113 &amp; " / " &amp; K113)</f>
        <v/>
      </c>
      <c r="F113" s="259">
        <f>IFERROR(VLOOKUP($B113, 'DAY 1 SCORES'!$B:$H, 7, FALSE), 0)</f>
        <v>120</v>
      </c>
      <c r="G113" s="259">
        <f>IFERROR(VLOOKUP($B113, 'DAY 2 SCORES'!$B:$H, 7, FALSE), 0)</f>
        <v>120</v>
      </c>
      <c r="H113" s="259">
        <f>IFERROR(VLOOKUP($B113, 'DAY 1 SCORES'!$B:$D, 3, FALSE), 0) + IFERROR(VLOOKUP($B113, 'DAY 2 SCORES'!$B:$D, 3, FALSE), 0)</f>
        <v>0</v>
      </c>
      <c r="I113" s="259">
        <f>IFERROR(VLOOKUP($B113, 'DAY 1 SCORES'!$B:$F, 5, FALSE), 0) + IFERROR(VLOOKUP($B113, 'DAY 2 SCORES'!$B:$F, 5, FALSE), 0)</f>
        <v>0</v>
      </c>
      <c r="J113" s="259">
        <f>MAX(IFERROR(VLOOKUP($B113, 'DAY 1 SCORES'!$B:$G, 6, FALSE), 0), IFERROR(VLOOKUP($B113, 'DAY 2 SCORES'!$B:$G, 6, FALSE), 0))</f>
        <v>0</v>
      </c>
      <c r="K113" s="259">
        <f>IFERROR(VLOOKUP($B113, 'DAY 1 SCORES'!$B:$E, 4, FALSE), 0) + IFERROR(VLOOKUP($B113, 'DAY 2 SCORES'!$B:$E, 4, FALSE), 0)</f>
        <v>0</v>
      </c>
      <c r="L113" s="259">
        <f>IF(B113="", 999, D113 - (H113/10000) - (I113/1000000) - (J113/100000000) - (K113/10000000000))</f>
        <v>999</v>
      </c>
    </row>
    <row r="114" spans="1:12" ht="15">
      <c r="A114" s="264" t="str">
        <f>IF(B114="", "", RANK(L114, $L$5:$L$124, 1))</f>
        <v/>
      </c>
      <c r="B114" s="266" t="str">
        <f>IF(REGISTRATION!$B111="", "", REGISTRATION!$B111)</f>
        <v/>
      </c>
      <c r="C114" s="268" t="str">
        <f>IF(B114="", "", REGISTRATION!$C111)</f>
        <v/>
      </c>
      <c r="D114" s="129">
        <f>F114 + G114</f>
        <v>240</v>
      </c>
      <c r="E114" s="267" t="str">
        <f>IF($B114="", "", H114 &amp; " / " &amp; I114 &amp; " / " &amp; J114 &amp; " / " &amp; K114)</f>
        <v/>
      </c>
      <c r="F114" s="259">
        <f>IFERROR(VLOOKUP($B114, 'DAY 1 SCORES'!$B:$H, 7, FALSE), 0)</f>
        <v>120</v>
      </c>
      <c r="G114" s="259">
        <f>IFERROR(VLOOKUP($B114, 'DAY 2 SCORES'!$B:$H, 7, FALSE), 0)</f>
        <v>120</v>
      </c>
      <c r="H114" s="259">
        <f>IFERROR(VLOOKUP($B114, 'DAY 1 SCORES'!$B:$D, 3, FALSE), 0) + IFERROR(VLOOKUP($B114, 'DAY 2 SCORES'!$B:$D, 3, FALSE), 0)</f>
        <v>0</v>
      </c>
      <c r="I114" s="259">
        <f>IFERROR(VLOOKUP($B114, 'DAY 1 SCORES'!$B:$F, 5, FALSE), 0) + IFERROR(VLOOKUP($B114, 'DAY 2 SCORES'!$B:$F, 5, FALSE), 0)</f>
        <v>0</v>
      </c>
      <c r="J114" s="259">
        <f>MAX(IFERROR(VLOOKUP($B114, 'DAY 1 SCORES'!$B:$G, 6, FALSE), 0), IFERROR(VLOOKUP($B114, 'DAY 2 SCORES'!$B:$G, 6, FALSE), 0))</f>
        <v>0</v>
      </c>
      <c r="K114" s="259">
        <f>IFERROR(VLOOKUP($B114, 'DAY 1 SCORES'!$B:$E, 4, FALSE), 0) + IFERROR(VLOOKUP($B114, 'DAY 2 SCORES'!$B:$E, 4, FALSE), 0)</f>
        <v>0</v>
      </c>
      <c r="L114" s="259">
        <f>IF(B114="", 999, D114 - (H114/10000) - (I114/1000000) - (J114/100000000) - (K114/10000000000))</f>
        <v>999</v>
      </c>
    </row>
    <row r="115" spans="1:12" ht="15">
      <c r="A115" s="264" t="str">
        <f>IF(B115="", "", RANK(L115, $L$5:$L$124, 1))</f>
        <v/>
      </c>
      <c r="B115" s="266" t="str">
        <f>IF(REGISTRATION!$B112="", "", REGISTRATION!$B112)</f>
        <v/>
      </c>
      <c r="C115" s="268" t="str">
        <f>IF(B115="", "", REGISTRATION!$C112)</f>
        <v/>
      </c>
      <c r="D115" s="129">
        <f>F115 + G115</f>
        <v>240</v>
      </c>
      <c r="E115" s="267" t="str">
        <f>IF($B115="", "", H115 &amp; " / " &amp; I115 &amp; " / " &amp; J115 &amp; " / " &amp; K115)</f>
        <v/>
      </c>
      <c r="F115" s="259">
        <f>IFERROR(VLOOKUP($B115, 'DAY 1 SCORES'!$B:$H, 7, FALSE), 0)</f>
        <v>120</v>
      </c>
      <c r="G115" s="259">
        <f>IFERROR(VLOOKUP($B115, 'DAY 2 SCORES'!$B:$H, 7, FALSE), 0)</f>
        <v>120</v>
      </c>
      <c r="H115" s="259">
        <f>IFERROR(VLOOKUP($B115, 'DAY 1 SCORES'!$B:$D, 3, FALSE), 0) + IFERROR(VLOOKUP($B115, 'DAY 2 SCORES'!$B:$D, 3, FALSE), 0)</f>
        <v>0</v>
      </c>
      <c r="I115" s="259">
        <f>IFERROR(VLOOKUP($B115, 'DAY 1 SCORES'!$B:$F, 5, FALSE), 0) + IFERROR(VLOOKUP($B115, 'DAY 2 SCORES'!$B:$F, 5, FALSE), 0)</f>
        <v>0</v>
      </c>
      <c r="J115" s="259">
        <f>MAX(IFERROR(VLOOKUP($B115, 'DAY 1 SCORES'!$B:$G, 6, FALSE), 0), IFERROR(VLOOKUP($B115, 'DAY 2 SCORES'!$B:$G, 6, FALSE), 0))</f>
        <v>0</v>
      </c>
      <c r="K115" s="259">
        <f>IFERROR(VLOOKUP($B115, 'DAY 1 SCORES'!$B:$E, 4, FALSE), 0) + IFERROR(VLOOKUP($B115, 'DAY 2 SCORES'!$B:$E, 4, FALSE), 0)</f>
        <v>0</v>
      </c>
      <c r="L115" s="259">
        <f>IF(B115="", 999, D115 - (H115/10000) - (I115/1000000) - (J115/100000000) - (K115/10000000000))</f>
        <v>999</v>
      </c>
    </row>
    <row r="116" spans="1:12" ht="15">
      <c r="A116" s="264" t="str">
        <f>IF(B116="", "", RANK(L116, $L$5:$L$124, 1))</f>
        <v/>
      </c>
      <c r="B116" s="266" t="str">
        <f>IF(REGISTRATION!$B113="", "", REGISTRATION!$B113)</f>
        <v/>
      </c>
      <c r="C116" s="268" t="str">
        <f>IF(B116="", "", REGISTRATION!$C113)</f>
        <v/>
      </c>
      <c r="D116" s="129">
        <f>F116 + G116</f>
        <v>240</v>
      </c>
      <c r="E116" s="267" t="str">
        <f>IF($B116="", "", H116 &amp; " / " &amp; I116 &amp; " / " &amp; J116 &amp; " / " &amp; K116)</f>
        <v/>
      </c>
      <c r="F116" s="259">
        <f>IFERROR(VLOOKUP($B116, 'DAY 1 SCORES'!$B:$H, 7, FALSE), 0)</f>
        <v>120</v>
      </c>
      <c r="G116" s="259">
        <f>IFERROR(VLOOKUP($B116, 'DAY 2 SCORES'!$B:$H, 7, FALSE), 0)</f>
        <v>120</v>
      </c>
      <c r="H116" s="259">
        <f>IFERROR(VLOOKUP($B116, 'DAY 1 SCORES'!$B:$D, 3, FALSE), 0) + IFERROR(VLOOKUP($B116, 'DAY 2 SCORES'!$B:$D, 3, FALSE), 0)</f>
        <v>0</v>
      </c>
      <c r="I116" s="259">
        <f>IFERROR(VLOOKUP($B116, 'DAY 1 SCORES'!$B:$F, 5, FALSE), 0) + IFERROR(VLOOKUP($B116, 'DAY 2 SCORES'!$B:$F, 5, FALSE), 0)</f>
        <v>0</v>
      </c>
      <c r="J116" s="259">
        <f>MAX(IFERROR(VLOOKUP($B116, 'DAY 1 SCORES'!$B:$G, 6, FALSE), 0), IFERROR(VLOOKUP($B116, 'DAY 2 SCORES'!$B:$G, 6, FALSE), 0))</f>
        <v>0</v>
      </c>
      <c r="K116" s="259">
        <f>IFERROR(VLOOKUP($B116, 'DAY 1 SCORES'!$B:$E, 4, FALSE), 0) + IFERROR(VLOOKUP($B116, 'DAY 2 SCORES'!$B:$E, 4, FALSE), 0)</f>
        <v>0</v>
      </c>
      <c r="L116" s="259">
        <f>IF(B116="", 999, D116 - (H116/10000) - (I116/1000000) - (J116/100000000) - (K116/10000000000))</f>
        <v>999</v>
      </c>
    </row>
    <row r="117" spans="1:12" ht="15">
      <c r="A117" s="264" t="str">
        <f>IF(B117="", "", RANK(L117, $L$5:$L$124, 1))</f>
        <v/>
      </c>
      <c r="B117" s="266" t="str">
        <f>IF(REGISTRATION!$B114="", "", REGISTRATION!$B114)</f>
        <v/>
      </c>
      <c r="C117" s="268" t="str">
        <f>IF(B117="", "", REGISTRATION!$C114)</f>
        <v/>
      </c>
      <c r="D117" s="129">
        <f>F117 + G117</f>
        <v>240</v>
      </c>
      <c r="E117" s="267" t="str">
        <f>IF($B117="", "", H117 &amp; " / " &amp; I117 &amp; " / " &amp; J117 &amp; " / " &amp; K117)</f>
        <v/>
      </c>
      <c r="F117" s="259">
        <f>IFERROR(VLOOKUP($B117, 'DAY 1 SCORES'!$B:$H, 7, FALSE), 0)</f>
        <v>120</v>
      </c>
      <c r="G117" s="259">
        <f>IFERROR(VLOOKUP($B117, 'DAY 2 SCORES'!$B:$H, 7, FALSE), 0)</f>
        <v>120</v>
      </c>
      <c r="H117" s="259">
        <f>IFERROR(VLOOKUP($B117, 'DAY 1 SCORES'!$B:$D, 3, FALSE), 0) + IFERROR(VLOOKUP($B117, 'DAY 2 SCORES'!$B:$D, 3, FALSE), 0)</f>
        <v>0</v>
      </c>
      <c r="I117" s="259">
        <f>IFERROR(VLOOKUP($B117, 'DAY 1 SCORES'!$B:$F, 5, FALSE), 0) + IFERROR(VLOOKUP($B117, 'DAY 2 SCORES'!$B:$F, 5, FALSE), 0)</f>
        <v>0</v>
      </c>
      <c r="J117" s="259">
        <f>MAX(IFERROR(VLOOKUP($B117, 'DAY 1 SCORES'!$B:$G, 6, FALSE), 0), IFERROR(VLOOKUP($B117, 'DAY 2 SCORES'!$B:$G, 6, FALSE), 0))</f>
        <v>0</v>
      </c>
      <c r="K117" s="259">
        <f>IFERROR(VLOOKUP($B117, 'DAY 1 SCORES'!$B:$E, 4, FALSE), 0) + IFERROR(VLOOKUP($B117, 'DAY 2 SCORES'!$B:$E, 4, FALSE), 0)</f>
        <v>0</v>
      </c>
      <c r="L117" s="259">
        <f>IF(B117="", 999, D117 - (H117/10000) - (I117/1000000) - (J117/100000000) - (K117/10000000000))</f>
        <v>999</v>
      </c>
    </row>
    <row r="118" spans="1:12" ht="15">
      <c r="A118" s="264" t="str">
        <f>IF(B118="", "", RANK(L118, $L$5:$L$124, 1))</f>
        <v/>
      </c>
      <c r="B118" s="266" t="str">
        <f>IF(REGISTRATION!$B115="", "", REGISTRATION!$B115)</f>
        <v/>
      </c>
      <c r="C118" s="268" t="str">
        <f>IF(B118="", "", REGISTRATION!$C115)</f>
        <v/>
      </c>
      <c r="D118" s="129">
        <f>F118 + G118</f>
        <v>240</v>
      </c>
      <c r="E118" s="267" t="str">
        <f>IF($B118="", "", H118 &amp; " / " &amp; I118 &amp; " / " &amp; J118 &amp; " / " &amp; K118)</f>
        <v/>
      </c>
      <c r="F118" s="259">
        <f>IFERROR(VLOOKUP($B118, 'DAY 1 SCORES'!$B:$H, 7, FALSE), 0)</f>
        <v>120</v>
      </c>
      <c r="G118" s="259">
        <f>IFERROR(VLOOKUP($B118, 'DAY 2 SCORES'!$B:$H, 7, FALSE), 0)</f>
        <v>120</v>
      </c>
      <c r="H118" s="259">
        <f>IFERROR(VLOOKUP($B118, 'DAY 1 SCORES'!$B:$D, 3, FALSE), 0) + IFERROR(VLOOKUP($B118, 'DAY 2 SCORES'!$B:$D, 3, FALSE), 0)</f>
        <v>0</v>
      </c>
      <c r="I118" s="259">
        <f>IFERROR(VLOOKUP($B118, 'DAY 1 SCORES'!$B:$F, 5, FALSE), 0) + IFERROR(VLOOKUP($B118, 'DAY 2 SCORES'!$B:$F, 5, FALSE), 0)</f>
        <v>0</v>
      </c>
      <c r="J118" s="259">
        <f>MAX(IFERROR(VLOOKUP($B118, 'DAY 1 SCORES'!$B:$G, 6, FALSE), 0), IFERROR(VLOOKUP($B118, 'DAY 2 SCORES'!$B:$G, 6, FALSE), 0))</f>
        <v>0</v>
      </c>
      <c r="K118" s="259">
        <f>IFERROR(VLOOKUP($B118, 'DAY 1 SCORES'!$B:$E, 4, FALSE), 0) + IFERROR(VLOOKUP($B118, 'DAY 2 SCORES'!$B:$E, 4, FALSE), 0)</f>
        <v>0</v>
      </c>
      <c r="L118" s="259">
        <f>IF(B118="", 999, D118 - (H118/10000) - (I118/1000000) - (J118/100000000) - (K118/10000000000))</f>
        <v>999</v>
      </c>
    </row>
    <row r="119" spans="1:12" ht="15">
      <c r="A119" s="264" t="str">
        <f>IF(B119="", "", RANK(L119, $L$5:$L$124, 1))</f>
        <v/>
      </c>
      <c r="B119" s="266" t="str">
        <f>IF(REGISTRATION!$B116="", "", REGISTRATION!$B116)</f>
        <v/>
      </c>
      <c r="C119" s="268" t="str">
        <f>IF(B119="", "", REGISTRATION!$C116)</f>
        <v/>
      </c>
      <c r="D119" s="129">
        <f>F119 + G119</f>
        <v>240</v>
      </c>
      <c r="E119" s="267" t="str">
        <f>IF($B119="", "", H119 &amp; " / " &amp; I119 &amp; " / " &amp; J119 &amp; " / " &amp; K119)</f>
        <v/>
      </c>
      <c r="F119" s="259">
        <f>IFERROR(VLOOKUP($B119, 'DAY 1 SCORES'!$B:$H, 7, FALSE), 0)</f>
        <v>120</v>
      </c>
      <c r="G119" s="259">
        <f>IFERROR(VLOOKUP($B119, 'DAY 2 SCORES'!$B:$H, 7, FALSE), 0)</f>
        <v>120</v>
      </c>
      <c r="H119" s="259">
        <f>IFERROR(VLOOKUP($B119, 'DAY 1 SCORES'!$B:$D, 3, FALSE), 0) + IFERROR(VLOOKUP($B119, 'DAY 2 SCORES'!$B:$D, 3, FALSE), 0)</f>
        <v>0</v>
      </c>
      <c r="I119" s="259">
        <f>IFERROR(VLOOKUP($B119, 'DAY 1 SCORES'!$B:$F, 5, FALSE), 0) + IFERROR(VLOOKUP($B119, 'DAY 2 SCORES'!$B:$F, 5, FALSE), 0)</f>
        <v>0</v>
      </c>
      <c r="J119" s="259">
        <f>MAX(IFERROR(VLOOKUP($B119, 'DAY 1 SCORES'!$B:$G, 6, FALSE), 0), IFERROR(VLOOKUP($B119, 'DAY 2 SCORES'!$B:$G, 6, FALSE), 0))</f>
        <v>0</v>
      </c>
      <c r="K119" s="259">
        <f>IFERROR(VLOOKUP($B119, 'DAY 1 SCORES'!$B:$E, 4, FALSE), 0) + IFERROR(VLOOKUP($B119, 'DAY 2 SCORES'!$B:$E, 4, FALSE), 0)</f>
        <v>0</v>
      </c>
      <c r="L119" s="259">
        <f>IF(B119="", 999, D119 - (H119/10000) - (I119/1000000) - (J119/100000000) - (K119/10000000000))</f>
        <v>999</v>
      </c>
    </row>
    <row r="120" spans="1:12" ht="15">
      <c r="A120" s="264" t="str">
        <f>IF(B120="", "", RANK(L120, $L$5:$L$124, 1))</f>
        <v/>
      </c>
      <c r="B120" s="266" t="str">
        <f>IF(REGISTRATION!$B117="", "", REGISTRATION!$B117)</f>
        <v/>
      </c>
      <c r="C120" s="268" t="str">
        <f>IF(B120="", "", REGISTRATION!$C117)</f>
        <v/>
      </c>
      <c r="D120" s="129">
        <f>F120 + G120</f>
        <v>240</v>
      </c>
      <c r="E120" s="267" t="str">
        <f>IF($B120="", "", H120 &amp; " / " &amp; I120 &amp; " / " &amp; J120 &amp; " / " &amp; K120)</f>
        <v/>
      </c>
      <c r="F120" s="259">
        <f>IFERROR(VLOOKUP($B120, 'DAY 1 SCORES'!$B:$H, 7, FALSE), 0)</f>
        <v>120</v>
      </c>
      <c r="G120" s="259">
        <f>IFERROR(VLOOKUP($B120, 'DAY 2 SCORES'!$B:$H, 7, FALSE), 0)</f>
        <v>120</v>
      </c>
      <c r="H120" s="259">
        <f>IFERROR(VLOOKUP($B120, 'DAY 1 SCORES'!$B:$D, 3, FALSE), 0) + IFERROR(VLOOKUP($B120, 'DAY 2 SCORES'!$B:$D, 3, FALSE), 0)</f>
        <v>0</v>
      </c>
      <c r="I120" s="259">
        <f>IFERROR(VLOOKUP($B120, 'DAY 1 SCORES'!$B:$F, 5, FALSE), 0) + IFERROR(VLOOKUP($B120, 'DAY 2 SCORES'!$B:$F, 5, FALSE), 0)</f>
        <v>0</v>
      </c>
      <c r="J120" s="259">
        <f>MAX(IFERROR(VLOOKUP($B120, 'DAY 1 SCORES'!$B:$G, 6, FALSE), 0), IFERROR(VLOOKUP($B120, 'DAY 2 SCORES'!$B:$G, 6, FALSE), 0))</f>
        <v>0</v>
      </c>
      <c r="K120" s="259">
        <f>IFERROR(VLOOKUP($B120, 'DAY 1 SCORES'!$B:$E, 4, FALSE), 0) + IFERROR(VLOOKUP($B120, 'DAY 2 SCORES'!$B:$E, 4, FALSE), 0)</f>
        <v>0</v>
      </c>
      <c r="L120" s="259">
        <f>IF(B120="", 999, D120 - (H120/10000) - (I120/1000000) - (J120/100000000) - (K120/10000000000))</f>
        <v>999</v>
      </c>
    </row>
    <row r="121" spans="1:12" ht="15">
      <c r="A121" s="265" t="str">
        <f>IF(B121="", "", RANK(L121, $L$5:$L$124, 1))</f>
        <v/>
      </c>
      <c r="B121" s="266" t="str">
        <f>IF(REGISTRATION!$B118="", "", REGISTRATION!$B118)</f>
        <v/>
      </c>
      <c r="C121" s="268" t="str">
        <f>IF(B121="", "", REGISTRATION!$C118)</f>
        <v/>
      </c>
      <c r="D121" s="129">
        <f>F121 + G121</f>
        <v>240</v>
      </c>
      <c r="E121" s="267" t="str">
        <f>IF($B121="", "", H121 &amp; " / " &amp; I121 &amp; " / " &amp; J121 &amp; " / " &amp; K121)</f>
        <v/>
      </c>
      <c r="F121" s="259">
        <f>IFERROR(VLOOKUP($B121, 'DAY 1 SCORES'!$B:$H, 7, FALSE), 0)</f>
        <v>120</v>
      </c>
      <c r="G121" s="259">
        <f>IFERROR(VLOOKUP($B121, 'DAY 2 SCORES'!$B:$H, 7, FALSE), 0)</f>
        <v>120</v>
      </c>
      <c r="H121" s="259">
        <f>IFERROR(VLOOKUP($B121, 'DAY 1 SCORES'!$B:$D, 3, FALSE), 0) + IFERROR(VLOOKUP($B121, 'DAY 2 SCORES'!$B:$D, 3, FALSE), 0)</f>
        <v>0</v>
      </c>
      <c r="I121" s="259">
        <f>IFERROR(VLOOKUP($B121, 'DAY 1 SCORES'!$B:$F, 5, FALSE), 0) + IFERROR(VLOOKUP($B121, 'DAY 2 SCORES'!$B:$F, 5, FALSE), 0)</f>
        <v>0</v>
      </c>
      <c r="J121" s="259">
        <f>MAX(IFERROR(VLOOKUP($B121, 'DAY 1 SCORES'!$B:$G, 6, FALSE), 0), IFERROR(VLOOKUP($B121, 'DAY 2 SCORES'!$B:$G, 6, FALSE), 0))</f>
        <v>0</v>
      </c>
      <c r="K121" s="259">
        <f>IFERROR(VLOOKUP($B121, 'DAY 1 SCORES'!$B:$E, 4, FALSE), 0) + IFERROR(VLOOKUP($B121, 'DAY 2 SCORES'!$B:$E, 4, FALSE), 0)</f>
        <v>0</v>
      </c>
      <c r="L121" s="259">
        <f>IF(B121="", 999, D121 - (H121/10000) - (I121/1000000) - (J121/100000000) - (K121/10000000000))</f>
        <v>999</v>
      </c>
    </row>
    <row r="122" spans="1:12" ht="15">
      <c r="A122" s="265" t="str">
        <f>IF(B122="", "", RANK(L122, $L$5:$L$124, 1))</f>
        <v/>
      </c>
      <c r="B122" s="266" t="str">
        <f>IF(REGISTRATION!$B119="", "", REGISTRATION!$B119)</f>
        <v/>
      </c>
      <c r="C122" s="268" t="str">
        <f>IF(B122="", "", REGISTRATION!$C119)</f>
        <v/>
      </c>
      <c r="D122" s="129">
        <f>F122 + G122</f>
        <v>240</v>
      </c>
      <c r="E122" s="267" t="str">
        <f>IF($B122="", "", H122 &amp; " / " &amp; I122 &amp; " / " &amp; J122 &amp; " / " &amp; K122)</f>
        <v/>
      </c>
      <c r="F122" s="259">
        <f>IFERROR(VLOOKUP($B122, 'DAY 1 SCORES'!$B:$H, 7, FALSE), 0)</f>
        <v>120</v>
      </c>
      <c r="G122" s="259">
        <f>IFERROR(VLOOKUP($B122, 'DAY 2 SCORES'!$B:$H, 7, FALSE), 0)</f>
        <v>120</v>
      </c>
      <c r="H122" s="259">
        <f>IFERROR(VLOOKUP($B122, 'DAY 1 SCORES'!$B:$D, 3, FALSE), 0) + IFERROR(VLOOKUP($B122, 'DAY 2 SCORES'!$B:$D, 3, FALSE), 0)</f>
        <v>0</v>
      </c>
      <c r="I122" s="259">
        <f>IFERROR(VLOOKUP($B122, 'DAY 1 SCORES'!$B:$F, 5, FALSE), 0) + IFERROR(VLOOKUP($B122, 'DAY 2 SCORES'!$B:$F, 5, FALSE), 0)</f>
        <v>0</v>
      </c>
      <c r="J122" s="259">
        <f>MAX(IFERROR(VLOOKUP($B122, 'DAY 1 SCORES'!$B:$G, 6, FALSE), 0), IFERROR(VLOOKUP($B122, 'DAY 2 SCORES'!$B:$G, 6, FALSE), 0))</f>
        <v>0</v>
      </c>
      <c r="K122" s="259">
        <f>IFERROR(VLOOKUP($B122, 'DAY 1 SCORES'!$B:$E, 4, FALSE), 0) + IFERROR(VLOOKUP($B122, 'DAY 2 SCORES'!$B:$E, 4, FALSE), 0)</f>
        <v>0</v>
      </c>
      <c r="L122" s="259">
        <f>IF(B122="", 999, D122 - (H122/10000) - (I122/1000000) - (J122/100000000) - (K122/10000000000))</f>
        <v>999</v>
      </c>
    </row>
    <row r="123" spans="1:12" ht="15">
      <c r="A123" s="265" t="str">
        <f>IF(B123="", "", RANK(L123, $L$5:$L$124, 1))</f>
        <v/>
      </c>
      <c r="B123" s="266" t="str">
        <f>IF(REGISTRATION!$B120="", "", REGISTRATION!$B120)</f>
        <v/>
      </c>
      <c r="C123" s="268" t="str">
        <f>IF(B123="", "", REGISTRATION!$C120)</f>
        <v/>
      </c>
      <c r="D123" s="129">
        <f>F123 + G123</f>
        <v>240</v>
      </c>
      <c r="E123" s="267" t="str">
        <f>IF($B123="", "", H123 &amp; " / " &amp; I123 &amp; " / " &amp; J123 &amp; " / " &amp; K123)</f>
        <v/>
      </c>
      <c r="F123" s="259">
        <f>IFERROR(VLOOKUP($B123, 'DAY 1 SCORES'!$B:$H, 7, FALSE), 0)</f>
        <v>120</v>
      </c>
      <c r="G123" s="259">
        <f>IFERROR(VLOOKUP($B123, 'DAY 2 SCORES'!$B:$H, 7, FALSE), 0)</f>
        <v>120</v>
      </c>
      <c r="H123" s="259">
        <f>IFERROR(VLOOKUP($B123, 'DAY 1 SCORES'!$B:$D, 3, FALSE), 0) + IFERROR(VLOOKUP($B123, 'DAY 2 SCORES'!$B:$D, 3, FALSE), 0)</f>
        <v>0</v>
      </c>
      <c r="I123" s="259">
        <f>IFERROR(VLOOKUP($B123, 'DAY 1 SCORES'!$B:$F, 5, FALSE), 0) + IFERROR(VLOOKUP($B123, 'DAY 2 SCORES'!$B:$F, 5, FALSE), 0)</f>
        <v>0</v>
      </c>
      <c r="J123" s="259">
        <f>MAX(IFERROR(VLOOKUP($B123, 'DAY 1 SCORES'!$B:$G, 6, FALSE), 0), IFERROR(VLOOKUP($B123, 'DAY 2 SCORES'!$B:$G, 6, FALSE), 0))</f>
        <v>0</v>
      </c>
      <c r="K123" s="259">
        <f>IFERROR(VLOOKUP($B123, 'DAY 1 SCORES'!$B:$E, 4, FALSE), 0) + IFERROR(VLOOKUP($B123, 'DAY 2 SCORES'!$B:$E, 4, FALSE), 0)</f>
        <v>0</v>
      </c>
      <c r="L123" s="259">
        <f>IF(B123="", 999, D123 - (H123/10000) - (I123/1000000) - (J123/100000000) - (K123/10000000000))</f>
        <v>999</v>
      </c>
    </row>
    <row r="124" spans="1:12" ht="15">
      <c r="A124" s="269" t="str">
        <f>IF(B124="", "", RANK(L124, $L$5:$L$124, 1))</f>
        <v/>
      </c>
      <c r="B124" s="270" t="str">
        <f>IF(REGISTRATION!$B121="", "", REGISTRATION!$B121)</f>
        <v/>
      </c>
      <c r="C124" s="271"/>
      <c r="D124" s="272">
        <f>F124 + G124</f>
        <v>240</v>
      </c>
      <c r="E124" s="273" t="str">
        <f>IF($B124="", "", H124 &amp; " / " &amp; I124 &amp; " / " &amp; J124 &amp; " / " &amp; K124)</f>
        <v/>
      </c>
      <c r="F124" s="259">
        <f>IFERROR(VLOOKUP($B124, 'DAY 1 SCORES'!$B:$H, 7, FALSE), 0)</f>
        <v>120</v>
      </c>
      <c r="G124" s="259">
        <f>IFERROR(VLOOKUP($B124, 'DAY 2 SCORES'!$B:$H, 7, FALSE), 0)</f>
        <v>120</v>
      </c>
      <c r="H124" s="259">
        <f>IFERROR(VLOOKUP($B124, 'DAY 1 SCORES'!$B:$D, 3, FALSE), 0) + IFERROR(VLOOKUP($B124, 'DAY 2 SCORES'!$B:$D, 3, FALSE), 0)</f>
        <v>0</v>
      </c>
      <c r="I124" s="259">
        <f>IFERROR(VLOOKUP($B124, 'DAY 1 SCORES'!$B:$F, 5, FALSE), 0) + IFERROR(VLOOKUP($B124, 'DAY 2 SCORES'!$B:$F, 5, FALSE), 0)</f>
        <v>0</v>
      </c>
      <c r="J124" s="259">
        <f>MAX(IFERROR(VLOOKUP($B124, 'DAY 1 SCORES'!$B:$G, 6, FALSE), 0), IFERROR(VLOOKUP($B124, 'DAY 2 SCORES'!$B:$G, 6, FALSE), 0))</f>
        <v>0</v>
      </c>
      <c r="K124" s="259">
        <f>IFERROR(VLOOKUP($B124, 'DAY 1 SCORES'!$B:$E, 4, FALSE), 0) + IFERROR(VLOOKUP($B124, 'DAY 2 SCORES'!$B:$E, 4, FALSE), 0)</f>
        <v>0</v>
      </c>
      <c r="L124" s="259">
        <f>IF(B124="", 999, D124 - (H124/10000) - (I124/1000000) - (J124/100000000) - (K124/10000000000))</f>
        <v>999</v>
      </c>
    </row>
    <row r="125" spans="1:12" hidden="1">
      <c r="L125" s="259">
        <f>IF(B125="", 999, D125 - (H125/10000) - (I125/1000000) - (J125/100000000) - (K125/10000000000))</f>
        <v>999</v>
      </c>
    </row>
    <row r="126" spans="1:12" hidden="1">
      <c r="L126" s="259">
        <f>IF(B126="", 999, D126 - (H126/10000) - (I126/1000000) - (J126/100000000) - (K126/10000000000))</f>
        <v>999</v>
      </c>
    </row>
  </sheetData>
  <sheetProtection sheet="1" objects="1" scenarios="1" selectLockedCells="1"/>
  <protectedRanges>
    <protectedRange sqref="A5" name="rank"/>
  </protectedRanges>
  <sortState xmlns:xlrd2="http://schemas.microsoft.com/office/spreadsheetml/2017/richdata2" ref="A5:L126">
    <sortCondition ref="L5:L126"/>
  </sortState>
  <mergeCells count="3">
    <mergeCell ref="A2:L2"/>
    <mergeCell ref="A1:L1"/>
    <mergeCell ref="A3:E3"/>
  </mergeCells>
  <dataValidations count="1">
    <dataValidation allowBlank="1" showInputMessage="1" showErrorMessage="1" sqref="B5:C124" xr:uid="{FFD9B2FB-D7A2-4BAA-BDB6-033487A5D45B}"/>
  </dataValidations>
  <pageMargins left="0.7" right="0.7" top="0.75" bottom="0.75" header="0.3" footer="0.3"/>
  <tableParts count="1">
    <tablePart r:id="rId1"/>
  </tableParts>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ADB2F9-214C-46F8-BEF8-F0E0FFD6D4B7}">
  <sheetPr>
    <tabColor rgb="FF0070C0"/>
  </sheetPr>
  <dimension ref="A1:AA169"/>
  <sheetViews>
    <sheetView showGridLines="0" workbookViewId="0">
      <selection activeCell="B4" sqref="B4"/>
    </sheetView>
  </sheetViews>
  <sheetFormatPr defaultColWidth="0" defaultRowHeight="27.75" customHeight="1" zeroHeight="1"/>
  <cols>
    <col min="1" max="1" width="5.42578125" style="52" customWidth="1"/>
    <col min="2" max="2" width="29.85546875" style="86" customWidth="1"/>
    <col min="3" max="3" width="6.5703125" style="87" customWidth="1"/>
    <col min="4" max="4" width="9.140625" style="87" customWidth="1"/>
    <col min="5" max="5" width="8.140625" style="87" customWidth="1"/>
    <col min="6" max="7" width="46.140625" style="52" customWidth="1"/>
    <col min="8" max="8" width="47.7109375" style="52" customWidth="1"/>
    <col min="9" max="9" width="48.85546875" style="52" customWidth="1"/>
    <col min="10" max="16384" width="0" style="52" hidden="1"/>
  </cols>
  <sheetData>
    <row r="1" spans="1:27" ht="27.75" customHeight="1">
      <c r="A1" s="331" t="s">
        <v>83</v>
      </c>
      <c r="B1" s="332"/>
      <c r="C1" s="332"/>
      <c r="D1" s="333"/>
      <c r="E1" s="312"/>
      <c r="F1" s="331" t="s">
        <v>84</v>
      </c>
      <c r="G1" s="332"/>
      <c r="H1" s="332"/>
      <c r="I1" s="333"/>
    </row>
    <row r="2" spans="1:27" ht="27.75" customHeight="1">
      <c r="A2" s="187" t="s">
        <v>62</v>
      </c>
      <c r="B2" s="187" t="s">
        <v>63</v>
      </c>
      <c r="C2" s="187" t="s">
        <v>60</v>
      </c>
      <c r="D2" s="187" t="s">
        <v>85</v>
      </c>
      <c r="E2" s="292" t="s">
        <v>86</v>
      </c>
      <c r="F2" s="188" t="s">
        <v>87</v>
      </c>
      <c r="G2" s="188" t="s">
        <v>88</v>
      </c>
      <c r="H2" s="188" t="s">
        <v>89</v>
      </c>
      <c r="I2" s="188" t="s">
        <v>90</v>
      </c>
    </row>
    <row r="3" spans="1:27" ht="37.5" customHeight="1">
      <c r="A3" s="64" cm="1">
        <f t="array" ref="A3">_xlfn.SEQUENCE(ROWS(_xlfn.ANCHORARRAY(B3)))</f>
        <v>1</v>
      </c>
      <c r="B3" s="235" t="str" cm="1">
        <f t="array" ref="B3">IFERROR(_xlfn.LET(
    _xlpm.all_teams, _xlfn._xlws.FILTER(_xlfn.UNIQUE(REGISTRATION!C2:C101), (_xlfn.UNIQUE(REGISTRATION!C2:C101)&lt;&gt;0)*(_xlfn.UNIQUE(REGISTRATION!C2:C101)&lt;&gt;"")),
    _xlpm.team_counts, COUNTIFS(REGISTRATION!C2:C101, _xlpm.all_teams),
    _xlpm.full_teams, _xlfn._xlws.FILTER(_xlpm.all_teams, _xlpm.team_counts=4),
    _xlpm.pts, SUMIFS('INDIVIDUAL RESULT'!$D:$D, 'INDIVIDUAL RESULT'!$C:$C, _xlpm.full_teams),
    _xlpm.cm, SUMIFS('INDIVIDUAL RESULT'!$H:$H, 'INDIVIDUAL RESULT'!$C:$C, _xlpm.full_teams),
    _xlpm.fish, SUMIFS('INDIVIDUAL RESULT'!$I:$I, 'INDIVIDUAL RESULT'!$C:$C, _xlpm.full_teams),
    _xlfn.SORTBY(_xlpm.full_teams, _xlpm.pts, 1, _xlpm.cm, -1, _xlpm.fish, -1)
), "")</f>
        <v/>
      </c>
      <c r="C3" s="236" t="str">
        <f>IF($B3="", "", SUMIFS('INDIVIDUAL RESULT'!$D:$D, 'INDIVIDUAL RESULT'!$C:$C, $B3))</f>
        <v/>
      </c>
      <c r="D3" s="236" t="str">
        <f>IF($B3="", "", SUMIFS('INDIVIDUAL RESULT'!$H:$H, 'INDIVIDUAL RESULT'!$C:$C, $B3))</f>
        <v/>
      </c>
      <c r="E3" s="236" t="str">
        <f>IF($B3="", "", SUMIFS('INDIVIDUAL RESULT'!$I:$I, 'INDIVIDUAL RESULT'!$C:$C, $B3))</f>
        <v/>
      </c>
      <c r="F3" s="293" t="str" cm="1">
        <f t="array" ref="F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COLUMNS($F$3:F3), 0),
    _xlpm.Name, INDEX(_xlpm.Angler, 2),
    _xlpm.P, INDEX(_xlpm.Angler, 13),
    _xlpm.L, INDEX(_xlpm.Angler, 10),
    _xlpm.F, INDEX(_xlpm.Angler, 5) + INDEX(_xlpm.Angler, 7),
    _xlpm.Name &amp; " (" &amp; _xlpm.P &amp; " pts / " &amp; _xlpm.L &amp; "cm / " &amp; _xlpm.F &amp; " fish)"
), ""))</f>
        <v/>
      </c>
      <c r="G3" s="293" t="str" cm="1">
        <f t="array" ref="G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COLUMNS($F$3:G3), 0),
    _xlpm.Name, INDEX(_xlpm.Angler, 2),
    _xlpm.P, INDEX(_xlpm.Angler, 13),
    _xlpm.L, INDEX(_xlpm.Angler, 10),
    _xlpm.F, INDEX(_xlpm.Angler, 5) + INDEX(_xlpm.Angler, 7),
    _xlpm.Name &amp; " (" &amp; _xlpm.P &amp; " pts / " &amp; _xlpm.L &amp; "cm / " &amp; _xlpm.F &amp; " fish)"
), ""))</f>
        <v/>
      </c>
      <c r="H3" s="293" t="str" cm="1">
        <f t="array" ref="H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COLUMNS($F$3:H3), 0),
    _xlpm.Name, INDEX(_xlpm.Angler, 2),
    _xlpm.P, INDEX(_xlpm.Angler, 13),
    _xlpm.L, INDEX(_xlpm.Angler, 10),
    _xlpm.F, INDEX(_xlpm.Angler, 5) + INDEX(_xlpm.Angler, 7),
    _xlpm.Name &amp; " (" &amp; _xlpm.P &amp; " pts / " &amp; _xlpm.L &amp; "cm / " &amp; _xlpm.F &amp; " fish)"
), ""))</f>
        <v/>
      </c>
      <c r="I3" s="293" t="str" cm="1">
        <f t="array" ref="I3">IF($B3="", "", IFERROR(_xlfn.LET(
    _xlpm.Team, $B3,
    _xlpm.Data, 'MASTER DATABASE'!$AD$4:$AP$124,
    _xlpm.TData, _xlfn._xlws.FILTER(_xlpm.Data, INDEX(_xlpm.Data, 0, 3)=_xlpm.Team),
    _xlpm.Sorted, _xlfn.SORTBY(_xlpm.TData, INDEX(_xlpm.TData, 0, 13), 1, INDEX(_xlpm.TData, 0, 10), -1, (INDEX(_xlpm.TData, 0, 5) + INDEX(_xlpm.TData, 0, 7)), -1),
    _xlpm.Angler, INDEX(_xlpm.Sorted, COLUMNS($F$3:I3), 0),
    _xlpm.Name, INDEX(_xlpm.Angler, 2),
    _xlpm.P, INDEX(_xlpm.Angler, 13),
    _xlpm.L, INDEX(_xlpm.Angler, 10),
    _xlpm.F, INDEX(_xlpm.Angler, 5) + INDEX(_xlpm.Angler, 7),
    _xlpm.Name &amp; " (" &amp; _xlpm.P &amp; " pts / " &amp; _xlpm.L &amp; "cm / " &amp; _xlpm.F &amp; " fish)"
), ""))</f>
        <v/>
      </c>
      <c r="M3" s="52" t="e" cm="1" vm="1">
        <f t="array" ref="M3">_xlfn.UNIQUE(_xlfn._xlws.FILTER(REGISTRATION!C2:C129, (REGISTRATION!C2:C129&lt;&gt;"")*(REGISTRATION!C2:C129&lt;&gt;0)))</f>
        <v>#VALUE!</v>
      </c>
      <c r="N3" s="52" cm="1">
        <f t="array" ref="N3">_xlfn.BYROW(_xlfn.ANCHORARRAY(M3), _xlfn.LAMBDA(_xlpm.team, SUM(SUMIF(DATA!B:B, _xlfn._xlws.FILTER(REGISTRATION!B:B, REGISTRATION!C:C=_xlpm.team), DATA!M:M))))</f>
        <v>0</v>
      </c>
      <c r="O3" s="52" cm="1">
        <f t="array" ref="O3">_xlfn.BYROW(_xlfn.ANCHORARRAY(M3), _xlfn.LAMBDA(_xlpm.team, SUM(SUMIF(DATA!B:B, _xlfn._xlws.FILTER(REGISTRATION!B:B, REGISTRATION!C:C=_xlpm.team), DATA!J:J))))</f>
        <v>0</v>
      </c>
      <c r="P3" s="52" cm="1">
        <f t="array" ref="P3">COUNTIF(REGISTRATION!C:C,_xlfn.ANCHORARRAY( M3))</f>
        <v>0</v>
      </c>
      <c r="R3" s="52" t="e" cm="1" vm="2">
        <f t="array" aca="1" ref="R3" ca="1">_xlfn.LET(
    _xlpm.Tms, B3:B10,
    _xlpm.Data, _xlfn.REDUCE({"Team","A1","P1","A2","P2","A3","P3","A4","P4"}, _xlpm.Tms, _xlfn.LAMBDA(_xlpm.acc,_xlpm.t,
        _xlfn.LET(
            _xlpm.IndivData, _xlfn._xlws.SORT(_xlfn._xlws.FILTER(_xlfn.HSTACK('MASTER DATABASE'!$AE$3:$AE$121, 'MASTER DATABASE'!$AM$3:$AM$121), 'MASTER DATABASE'!$AF$3:$AF$121=_xlpm.t), 2, -1),
            _xlpm.Names, _xlfn.CHOOSECOLS(_xlpm.IndivData, 1),
            _xlpm.Lengths, _xlfn.CHOOSECOLS(_xlpm.IndivData, 2),
            _xlpm.Total, SUM(_xlpm.Lengths),
            _xlpm.Percents, IF(_xlpm.Total=0, 0, _xlpm.Lengths/_xlpm.Total),
            _xlfn.VSTACK(_xlpm.acc, _xlfn.HSTACK(_xlpm.t, _xlfn.TOROW(_xlfn.HSTACK(_xlpm.Names, _xlpm.Percents))))
        )
    )),
    _xlpm.Data
)</f>
        <v>#VALUE!</v>
      </c>
    </row>
    <row r="4" spans="1:27" ht="27.75" customHeight="1">
      <c r="A4" s="64"/>
      <c r="B4" s="235"/>
      <c r="C4" s="236" t="str">
        <f>IF($B4="", "", SUMIFS('INDIVIDUAL RESULT'!$D:$D, 'INDIVIDUAL RESULT'!$C:$C, $B4))</f>
        <v/>
      </c>
      <c r="D4" s="236" t="str">
        <f>IF($B4="", "", SUMIFS('INDIVIDUAL RESULT'!$H:$H, 'INDIVIDUAL RESULT'!$C:$C, $B4))</f>
        <v/>
      </c>
      <c r="E4" s="236" t="str">
        <f>IF($B4="", "", SUMIFS('INDIVIDUAL RESULT'!$I:$I, 'INDIVIDUAL RESULT'!$C:$C, $B4))</f>
        <v/>
      </c>
      <c r="F4" s="293" t="str" cm="1">
        <f t="array" ref="F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COLUMNS($F$3:F4), 0),
    _xlpm.Name, INDEX(_xlpm.Angler, 2),
    _xlpm.P, INDEX(_xlpm.Angler, 13),
    _xlpm.L, INDEX(_xlpm.Angler, 10),
    _xlpm.F, INDEX(_xlpm.Angler, 5) + INDEX(_xlpm.Angler, 7),
    _xlpm.Name &amp; " (" &amp; _xlpm.P &amp; " pts / " &amp; _xlpm.L &amp; "cm / " &amp; _xlpm.F &amp; " fish)"
), ""))</f>
        <v/>
      </c>
      <c r="G4" s="293" t="str" cm="1">
        <f t="array" ref="G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COLUMNS($F$3:G4), 0),
    _xlpm.Name, INDEX(_xlpm.Angler, 2),
    _xlpm.P, INDEX(_xlpm.Angler, 13),
    _xlpm.L, INDEX(_xlpm.Angler, 10),
    _xlpm.F, INDEX(_xlpm.Angler, 5) + INDEX(_xlpm.Angler, 7),
    _xlpm.Name &amp; " (" &amp; _xlpm.P &amp; " pts / " &amp; _xlpm.L &amp; "cm / " &amp; _xlpm.F &amp; " fish)"
), ""))</f>
        <v/>
      </c>
      <c r="H4" s="293" t="str" cm="1">
        <f t="array" ref="H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COLUMNS($F$3:H4), 0),
    _xlpm.Name, INDEX(_xlpm.Angler, 2),
    _xlpm.P, INDEX(_xlpm.Angler, 13),
    _xlpm.L, INDEX(_xlpm.Angler, 10),
    _xlpm.F, INDEX(_xlpm.Angler, 5) + INDEX(_xlpm.Angler, 7),
    _xlpm.Name &amp; " (" &amp; _xlpm.P &amp; " pts / " &amp; _xlpm.L &amp; "cm / " &amp; _xlpm.F &amp; " fish)"
), ""))</f>
        <v/>
      </c>
      <c r="I4" s="293" t="str" cm="1">
        <f t="array" ref="I4">IF($B4="", "", IFERROR(_xlfn.LET(
    _xlpm.Team, $B4,
    _xlpm.Data, 'MASTER DATABASE'!$AD$4:$AP$124,
    _xlpm.TData, _xlfn._xlws.FILTER(_xlpm.Data, INDEX(_xlpm.Data, 0, 3)=_xlpm.Team),
    _xlpm.Sorted, _xlfn.SORTBY(_xlpm.TData, INDEX(_xlpm.TData, 0, 13), 1, INDEX(_xlpm.TData, 0, 10), -1, (INDEX(_xlpm.TData, 0, 5) + INDEX(_xlpm.TData, 0, 7)), -1),
    _xlpm.Angler, INDEX(_xlpm.Sorted, COLUMNS($F$3:I4), 0),
    _xlpm.Name, INDEX(_xlpm.Angler, 2),
    _xlpm.P, INDEX(_xlpm.Angler, 13),
    _xlpm.L, INDEX(_xlpm.Angler, 10),
    _xlpm.F, INDEX(_xlpm.Angler, 5) + INDEX(_xlpm.Angler, 7),
    _xlpm.Name &amp; " (" &amp; _xlpm.P &amp; " pts / " &amp; _xlpm.L &amp; "cm / " &amp; _xlpm.F &amp; " fish)"
), ""))</f>
        <v/>
      </c>
      <c r="AA4" s="52">
        <f>IFERROR(VLOOKUP(B4, 'DAY 1 SCORES'!$B$4:$H$152, 7, FALSE) + VLOOKUP(B4, 'DAY 2 SCORES'!$B$4:$H$152, 7, FALSE), 0)</f>
        <v>0</v>
      </c>
    </row>
    <row r="5" spans="1:27" ht="27.75" customHeight="1">
      <c r="A5" s="64"/>
      <c r="B5" s="235"/>
      <c r="C5" s="236" t="str">
        <f>IF($B5="", "", SUMIFS('INDIVIDUAL RESULT'!$D:$D, 'INDIVIDUAL RESULT'!$C:$C, $B5))</f>
        <v/>
      </c>
      <c r="D5" s="236" t="str">
        <f>IF($B5="", "", SUMIFS('INDIVIDUAL RESULT'!$H:$H, 'INDIVIDUAL RESULT'!$C:$C, $B5))</f>
        <v/>
      </c>
      <c r="E5" s="236" t="str">
        <f>IF($B5="", "", SUMIFS('INDIVIDUAL RESULT'!$I:$I, 'INDIVIDUAL RESULT'!$C:$C, $B5))</f>
        <v/>
      </c>
      <c r="F5" s="293" t="str" cm="1">
        <f t="array" ref="F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COLUMNS($F$3:F5), 0),
    _xlpm.Name, INDEX(_xlpm.Angler, 2),
    _xlpm.P, INDEX(_xlpm.Angler, 13),
    _xlpm.L, INDEX(_xlpm.Angler, 10),
    _xlpm.F, INDEX(_xlpm.Angler, 5) + INDEX(_xlpm.Angler, 7),
    _xlpm.Name &amp; " (" &amp; _xlpm.P &amp; " pts / " &amp; _xlpm.L &amp; "cm / " &amp; _xlpm.F &amp; " fish)"
), ""))</f>
        <v/>
      </c>
      <c r="G5" s="293" t="str" cm="1">
        <f t="array" ref="G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COLUMNS($F$3:G5), 0),
    _xlpm.Name, INDEX(_xlpm.Angler, 2),
    _xlpm.P, INDEX(_xlpm.Angler, 13),
    _xlpm.L, INDEX(_xlpm.Angler, 10),
    _xlpm.F, INDEX(_xlpm.Angler, 5) + INDEX(_xlpm.Angler, 7),
    _xlpm.Name &amp; " (" &amp; _xlpm.P &amp; " pts / " &amp; _xlpm.L &amp; "cm / " &amp; _xlpm.F &amp; " fish)"
), ""))</f>
        <v/>
      </c>
      <c r="H5" s="293" t="str" cm="1">
        <f t="array" ref="H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COLUMNS($F$3:H5), 0),
    _xlpm.Name, INDEX(_xlpm.Angler, 2),
    _xlpm.P, INDEX(_xlpm.Angler, 13),
    _xlpm.L, INDEX(_xlpm.Angler, 10),
    _xlpm.F, INDEX(_xlpm.Angler, 5) + INDEX(_xlpm.Angler, 7),
    _xlpm.Name &amp; " (" &amp; _xlpm.P &amp; " pts / " &amp; _xlpm.L &amp; "cm / " &amp; _xlpm.F &amp; " fish)"
), ""))</f>
        <v/>
      </c>
      <c r="I5" s="293" t="str" cm="1">
        <f t="array" ref="I5">IF($B5="", "", IFERROR(_xlfn.LET(
    _xlpm.Team, $B5,
    _xlpm.Data, 'MASTER DATABASE'!$AD$4:$AP$124,
    _xlpm.TData, _xlfn._xlws.FILTER(_xlpm.Data, INDEX(_xlpm.Data, 0, 3)=_xlpm.Team),
    _xlpm.Sorted, _xlfn.SORTBY(_xlpm.TData, INDEX(_xlpm.TData, 0, 13), 1, INDEX(_xlpm.TData, 0, 10), -1, (INDEX(_xlpm.TData, 0, 5) + INDEX(_xlpm.TData, 0, 7)), -1),
    _xlpm.Angler, INDEX(_xlpm.Sorted, COLUMNS($F$3:I5), 0),
    _xlpm.Name, INDEX(_xlpm.Angler, 2),
    _xlpm.P, INDEX(_xlpm.Angler, 13),
    _xlpm.L, INDEX(_xlpm.Angler, 10),
    _xlpm.F, INDEX(_xlpm.Angler, 5) + INDEX(_xlpm.Angler, 7),
    _xlpm.Name &amp; " (" &amp; _xlpm.P &amp; " pts / " &amp; _xlpm.L &amp; "cm / " &amp; _xlpm.F &amp; " fish)"
), ""))</f>
        <v/>
      </c>
      <c r="AA5" s="52">
        <f>IFERROR(VLOOKUP(B5, 'DAY 1 SCORES'!$B$4:$H$152, 7, FALSE) + VLOOKUP(B5, 'DAY 2 SCORES'!$B$4:$H$152, 7, FALSE), 0)</f>
        <v>0</v>
      </c>
    </row>
    <row r="6" spans="1:27" ht="27.75" customHeight="1">
      <c r="A6" s="64"/>
      <c r="B6" s="235"/>
      <c r="C6" s="236" t="str">
        <f>IF($B6="", "", SUMIFS('INDIVIDUAL RESULT'!$D:$D, 'INDIVIDUAL RESULT'!$C:$C, $B6))</f>
        <v/>
      </c>
      <c r="D6" s="236" t="str">
        <f>IF($B6="", "", SUMIFS('INDIVIDUAL RESULT'!$H:$H, 'INDIVIDUAL RESULT'!$C:$C, $B6))</f>
        <v/>
      </c>
      <c r="E6" s="236" t="str">
        <f>IF($B6="", "", SUMIFS('INDIVIDUAL RESULT'!$I:$I, 'INDIVIDUAL RESULT'!$C:$C, $B6))</f>
        <v/>
      </c>
      <c r="F6" s="293" t="str" cm="1">
        <f t="array" ref="F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COLUMNS($F$3:F6), 0),
    _xlpm.Name, INDEX(_xlpm.Angler, 2),
    _xlpm.P, INDEX(_xlpm.Angler, 13),
    _xlpm.L, INDEX(_xlpm.Angler, 10),
    _xlpm.F, INDEX(_xlpm.Angler, 5) + INDEX(_xlpm.Angler, 7),
    _xlpm.Name &amp; " (" &amp; _xlpm.P &amp; " pts / " &amp; _xlpm.L &amp; "cm / " &amp; _xlpm.F &amp; " fish)"
), ""))</f>
        <v/>
      </c>
      <c r="G6" s="293" t="str" cm="1">
        <f t="array" ref="G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COLUMNS($F$3:G6), 0),
    _xlpm.Name, INDEX(_xlpm.Angler, 2),
    _xlpm.P, INDEX(_xlpm.Angler, 13),
    _xlpm.L, INDEX(_xlpm.Angler, 10),
    _xlpm.F, INDEX(_xlpm.Angler, 5) + INDEX(_xlpm.Angler, 7),
    _xlpm.Name &amp; " (" &amp; _xlpm.P &amp; " pts / " &amp; _xlpm.L &amp; "cm / " &amp; _xlpm.F &amp; " fish)"
), ""))</f>
        <v/>
      </c>
      <c r="H6" s="293" t="str" cm="1">
        <f t="array" ref="H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COLUMNS($F$3:H6), 0),
    _xlpm.Name, INDEX(_xlpm.Angler, 2),
    _xlpm.P, INDEX(_xlpm.Angler, 13),
    _xlpm.L, INDEX(_xlpm.Angler, 10),
    _xlpm.F, INDEX(_xlpm.Angler, 5) + INDEX(_xlpm.Angler, 7),
    _xlpm.Name &amp; " (" &amp; _xlpm.P &amp; " pts / " &amp; _xlpm.L &amp; "cm / " &amp; _xlpm.F &amp; " fish)"
), ""))</f>
        <v/>
      </c>
      <c r="I6" s="293" t="str" cm="1">
        <f t="array" ref="I6">IF($B6="", "", IFERROR(_xlfn.LET(
    _xlpm.Team, $B6,
    _xlpm.Data, 'MASTER DATABASE'!$AD$4:$AP$124,
    _xlpm.TData, _xlfn._xlws.FILTER(_xlpm.Data, INDEX(_xlpm.Data, 0, 3)=_xlpm.Team),
    _xlpm.Sorted, _xlfn.SORTBY(_xlpm.TData, INDEX(_xlpm.TData, 0, 13), 1, INDEX(_xlpm.TData, 0, 10), -1, (INDEX(_xlpm.TData, 0, 5) + INDEX(_xlpm.TData, 0, 7)), -1),
    _xlpm.Angler, INDEX(_xlpm.Sorted, COLUMNS($F$3:I6), 0),
    _xlpm.Name, INDEX(_xlpm.Angler, 2),
    _xlpm.P, INDEX(_xlpm.Angler, 13),
    _xlpm.L, INDEX(_xlpm.Angler, 10),
    _xlpm.F, INDEX(_xlpm.Angler, 5) + INDEX(_xlpm.Angler, 7),
    _xlpm.Name &amp; " (" &amp; _xlpm.P &amp; " pts / " &amp; _xlpm.L &amp; "cm / " &amp; _xlpm.F &amp; " fish)"
), ""))</f>
        <v/>
      </c>
      <c r="AA6" s="52">
        <f>IFERROR(VLOOKUP(B6, 'DAY 1 SCORES'!$B$4:$H$152, 7, FALSE) + VLOOKUP(B6, 'DAY 2 SCORES'!$B$4:$H$152, 7, FALSE), 0)</f>
        <v>0</v>
      </c>
    </row>
    <row r="7" spans="1:27" ht="27.75" customHeight="1">
      <c r="A7" s="64"/>
      <c r="B7" s="235"/>
      <c r="C7" s="236" t="str">
        <f>IF($B7="", "", SUMIFS('INDIVIDUAL RESULT'!$D:$D, 'INDIVIDUAL RESULT'!$C:$C, $B7))</f>
        <v/>
      </c>
      <c r="D7" s="236" t="str">
        <f>IF($B7="", "", SUMIFS('INDIVIDUAL RESULT'!$H:$H, 'INDIVIDUAL RESULT'!$C:$C, $B7))</f>
        <v/>
      </c>
      <c r="E7" s="236" t="str">
        <f>IF($B7="", "", SUMIFS('INDIVIDUAL RESULT'!$I:$I, 'INDIVIDUAL RESULT'!$C:$C, $B7))</f>
        <v/>
      </c>
      <c r="F7" s="293" t="str" cm="1">
        <f t="array" ref="F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COLUMNS($F$3:F7), 0),
    _xlpm.Name, INDEX(_xlpm.Angler, 2),
    _xlpm.P, INDEX(_xlpm.Angler, 13),
    _xlpm.L, INDEX(_xlpm.Angler, 10),
    _xlpm.F, INDEX(_xlpm.Angler, 5) + INDEX(_xlpm.Angler, 7),
    _xlpm.Name &amp; " (" &amp; _xlpm.P &amp; " pts / " &amp; _xlpm.L &amp; "cm / " &amp; _xlpm.F &amp; " fish)"
), ""))</f>
        <v/>
      </c>
      <c r="G7" s="293" t="str" cm="1">
        <f t="array" ref="G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COLUMNS($F$3:G7), 0),
    _xlpm.Name, INDEX(_xlpm.Angler, 2),
    _xlpm.P, INDEX(_xlpm.Angler, 13),
    _xlpm.L, INDEX(_xlpm.Angler, 10),
    _xlpm.F, INDEX(_xlpm.Angler, 5) + INDEX(_xlpm.Angler, 7),
    _xlpm.Name &amp; " (" &amp; _xlpm.P &amp; " pts / " &amp; _xlpm.L &amp; "cm / " &amp; _xlpm.F &amp; " fish)"
), ""))</f>
        <v/>
      </c>
      <c r="H7" s="293" t="str" cm="1">
        <f t="array" ref="H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COLUMNS($F$3:H7), 0),
    _xlpm.Name, INDEX(_xlpm.Angler, 2),
    _xlpm.P, INDEX(_xlpm.Angler, 13),
    _xlpm.L, INDEX(_xlpm.Angler, 10),
    _xlpm.F, INDEX(_xlpm.Angler, 5) + INDEX(_xlpm.Angler, 7),
    _xlpm.Name &amp; " (" &amp; _xlpm.P &amp; " pts / " &amp; _xlpm.L &amp; "cm / " &amp; _xlpm.F &amp; " fish)"
), ""))</f>
        <v/>
      </c>
      <c r="I7" s="293" t="str" cm="1">
        <f t="array" ref="I7">IF($B7="", "", IFERROR(_xlfn.LET(
    _xlpm.Team, $B7,
    _xlpm.Data, 'MASTER DATABASE'!$AD$4:$AP$124,
    _xlpm.TData, _xlfn._xlws.FILTER(_xlpm.Data, INDEX(_xlpm.Data, 0, 3)=_xlpm.Team),
    _xlpm.Sorted, _xlfn.SORTBY(_xlpm.TData, INDEX(_xlpm.TData, 0, 13), 1, INDEX(_xlpm.TData, 0, 10), -1, (INDEX(_xlpm.TData, 0, 5) + INDEX(_xlpm.TData, 0, 7)), -1),
    _xlpm.Angler, INDEX(_xlpm.Sorted, COLUMNS($F$3:I7), 0),
    _xlpm.Name, INDEX(_xlpm.Angler, 2),
    _xlpm.P, INDEX(_xlpm.Angler, 13),
    _xlpm.L, INDEX(_xlpm.Angler, 10),
    _xlpm.F, INDEX(_xlpm.Angler, 5) + INDEX(_xlpm.Angler, 7),
    _xlpm.Name &amp; " (" &amp; _xlpm.P &amp; " pts / " &amp; _xlpm.L &amp; "cm / " &amp; _xlpm.F &amp; " fish)"
), ""))</f>
        <v/>
      </c>
      <c r="AA7" s="52">
        <f>IFERROR(VLOOKUP(B7, 'DAY 1 SCORES'!$B$4:$H$152, 7, FALSE) + VLOOKUP(B7, 'DAY 2 SCORES'!$B$4:$H$152, 7, FALSE), 0)</f>
        <v>0</v>
      </c>
    </row>
    <row r="8" spans="1:27" ht="27.75" customHeight="1">
      <c r="A8" s="64"/>
      <c r="B8" s="235"/>
      <c r="C8" s="236" t="str">
        <f>IF($B8="", "", SUMIFS('INDIVIDUAL RESULT'!$D:$D, 'INDIVIDUAL RESULT'!$C:$C, $B8))</f>
        <v/>
      </c>
      <c r="D8" s="236" t="str">
        <f>IF($B8="", "", SUMIFS('INDIVIDUAL RESULT'!$H:$H, 'INDIVIDUAL RESULT'!$C:$C, $B8))</f>
        <v/>
      </c>
      <c r="E8" s="236" t="str">
        <f>IF($B8="", "", SUMIFS('INDIVIDUAL RESULT'!$I:$I, 'INDIVIDUAL RESULT'!$C:$C, $B8))</f>
        <v/>
      </c>
      <c r="F8" s="293" t="str" cm="1">
        <f t="array" ref="F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COLUMNS($F$3:F8), 0),
    _xlpm.Name, INDEX(_xlpm.Angler, 2),
    _xlpm.P, INDEX(_xlpm.Angler, 13),
    _xlpm.L, INDEX(_xlpm.Angler, 10),
    _xlpm.F, INDEX(_xlpm.Angler, 5) + INDEX(_xlpm.Angler, 7),
    _xlpm.Name &amp; " (" &amp; _xlpm.P &amp; " pts / " &amp; _xlpm.L &amp; "cm / " &amp; _xlpm.F &amp; " fish)"
), ""))</f>
        <v/>
      </c>
      <c r="G8" s="293" t="str" cm="1">
        <f t="array" ref="G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COLUMNS($F$3:G8), 0),
    _xlpm.Name, INDEX(_xlpm.Angler, 2),
    _xlpm.P, INDEX(_xlpm.Angler, 13),
    _xlpm.L, INDEX(_xlpm.Angler, 10),
    _xlpm.F, INDEX(_xlpm.Angler, 5) + INDEX(_xlpm.Angler, 7),
    _xlpm.Name &amp; " (" &amp; _xlpm.P &amp; " pts / " &amp; _xlpm.L &amp; "cm / " &amp; _xlpm.F &amp; " fish)"
), ""))</f>
        <v/>
      </c>
      <c r="H8" s="293" t="str" cm="1">
        <f t="array" ref="H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COLUMNS($F$3:H8), 0),
    _xlpm.Name, INDEX(_xlpm.Angler, 2),
    _xlpm.P, INDEX(_xlpm.Angler, 13),
    _xlpm.L, INDEX(_xlpm.Angler, 10),
    _xlpm.F, INDEX(_xlpm.Angler, 5) + INDEX(_xlpm.Angler, 7),
    _xlpm.Name &amp; " (" &amp; _xlpm.P &amp; " pts / " &amp; _xlpm.L &amp; "cm / " &amp; _xlpm.F &amp; " fish)"
), ""))</f>
        <v/>
      </c>
      <c r="I8" s="293" t="str" cm="1">
        <f t="array" ref="I8">IF($B8="", "", IFERROR(_xlfn.LET(
    _xlpm.Team, $B8,
    _xlpm.Data, 'MASTER DATABASE'!$AD$4:$AP$124,
    _xlpm.TData, _xlfn._xlws.FILTER(_xlpm.Data, INDEX(_xlpm.Data, 0, 3)=_xlpm.Team),
    _xlpm.Sorted, _xlfn.SORTBY(_xlpm.TData, INDEX(_xlpm.TData, 0, 13), 1, INDEX(_xlpm.TData, 0, 10), -1, (INDEX(_xlpm.TData, 0, 5) + INDEX(_xlpm.TData, 0, 7)), -1),
    _xlpm.Angler, INDEX(_xlpm.Sorted, COLUMNS($F$3:I8), 0),
    _xlpm.Name, INDEX(_xlpm.Angler, 2),
    _xlpm.P, INDEX(_xlpm.Angler, 13),
    _xlpm.L, INDEX(_xlpm.Angler, 10),
    _xlpm.F, INDEX(_xlpm.Angler, 5) + INDEX(_xlpm.Angler, 7),
    _xlpm.Name &amp; " (" &amp; _xlpm.P &amp; " pts / " &amp; _xlpm.L &amp; "cm / " &amp; _xlpm.F &amp; " fish)"
), ""))</f>
        <v/>
      </c>
      <c r="AA8" s="52">
        <f>IFERROR(VLOOKUP(B8, 'DAY 1 SCORES'!$B$4:$H$152, 7, FALSE) + VLOOKUP(B8, 'DAY 2 SCORES'!$B$4:$H$152, 7, FALSE), 0)</f>
        <v>0</v>
      </c>
    </row>
    <row r="9" spans="1:27" ht="27.75" customHeight="1">
      <c r="A9" s="64"/>
      <c r="B9" s="235"/>
      <c r="C9" s="236" t="str">
        <f>IF($B9="", "", SUMIFS('INDIVIDUAL RESULT'!$D:$D, 'INDIVIDUAL RESULT'!$C:$C, $B9))</f>
        <v/>
      </c>
      <c r="D9" s="236" t="str">
        <f>IF($B9="", "", SUMIFS('INDIVIDUAL RESULT'!$H:$H, 'INDIVIDUAL RESULT'!$C:$C, $B9))</f>
        <v/>
      </c>
      <c r="E9" s="236" t="str">
        <f>IF($B9="", "", SUMIFS('INDIVIDUAL RESULT'!$I:$I, 'INDIVIDUAL RESULT'!$C:$C, $B9))</f>
        <v/>
      </c>
      <c r="F9" s="293" t="str" cm="1">
        <f t="array" ref="F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COLUMNS($F$3:F9), 0),
    _xlpm.Name, INDEX(_xlpm.Angler, 2),
    _xlpm.P, INDEX(_xlpm.Angler, 13),
    _xlpm.L, INDEX(_xlpm.Angler, 10),
    _xlpm.F, INDEX(_xlpm.Angler, 5) + INDEX(_xlpm.Angler, 7),
    _xlpm.Name &amp; " (" &amp; _xlpm.P &amp; " pts / " &amp; _xlpm.L &amp; "cm / " &amp; _xlpm.F &amp; " fish)"
), ""))</f>
        <v/>
      </c>
      <c r="G9" s="293" t="str" cm="1">
        <f t="array" ref="G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COLUMNS($F$3:G9), 0),
    _xlpm.Name, INDEX(_xlpm.Angler, 2),
    _xlpm.P, INDEX(_xlpm.Angler, 13),
    _xlpm.L, INDEX(_xlpm.Angler, 10),
    _xlpm.F, INDEX(_xlpm.Angler, 5) + INDEX(_xlpm.Angler, 7),
    _xlpm.Name &amp; " (" &amp; _xlpm.P &amp; " pts / " &amp; _xlpm.L &amp; "cm / " &amp; _xlpm.F &amp; " fish)"
), ""))</f>
        <v/>
      </c>
      <c r="H9" s="293" t="str" cm="1">
        <f t="array" ref="H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COLUMNS($F$3:H9), 0),
    _xlpm.Name, INDEX(_xlpm.Angler, 2),
    _xlpm.P, INDEX(_xlpm.Angler, 13),
    _xlpm.L, INDEX(_xlpm.Angler, 10),
    _xlpm.F, INDEX(_xlpm.Angler, 5) + INDEX(_xlpm.Angler, 7),
    _xlpm.Name &amp; " (" &amp; _xlpm.P &amp; " pts / " &amp; _xlpm.L &amp; "cm / " &amp; _xlpm.F &amp; " fish)"
), ""))</f>
        <v/>
      </c>
      <c r="I9" s="293" t="str" cm="1">
        <f t="array" ref="I9">IF($B9="", "", IFERROR(_xlfn.LET(
    _xlpm.Team, $B9,
    _xlpm.Data, 'MASTER DATABASE'!$AD$4:$AP$124,
    _xlpm.TData, _xlfn._xlws.FILTER(_xlpm.Data, INDEX(_xlpm.Data, 0, 3)=_xlpm.Team),
    _xlpm.Sorted, _xlfn.SORTBY(_xlpm.TData, INDEX(_xlpm.TData, 0, 13), 1, INDEX(_xlpm.TData, 0, 10), -1, (INDEX(_xlpm.TData, 0, 5) + INDEX(_xlpm.TData, 0, 7)), -1),
    _xlpm.Angler, INDEX(_xlpm.Sorted, COLUMNS($F$3:I9), 0),
    _xlpm.Name, INDEX(_xlpm.Angler, 2),
    _xlpm.P, INDEX(_xlpm.Angler, 13),
    _xlpm.L, INDEX(_xlpm.Angler, 10),
    _xlpm.F, INDEX(_xlpm.Angler, 5) + INDEX(_xlpm.Angler, 7),
    _xlpm.Name &amp; " (" &amp; _xlpm.P &amp; " pts / " &amp; _xlpm.L &amp; "cm / " &amp; _xlpm.F &amp; " fish)"
), ""))</f>
        <v/>
      </c>
      <c r="AA9" s="52">
        <f>IFERROR(VLOOKUP(B9, 'DAY 1 SCORES'!$B$4:$H$152, 7, FALSE) + VLOOKUP(B9, 'DAY 2 SCORES'!$B$4:$H$152, 7, FALSE), 0)</f>
        <v>0</v>
      </c>
    </row>
    <row r="10" spans="1:27" ht="27.75" customHeight="1">
      <c r="A10" s="64"/>
      <c r="B10" s="235"/>
      <c r="C10" s="236" t="str">
        <f>IF($B10="", "", SUMIFS('INDIVIDUAL RESULT'!$D:$D, 'INDIVIDUAL RESULT'!$C:$C, $B10))</f>
        <v/>
      </c>
      <c r="D10" s="236" t="str">
        <f>IF($B10="", "", SUMIFS('INDIVIDUAL RESULT'!$H:$H, 'INDIVIDUAL RESULT'!$C:$C, $B10))</f>
        <v/>
      </c>
      <c r="E10" s="236" t="str">
        <f>IF($B10="", "", SUMIFS('INDIVIDUAL RESULT'!$I:$I, 'INDIVIDUAL RESULT'!$C:$C, $B10))</f>
        <v/>
      </c>
      <c r="F10" s="293" t="str" cm="1">
        <f t="array" ref="F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COLUMNS($F$3:F10), 0),
    _xlpm.Name, INDEX(_xlpm.Angler, 2),
    _xlpm.P, INDEX(_xlpm.Angler, 13),
    _xlpm.L, INDEX(_xlpm.Angler, 10),
    _xlpm.F, INDEX(_xlpm.Angler, 5) + INDEX(_xlpm.Angler, 7),
    _xlpm.Name &amp; " (" &amp; _xlpm.P &amp; " pts / " &amp; _xlpm.L &amp; "cm / " &amp; _xlpm.F &amp; " fish)"
), ""))</f>
        <v/>
      </c>
      <c r="G10" s="293" t="str" cm="1">
        <f t="array" ref="G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COLUMNS($F$3:G10), 0),
    _xlpm.Name, INDEX(_xlpm.Angler, 2),
    _xlpm.P, INDEX(_xlpm.Angler, 13),
    _xlpm.L, INDEX(_xlpm.Angler, 10),
    _xlpm.F, INDEX(_xlpm.Angler, 5) + INDEX(_xlpm.Angler, 7),
    _xlpm.Name &amp; " (" &amp; _xlpm.P &amp; " pts / " &amp; _xlpm.L &amp; "cm / " &amp; _xlpm.F &amp; " fish)"
), ""))</f>
        <v/>
      </c>
      <c r="H10" s="293" t="str" cm="1">
        <f t="array" ref="H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COLUMNS($F$3:H10), 0),
    _xlpm.Name, INDEX(_xlpm.Angler, 2),
    _xlpm.P, INDEX(_xlpm.Angler, 13),
    _xlpm.L, INDEX(_xlpm.Angler, 10),
    _xlpm.F, INDEX(_xlpm.Angler, 5) + INDEX(_xlpm.Angler, 7),
    _xlpm.Name &amp; " (" &amp; _xlpm.P &amp; " pts / " &amp; _xlpm.L &amp; "cm / " &amp; _xlpm.F &amp; " fish)"
), ""))</f>
        <v/>
      </c>
      <c r="I10" s="293" t="str" cm="1">
        <f t="array" ref="I10">IF($B10="", "", IFERROR(_xlfn.LET(
    _xlpm.Team, $B10,
    _xlpm.Data, 'MASTER DATABASE'!$AD$4:$AP$124,
    _xlpm.TData, _xlfn._xlws.FILTER(_xlpm.Data, INDEX(_xlpm.Data, 0, 3)=_xlpm.Team),
    _xlpm.Sorted, _xlfn.SORTBY(_xlpm.TData, INDEX(_xlpm.TData, 0, 13), 1, INDEX(_xlpm.TData, 0, 10), -1, (INDEX(_xlpm.TData, 0, 5) + INDEX(_xlpm.TData, 0, 7)), -1),
    _xlpm.Angler, INDEX(_xlpm.Sorted, COLUMNS($F$3:I10), 0),
    _xlpm.Name, INDEX(_xlpm.Angler, 2),
    _xlpm.P, INDEX(_xlpm.Angler, 13),
    _xlpm.L, INDEX(_xlpm.Angler, 10),
    _xlpm.F, INDEX(_xlpm.Angler, 5) + INDEX(_xlpm.Angler, 7),
    _xlpm.Name &amp; " (" &amp; _xlpm.P &amp; " pts / " &amp; _xlpm.L &amp; "cm / " &amp; _xlpm.F &amp; " fish)"
), ""))</f>
        <v/>
      </c>
      <c r="AA10" s="52">
        <f>IFERROR(VLOOKUP(B10, 'DAY 1 SCORES'!$B$4:$H$152, 7, FALSE) + VLOOKUP(B10, 'DAY 2 SCORES'!$B$4:$H$152, 7, FALSE), 0)</f>
        <v>0</v>
      </c>
    </row>
    <row r="11" spans="1:27" ht="27.75" customHeight="1">
      <c r="A11" s="64"/>
      <c r="B11" s="235"/>
      <c r="C11" s="236" t="str">
        <f>IF($B11="", "", SUMIFS('INDIVIDUAL RESULT'!$D:$D, 'INDIVIDUAL RESULT'!$C:$C, $B11))</f>
        <v/>
      </c>
      <c r="D11" s="236" t="str">
        <f>IF($B11="", "", SUMIFS('INDIVIDUAL RESULT'!$H:$H, 'INDIVIDUAL RESULT'!$C:$C, $B11))</f>
        <v/>
      </c>
      <c r="E11" s="236" t="str">
        <f>IF($B11="", "", SUMIFS('INDIVIDUAL RESULT'!$I:$I, 'INDIVIDUAL RESULT'!$C:$C, $B11))</f>
        <v/>
      </c>
      <c r="F11" s="293" t="str" cm="1">
        <f t="array" ref="F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COLUMNS($F$3:F11), 0),
    _xlpm.Name, INDEX(_xlpm.Angler, 2),
    _xlpm.P, INDEX(_xlpm.Angler, 13),
    _xlpm.L, INDEX(_xlpm.Angler, 10),
    _xlpm.F, INDEX(_xlpm.Angler, 5) + INDEX(_xlpm.Angler, 7),
    _xlpm.Name &amp; " (" &amp; _xlpm.P &amp; " pts / " &amp; _xlpm.L &amp; "cm / " &amp; _xlpm.F &amp; " fish)"
), ""))</f>
        <v/>
      </c>
      <c r="G11" s="293" t="str" cm="1">
        <f t="array" ref="G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COLUMNS($F$3:G11), 0),
    _xlpm.Name, INDEX(_xlpm.Angler, 2),
    _xlpm.P, INDEX(_xlpm.Angler, 13),
    _xlpm.L, INDEX(_xlpm.Angler, 10),
    _xlpm.F, INDEX(_xlpm.Angler, 5) + INDEX(_xlpm.Angler, 7),
    _xlpm.Name &amp; " (" &amp; _xlpm.P &amp; " pts / " &amp; _xlpm.L &amp; "cm / " &amp; _xlpm.F &amp; " fish)"
), ""))</f>
        <v/>
      </c>
      <c r="H11" s="293" t="str" cm="1">
        <f t="array" ref="H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COLUMNS($F$3:H11), 0),
    _xlpm.Name, INDEX(_xlpm.Angler, 2),
    _xlpm.P, INDEX(_xlpm.Angler, 13),
    _xlpm.L, INDEX(_xlpm.Angler, 10),
    _xlpm.F, INDEX(_xlpm.Angler, 5) + INDEX(_xlpm.Angler, 7),
    _xlpm.Name &amp; " (" &amp; _xlpm.P &amp; " pts / " &amp; _xlpm.L &amp; "cm / " &amp; _xlpm.F &amp; " fish)"
), ""))</f>
        <v/>
      </c>
      <c r="I11" s="293" t="str" cm="1">
        <f t="array" ref="I11">IF($B11="", "", IFERROR(_xlfn.LET(
    _xlpm.Team, $B11,
    _xlpm.Data, 'MASTER DATABASE'!$AD$4:$AP$124,
    _xlpm.TData, _xlfn._xlws.FILTER(_xlpm.Data, INDEX(_xlpm.Data, 0, 3)=_xlpm.Team),
    _xlpm.Sorted, _xlfn.SORTBY(_xlpm.TData, INDEX(_xlpm.TData, 0, 13), 1, INDEX(_xlpm.TData, 0, 10), -1, (INDEX(_xlpm.TData, 0, 5) + INDEX(_xlpm.TData, 0, 7)), -1),
    _xlpm.Angler, INDEX(_xlpm.Sorted, COLUMNS($F$3:I11), 0),
    _xlpm.Name, INDEX(_xlpm.Angler, 2),
    _xlpm.P, INDEX(_xlpm.Angler, 13),
    _xlpm.L, INDEX(_xlpm.Angler, 10),
    _xlpm.F, INDEX(_xlpm.Angler, 5) + INDEX(_xlpm.Angler, 7),
    _xlpm.Name &amp; " (" &amp; _xlpm.P &amp; " pts / " &amp; _xlpm.L &amp; "cm / " &amp; _xlpm.F &amp; " fish)"
), ""))</f>
        <v/>
      </c>
      <c r="AA11" s="52">
        <f>IFERROR(VLOOKUP(B11, 'DAY 1 SCORES'!$B$4:$H$152, 7, FALSE) + VLOOKUP(B11, 'DAY 2 SCORES'!$B$4:$H$152, 7, FALSE), 0)</f>
        <v>0</v>
      </c>
    </row>
    <row r="12" spans="1:27" ht="27.75" customHeight="1">
      <c r="A12" s="64"/>
      <c r="B12" s="235"/>
      <c r="C12" s="236" t="str">
        <f>IF($B12="", "", SUMIFS('INDIVIDUAL RESULT'!$D:$D, 'INDIVIDUAL RESULT'!$C:$C, $B12))</f>
        <v/>
      </c>
      <c r="D12" s="236" t="str">
        <f>IF($B12="", "", SUMIFS('INDIVIDUAL RESULT'!$H:$H, 'INDIVIDUAL RESULT'!$C:$C, $B12))</f>
        <v/>
      </c>
      <c r="E12" s="236" t="str">
        <f>IF($B12="", "", SUMIFS('INDIVIDUAL RESULT'!$I:$I, 'INDIVIDUAL RESULT'!$C:$C, $B12))</f>
        <v/>
      </c>
      <c r="F12" s="293" t="str" cm="1">
        <f t="array" ref="F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COLUMNS($F$3:F12), 0),
    _xlpm.Name, INDEX(_xlpm.Angler, 2),
    _xlpm.P, INDEX(_xlpm.Angler, 13),
    _xlpm.L, INDEX(_xlpm.Angler, 10),
    _xlpm.F, INDEX(_xlpm.Angler, 5) + INDEX(_xlpm.Angler, 7),
    _xlpm.Name &amp; " (" &amp; _xlpm.P &amp; " pts / " &amp; _xlpm.L &amp; "cm / " &amp; _xlpm.F &amp; " fish)"
), ""))</f>
        <v/>
      </c>
      <c r="G12" s="293" t="str" cm="1">
        <f t="array" ref="G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COLUMNS($F$3:G12), 0),
    _xlpm.Name, INDEX(_xlpm.Angler, 2),
    _xlpm.P, INDEX(_xlpm.Angler, 13),
    _xlpm.L, INDEX(_xlpm.Angler, 10),
    _xlpm.F, INDEX(_xlpm.Angler, 5) + INDEX(_xlpm.Angler, 7),
    _xlpm.Name &amp; " (" &amp; _xlpm.P &amp; " pts / " &amp; _xlpm.L &amp; "cm / " &amp; _xlpm.F &amp; " fish)"
), ""))</f>
        <v/>
      </c>
      <c r="H12" s="293" t="str" cm="1">
        <f t="array" ref="H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COLUMNS($F$3:H12), 0),
    _xlpm.Name, INDEX(_xlpm.Angler, 2),
    _xlpm.P, INDEX(_xlpm.Angler, 13),
    _xlpm.L, INDEX(_xlpm.Angler, 10),
    _xlpm.F, INDEX(_xlpm.Angler, 5) + INDEX(_xlpm.Angler, 7),
    _xlpm.Name &amp; " (" &amp; _xlpm.P &amp; " pts / " &amp; _xlpm.L &amp; "cm / " &amp; _xlpm.F &amp; " fish)"
), ""))</f>
        <v/>
      </c>
      <c r="I12" s="293" t="str" cm="1">
        <f t="array" ref="I12">IF($B12="", "", IFERROR(_xlfn.LET(
    _xlpm.Team, $B12,
    _xlpm.Data, 'MASTER DATABASE'!$AD$4:$AP$124,
    _xlpm.TData, _xlfn._xlws.FILTER(_xlpm.Data, INDEX(_xlpm.Data, 0, 3)=_xlpm.Team),
    _xlpm.Sorted, _xlfn.SORTBY(_xlpm.TData, INDEX(_xlpm.TData, 0, 13), 1, INDEX(_xlpm.TData, 0, 10), -1, (INDEX(_xlpm.TData, 0, 5) + INDEX(_xlpm.TData, 0, 7)), -1),
    _xlpm.Angler, INDEX(_xlpm.Sorted, COLUMNS($F$3:I12), 0),
    _xlpm.Name, INDEX(_xlpm.Angler, 2),
    _xlpm.P, INDEX(_xlpm.Angler, 13),
    _xlpm.L, INDEX(_xlpm.Angler, 10),
    _xlpm.F, INDEX(_xlpm.Angler, 5) + INDEX(_xlpm.Angler, 7),
    _xlpm.Name &amp; " (" &amp; _xlpm.P &amp; " pts / " &amp; _xlpm.L &amp; "cm / " &amp; _xlpm.F &amp; " fish)"
), ""))</f>
        <v/>
      </c>
      <c r="AA12" s="52">
        <f>IFERROR(VLOOKUP(B12, 'DAY 1 SCORES'!$B$4:$H$152, 7, FALSE) + VLOOKUP(B12, 'DAY 2 SCORES'!$B$4:$H$152, 7, FALSE), 0)</f>
        <v>0</v>
      </c>
    </row>
    <row r="13" spans="1:27" ht="27.75" customHeight="1">
      <c r="A13" s="64"/>
      <c r="B13" s="235"/>
      <c r="C13" s="236" t="str">
        <f>IF($B13="", "", SUMIFS('INDIVIDUAL RESULT'!$D:$D, 'INDIVIDUAL RESULT'!$C:$C, $B13))</f>
        <v/>
      </c>
      <c r="D13" s="236" t="str">
        <f>IF($B13="", "", SUMIFS('INDIVIDUAL RESULT'!$H:$H, 'INDIVIDUAL RESULT'!$C:$C, $B13))</f>
        <v/>
      </c>
      <c r="E13" s="236" t="str">
        <f>IF($B13="", "", SUMIFS('INDIVIDUAL RESULT'!$I:$I, 'INDIVIDUAL RESULT'!$C:$C, $B13))</f>
        <v/>
      </c>
      <c r="F13" s="293" t="str" cm="1">
        <f t="array" ref="F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COLUMNS($F$3:F13), 0),
    _xlpm.Name, INDEX(_xlpm.Angler, 2),
    _xlpm.P, INDEX(_xlpm.Angler, 13),
    _xlpm.L, INDEX(_xlpm.Angler, 10),
    _xlpm.F, INDEX(_xlpm.Angler, 5) + INDEX(_xlpm.Angler, 7),
    _xlpm.Name &amp; " (" &amp; _xlpm.P &amp; " pts / " &amp; _xlpm.L &amp; "cm / " &amp; _xlpm.F &amp; " fish)"
), ""))</f>
        <v/>
      </c>
      <c r="G13" s="293" t="str" cm="1">
        <f t="array" ref="G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COLUMNS($F$3:G13), 0),
    _xlpm.Name, INDEX(_xlpm.Angler, 2),
    _xlpm.P, INDEX(_xlpm.Angler, 13),
    _xlpm.L, INDEX(_xlpm.Angler, 10),
    _xlpm.F, INDEX(_xlpm.Angler, 5) + INDEX(_xlpm.Angler, 7),
    _xlpm.Name &amp; " (" &amp; _xlpm.P &amp; " pts / " &amp; _xlpm.L &amp; "cm / " &amp; _xlpm.F &amp; " fish)"
), ""))</f>
        <v/>
      </c>
      <c r="H13" s="293" t="str" cm="1">
        <f t="array" ref="H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COLUMNS($F$3:H13), 0),
    _xlpm.Name, INDEX(_xlpm.Angler, 2),
    _xlpm.P, INDEX(_xlpm.Angler, 13),
    _xlpm.L, INDEX(_xlpm.Angler, 10),
    _xlpm.F, INDEX(_xlpm.Angler, 5) + INDEX(_xlpm.Angler, 7),
    _xlpm.Name &amp; " (" &amp; _xlpm.P &amp; " pts / " &amp; _xlpm.L &amp; "cm / " &amp; _xlpm.F &amp; " fish)"
), ""))</f>
        <v/>
      </c>
      <c r="I13" s="293" t="str" cm="1">
        <f t="array" ref="I13">IF($B13="", "", IFERROR(_xlfn.LET(
    _xlpm.Team, $B13,
    _xlpm.Data, 'MASTER DATABASE'!$AD$4:$AP$124,
    _xlpm.TData, _xlfn._xlws.FILTER(_xlpm.Data, INDEX(_xlpm.Data, 0, 3)=_xlpm.Team),
    _xlpm.Sorted, _xlfn.SORTBY(_xlpm.TData, INDEX(_xlpm.TData, 0, 13), 1, INDEX(_xlpm.TData, 0, 10), -1, (INDEX(_xlpm.TData, 0, 5) + INDEX(_xlpm.TData, 0, 7)), -1),
    _xlpm.Angler, INDEX(_xlpm.Sorted, COLUMNS($F$3:I13), 0),
    _xlpm.Name, INDEX(_xlpm.Angler, 2),
    _xlpm.P, INDEX(_xlpm.Angler, 13),
    _xlpm.L, INDEX(_xlpm.Angler, 10),
    _xlpm.F, INDEX(_xlpm.Angler, 5) + INDEX(_xlpm.Angler, 7),
    _xlpm.Name &amp; " (" &amp; _xlpm.P &amp; " pts / " &amp; _xlpm.L &amp; "cm / " &amp; _xlpm.F &amp; " fish)"
), ""))</f>
        <v/>
      </c>
      <c r="AA13" s="52">
        <f>IFERROR(VLOOKUP(B13, 'DAY 1 SCORES'!$B$4:$H$152, 7, FALSE) + VLOOKUP(B13, 'DAY 2 SCORES'!$B$4:$H$152, 7, FALSE), 0)</f>
        <v>0</v>
      </c>
    </row>
    <row r="14" spans="1:27" ht="27.75" customHeight="1">
      <c r="A14" s="64"/>
      <c r="B14" s="235"/>
      <c r="C14" s="236" t="str">
        <f>IF($B14="", "", SUMIFS('INDIVIDUAL RESULT'!$D:$D, 'INDIVIDUAL RESULT'!$C:$C, $B14))</f>
        <v/>
      </c>
      <c r="D14" s="236" t="str">
        <f>IF($B14="", "", SUMIFS('INDIVIDUAL RESULT'!$H:$H, 'INDIVIDUAL RESULT'!$C:$C, $B14))</f>
        <v/>
      </c>
      <c r="E14" s="236" t="str">
        <f>IF($B14="", "", SUMIFS('INDIVIDUAL RESULT'!$I:$I, 'INDIVIDUAL RESULT'!$C:$C, $B14))</f>
        <v/>
      </c>
      <c r="F14" s="293" t="str" cm="1">
        <f t="array" ref="F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COLUMNS($F$3:F14), 0),
    _xlpm.Name, INDEX(_xlpm.Angler, 2),
    _xlpm.P, INDEX(_xlpm.Angler, 13),
    _xlpm.L, INDEX(_xlpm.Angler, 10),
    _xlpm.F, INDEX(_xlpm.Angler, 5) + INDEX(_xlpm.Angler, 7),
    _xlpm.Name &amp; " (" &amp; _xlpm.P &amp; " pts / " &amp; _xlpm.L &amp; "cm / " &amp; _xlpm.F &amp; " fish)"
), ""))</f>
        <v/>
      </c>
      <c r="G14" s="293" t="str" cm="1">
        <f t="array" ref="G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COLUMNS($F$3:G14), 0),
    _xlpm.Name, INDEX(_xlpm.Angler, 2),
    _xlpm.P, INDEX(_xlpm.Angler, 13),
    _xlpm.L, INDEX(_xlpm.Angler, 10),
    _xlpm.F, INDEX(_xlpm.Angler, 5) + INDEX(_xlpm.Angler, 7),
    _xlpm.Name &amp; " (" &amp; _xlpm.P &amp; " pts / " &amp; _xlpm.L &amp; "cm / " &amp; _xlpm.F &amp; " fish)"
), ""))</f>
        <v/>
      </c>
      <c r="H14" s="293" t="str" cm="1">
        <f t="array" ref="H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COLUMNS($F$3:H14), 0),
    _xlpm.Name, INDEX(_xlpm.Angler, 2),
    _xlpm.P, INDEX(_xlpm.Angler, 13),
    _xlpm.L, INDEX(_xlpm.Angler, 10),
    _xlpm.F, INDEX(_xlpm.Angler, 5) + INDEX(_xlpm.Angler, 7),
    _xlpm.Name &amp; " (" &amp; _xlpm.P &amp; " pts / " &amp; _xlpm.L &amp; "cm / " &amp; _xlpm.F &amp; " fish)"
), ""))</f>
        <v/>
      </c>
      <c r="I14" s="293" t="str" cm="1">
        <f t="array" ref="I14">IF($B14="", "", IFERROR(_xlfn.LET(
    _xlpm.Team, $B14,
    _xlpm.Data, 'MASTER DATABASE'!$AD$4:$AP$124,
    _xlpm.TData, _xlfn._xlws.FILTER(_xlpm.Data, INDEX(_xlpm.Data, 0, 3)=_xlpm.Team),
    _xlpm.Sorted, _xlfn.SORTBY(_xlpm.TData, INDEX(_xlpm.TData, 0, 13), 1, INDEX(_xlpm.TData, 0, 10), -1, (INDEX(_xlpm.TData, 0, 5) + INDEX(_xlpm.TData, 0, 7)), -1),
    _xlpm.Angler, INDEX(_xlpm.Sorted, COLUMNS($F$3:I14), 0),
    _xlpm.Name, INDEX(_xlpm.Angler, 2),
    _xlpm.P, INDEX(_xlpm.Angler, 13),
    _xlpm.L, INDEX(_xlpm.Angler, 10),
    _xlpm.F, INDEX(_xlpm.Angler, 5) + INDEX(_xlpm.Angler, 7),
    _xlpm.Name &amp; " (" &amp; _xlpm.P &amp; " pts / " &amp; _xlpm.L &amp; "cm / " &amp; _xlpm.F &amp; " fish)"
), ""))</f>
        <v/>
      </c>
      <c r="AA14" s="52">
        <f>IFERROR(VLOOKUP(B14, 'DAY 1 SCORES'!$B$4:$H$152, 7, FALSE) + VLOOKUP(B14, 'DAY 2 SCORES'!$B$4:$H$152, 7, FALSE), 0)</f>
        <v>0</v>
      </c>
    </row>
    <row r="15" spans="1:27" ht="27.75" customHeight="1">
      <c r="A15" s="64"/>
      <c r="B15" s="235"/>
      <c r="C15" s="236" t="str">
        <f>IF($B15="", "", SUMIFS('INDIVIDUAL RESULT'!$D:$D, 'INDIVIDUAL RESULT'!$C:$C, $B15))</f>
        <v/>
      </c>
      <c r="D15" s="236" t="str">
        <f>IF($B15="", "", SUMIFS('INDIVIDUAL RESULT'!$H:$H, 'INDIVIDUAL RESULT'!$C:$C, $B15))</f>
        <v/>
      </c>
      <c r="E15" s="236" t="str">
        <f>IF($B15="", "", SUMIFS('INDIVIDUAL RESULT'!$I:$I, 'INDIVIDUAL RESULT'!$C:$C, $B15))</f>
        <v/>
      </c>
      <c r="F15" s="293" t="str" cm="1">
        <f t="array" ref="F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COLUMNS($F$3:F15), 0),
    _xlpm.Name, INDEX(_xlpm.Angler, 2),
    _xlpm.P, INDEX(_xlpm.Angler, 13),
    _xlpm.L, INDEX(_xlpm.Angler, 10),
    _xlpm.F, INDEX(_xlpm.Angler, 5) + INDEX(_xlpm.Angler, 7),
    _xlpm.Name &amp; " (" &amp; _xlpm.P &amp; " pts / " &amp; _xlpm.L &amp; "cm / " &amp; _xlpm.F &amp; " fish)"
), ""))</f>
        <v/>
      </c>
      <c r="G15" s="293" t="str" cm="1">
        <f t="array" ref="G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COLUMNS($F$3:G15), 0),
    _xlpm.Name, INDEX(_xlpm.Angler, 2),
    _xlpm.P, INDEX(_xlpm.Angler, 13),
    _xlpm.L, INDEX(_xlpm.Angler, 10),
    _xlpm.F, INDEX(_xlpm.Angler, 5) + INDEX(_xlpm.Angler, 7),
    _xlpm.Name &amp; " (" &amp; _xlpm.P &amp; " pts / " &amp; _xlpm.L &amp; "cm / " &amp; _xlpm.F &amp; " fish)"
), ""))</f>
        <v/>
      </c>
      <c r="H15" s="293" t="str" cm="1">
        <f t="array" ref="H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COLUMNS($F$3:H15), 0),
    _xlpm.Name, INDEX(_xlpm.Angler, 2),
    _xlpm.P, INDEX(_xlpm.Angler, 13),
    _xlpm.L, INDEX(_xlpm.Angler, 10),
    _xlpm.F, INDEX(_xlpm.Angler, 5) + INDEX(_xlpm.Angler, 7),
    _xlpm.Name &amp; " (" &amp; _xlpm.P &amp; " pts / " &amp; _xlpm.L &amp; "cm / " &amp; _xlpm.F &amp; " fish)"
), ""))</f>
        <v/>
      </c>
      <c r="I15" s="293" t="str" cm="1">
        <f t="array" ref="I15">IF($B15="", "", IFERROR(_xlfn.LET(
    _xlpm.Team, $B15,
    _xlpm.Data, 'MASTER DATABASE'!$AD$4:$AP$124,
    _xlpm.TData, _xlfn._xlws.FILTER(_xlpm.Data, INDEX(_xlpm.Data, 0, 3)=_xlpm.Team),
    _xlpm.Sorted, _xlfn.SORTBY(_xlpm.TData, INDEX(_xlpm.TData, 0, 13), 1, INDEX(_xlpm.TData, 0, 10), -1, (INDEX(_xlpm.TData, 0, 5) + INDEX(_xlpm.TData, 0, 7)), -1),
    _xlpm.Angler, INDEX(_xlpm.Sorted, COLUMNS($F$3:I15), 0),
    _xlpm.Name, INDEX(_xlpm.Angler, 2),
    _xlpm.P, INDEX(_xlpm.Angler, 13),
    _xlpm.L, INDEX(_xlpm.Angler, 10),
    _xlpm.F, INDEX(_xlpm.Angler, 5) + INDEX(_xlpm.Angler, 7),
    _xlpm.Name &amp; " (" &amp; _xlpm.P &amp; " pts / " &amp; _xlpm.L &amp; "cm / " &amp; _xlpm.F &amp; " fish)"
), ""))</f>
        <v/>
      </c>
      <c r="AA15" s="52">
        <f>IFERROR(VLOOKUP(B15, 'DAY 1 SCORES'!$B$4:$H$152, 7, FALSE) + VLOOKUP(B15, 'DAY 2 SCORES'!$B$4:$H$152, 7, FALSE), 0)</f>
        <v>0</v>
      </c>
    </row>
    <row r="16" spans="1:27" ht="27.75" customHeight="1">
      <c r="A16" s="64"/>
      <c r="B16" s="235"/>
      <c r="C16" s="236" t="str">
        <f>IF($B16="", "", SUMIFS('INDIVIDUAL RESULT'!$D:$D, 'INDIVIDUAL RESULT'!$C:$C, $B16))</f>
        <v/>
      </c>
      <c r="D16" s="236" t="str">
        <f>IF($B16="", "", SUMIFS('INDIVIDUAL RESULT'!$H:$H, 'INDIVIDUAL RESULT'!$C:$C, $B16))</f>
        <v/>
      </c>
      <c r="E16" s="236" t="str">
        <f>IF($B16="", "", SUMIFS('INDIVIDUAL RESULT'!$I:$I, 'INDIVIDUAL RESULT'!$C:$C, $B16))</f>
        <v/>
      </c>
      <c r="F16" s="293" t="str" cm="1">
        <f t="array" ref="F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COLUMNS($F$3:F16), 0),
    _xlpm.Name, INDEX(_xlpm.Angler, 2),
    _xlpm.P, INDEX(_xlpm.Angler, 13),
    _xlpm.L, INDEX(_xlpm.Angler, 10),
    _xlpm.F, INDEX(_xlpm.Angler, 5) + INDEX(_xlpm.Angler, 7),
    _xlpm.Name &amp; " (" &amp; _xlpm.P &amp; " pts / " &amp; _xlpm.L &amp; "cm / " &amp; _xlpm.F &amp; " fish)"
), ""))</f>
        <v/>
      </c>
      <c r="G16" s="293" t="str" cm="1">
        <f t="array" ref="G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COLUMNS($F$3:G16), 0),
    _xlpm.Name, INDEX(_xlpm.Angler, 2),
    _xlpm.P, INDEX(_xlpm.Angler, 13),
    _xlpm.L, INDEX(_xlpm.Angler, 10),
    _xlpm.F, INDEX(_xlpm.Angler, 5) + INDEX(_xlpm.Angler, 7),
    _xlpm.Name &amp; " (" &amp; _xlpm.P &amp; " pts / " &amp; _xlpm.L &amp; "cm / " &amp; _xlpm.F &amp; " fish)"
), ""))</f>
        <v/>
      </c>
      <c r="H16" s="293" t="str" cm="1">
        <f t="array" ref="H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COLUMNS($F$3:H16), 0),
    _xlpm.Name, INDEX(_xlpm.Angler, 2),
    _xlpm.P, INDEX(_xlpm.Angler, 13),
    _xlpm.L, INDEX(_xlpm.Angler, 10),
    _xlpm.F, INDEX(_xlpm.Angler, 5) + INDEX(_xlpm.Angler, 7),
    _xlpm.Name &amp; " (" &amp; _xlpm.P &amp; " pts / " &amp; _xlpm.L &amp; "cm / " &amp; _xlpm.F &amp; " fish)"
), ""))</f>
        <v/>
      </c>
      <c r="I16" s="293" t="str" cm="1">
        <f t="array" ref="I16">IF($B16="", "", IFERROR(_xlfn.LET(
    _xlpm.Team, $B16,
    _xlpm.Data, 'MASTER DATABASE'!$AD$4:$AP$124,
    _xlpm.TData, _xlfn._xlws.FILTER(_xlpm.Data, INDEX(_xlpm.Data, 0, 3)=_xlpm.Team),
    _xlpm.Sorted, _xlfn.SORTBY(_xlpm.TData, INDEX(_xlpm.TData, 0, 13), 1, INDEX(_xlpm.TData, 0, 10), -1, (INDEX(_xlpm.TData, 0, 5) + INDEX(_xlpm.TData, 0, 7)), -1),
    _xlpm.Angler, INDEX(_xlpm.Sorted, COLUMNS($F$3:I16), 0),
    _xlpm.Name, INDEX(_xlpm.Angler, 2),
    _xlpm.P, INDEX(_xlpm.Angler, 13),
    _xlpm.L, INDEX(_xlpm.Angler, 10),
    _xlpm.F, INDEX(_xlpm.Angler, 5) + INDEX(_xlpm.Angler, 7),
    _xlpm.Name &amp; " (" &amp; _xlpm.P &amp; " pts / " &amp; _xlpm.L &amp; "cm / " &amp; _xlpm.F &amp; " fish)"
), ""))</f>
        <v/>
      </c>
      <c r="AA16" s="52">
        <f>IFERROR(VLOOKUP(B16, 'DAY 1 SCORES'!$B$4:$H$152, 7, FALSE) + VLOOKUP(B16, 'DAY 2 SCORES'!$B$4:$H$152, 7, FALSE), 0)</f>
        <v>0</v>
      </c>
    </row>
    <row r="17" spans="1:27" ht="27.75" customHeight="1">
      <c r="A17" s="64"/>
      <c r="B17" s="235"/>
      <c r="C17" s="236" t="str">
        <f>IF($B17="", "", SUMIFS('INDIVIDUAL RESULT'!$D:$D, 'INDIVIDUAL RESULT'!$C:$C, $B17))</f>
        <v/>
      </c>
      <c r="D17" s="236" t="str">
        <f>IF($B17="", "", SUMIFS('INDIVIDUAL RESULT'!$H:$H, 'INDIVIDUAL RESULT'!$C:$C, $B17))</f>
        <v/>
      </c>
      <c r="E17" s="236" t="str">
        <f>IF($B17="", "", SUMIFS('INDIVIDUAL RESULT'!$I:$I, 'INDIVIDUAL RESULT'!$C:$C, $B17))</f>
        <v/>
      </c>
      <c r="F17" s="293" t="str" cm="1">
        <f t="array" ref="F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COLUMNS($F$3:F17), 0),
    _xlpm.Name, INDEX(_xlpm.Angler, 2),
    _xlpm.P, INDEX(_xlpm.Angler, 13),
    _xlpm.L, INDEX(_xlpm.Angler, 10),
    _xlpm.F, INDEX(_xlpm.Angler, 5) + INDEX(_xlpm.Angler, 7),
    _xlpm.Name &amp; " (" &amp; _xlpm.P &amp; " pts / " &amp; _xlpm.L &amp; "cm / " &amp; _xlpm.F &amp; " fish)"
), ""))</f>
        <v/>
      </c>
      <c r="G17" s="293" t="str" cm="1">
        <f t="array" ref="G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COLUMNS($F$3:G17), 0),
    _xlpm.Name, INDEX(_xlpm.Angler, 2),
    _xlpm.P, INDEX(_xlpm.Angler, 13),
    _xlpm.L, INDEX(_xlpm.Angler, 10),
    _xlpm.F, INDEX(_xlpm.Angler, 5) + INDEX(_xlpm.Angler, 7),
    _xlpm.Name &amp; " (" &amp; _xlpm.P &amp; " pts / " &amp; _xlpm.L &amp; "cm / " &amp; _xlpm.F &amp; " fish)"
), ""))</f>
        <v/>
      </c>
      <c r="H17" s="293" t="str" cm="1">
        <f t="array" ref="H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COLUMNS($F$3:H17), 0),
    _xlpm.Name, INDEX(_xlpm.Angler, 2),
    _xlpm.P, INDEX(_xlpm.Angler, 13),
    _xlpm.L, INDEX(_xlpm.Angler, 10),
    _xlpm.F, INDEX(_xlpm.Angler, 5) + INDEX(_xlpm.Angler, 7),
    _xlpm.Name &amp; " (" &amp; _xlpm.P &amp; " pts / " &amp; _xlpm.L &amp; "cm / " &amp; _xlpm.F &amp; " fish)"
), ""))</f>
        <v/>
      </c>
      <c r="I17" s="293" t="str" cm="1">
        <f t="array" ref="I17">IF($B17="", "", IFERROR(_xlfn.LET(
    _xlpm.Team, $B17,
    _xlpm.Data, 'MASTER DATABASE'!$AD$4:$AP$124,
    _xlpm.TData, _xlfn._xlws.FILTER(_xlpm.Data, INDEX(_xlpm.Data, 0, 3)=_xlpm.Team),
    _xlpm.Sorted, _xlfn.SORTBY(_xlpm.TData, INDEX(_xlpm.TData, 0, 13), 1, INDEX(_xlpm.TData, 0, 10), -1, (INDEX(_xlpm.TData, 0, 5) + INDEX(_xlpm.TData, 0, 7)), -1),
    _xlpm.Angler, INDEX(_xlpm.Sorted, COLUMNS($F$3:I17), 0),
    _xlpm.Name, INDEX(_xlpm.Angler, 2),
    _xlpm.P, INDEX(_xlpm.Angler, 13),
    _xlpm.L, INDEX(_xlpm.Angler, 10),
    _xlpm.F, INDEX(_xlpm.Angler, 5) + INDEX(_xlpm.Angler, 7),
    _xlpm.Name &amp; " (" &amp; _xlpm.P &amp; " pts / " &amp; _xlpm.L &amp; "cm / " &amp; _xlpm.F &amp; " fish)"
), ""))</f>
        <v/>
      </c>
      <c r="AA17" s="52">
        <f>IFERROR(VLOOKUP(B17, 'DAY 1 SCORES'!$B$4:$H$152, 7, FALSE) + VLOOKUP(B17, 'DAY 2 SCORES'!$B$4:$H$152, 7, FALSE), 0)</f>
        <v>0</v>
      </c>
    </row>
    <row r="18" spans="1:27" ht="27.75" customHeight="1">
      <c r="A18" s="64"/>
      <c r="B18" s="235"/>
      <c r="C18" s="236" t="str">
        <f>IF($B18="", "", SUMIFS('INDIVIDUAL RESULT'!$D:$D, 'INDIVIDUAL RESULT'!$C:$C, $B18))</f>
        <v/>
      </c>
      <c r="D18" s="236" t="str">
        <f>IF($B18="", "", SUMIFS('INDIVIDUAL RESULT'!$H:$H, 'INDIVIDUAL RESULT'!$C:$C, $B18))</f>
        <v/>
      </c>
      <c r="E18" s="236" t="str">
        <f>IF($B18="", "", SUMIFS('INDIVIDUAL RESULT'!$I:$I, 'INDIVIDUAL RESULT'!$C:$C, $B18))</f>
        <v/>
      </c>
      <c r="F18" s="293" t="str" cm="1">
        <f t="array" ref="F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COLUMNS($F$3:F18), 0),
    _xlpm.Name, INDEX(_xlpm.Angler, 2),
    _xlpm.P, INDEX(_xlpm.Angler, 13),
    _xlpm.L, INDEX(_xlpm.Angler, 10),
    _xlpm.F, INDEX(_xlpm.Angler, 5) + INDEX(_xlpm.Angler, 7),
    _xlpm.Name &amp; " (" &amp; _xlpm.P &amp; " pts / " &amp; _xlpm.L &amp; "cm / " &amp; _xlpm.F &amp; " fish)"
), ""))</f>
        <v/>
      </c>
      <c r="G18" s="293" t="str" cm="1">
        <f t="array" ref="G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COLUMNS($F$3:G18), 0),
    _xlpm.Name, INDEX(_xlpm.Angler, 2),
    _xlpm.P, INDEX(_xlpm.Angler, 13),
    _xlpm.L, INDEX(_xlpm.Angler, 10),
    _xlpm.F, INDEX(_xlpm.Angler, 5) + INDEX(_xlpm.Angler, 7),
    _xlpm.Name &amp; " (" &amp; _xlpm.P &amp; " pts / " &amp; _xlpm.L &amp; "cm / " &amp; _xlpm.F &amp; " fish)"
), ""))</f>
        <v/>
      </c>
      <c r="H18" s="293" t="str" cm="1">
        <f t="array" ref="H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COLUMNS($F$3:H18), 0),
    _xlpm.Name, INDEX(_xlpm.Angler, 2),
    _xlpm.P, INDEX(_xlpm.Angler, 13),
    _xlpm.L, INDEX(_xlpm.Angler, 10),
    _xlpm.F, INDEX(_xlpm.Angler, 5) + INDEX(_xlpm.Angler, 7),
    _xlpm.Name &amp; " (" &amp; _xlpm.P &amp; " pts / " &amp; _xlpm.L &amp; "cm / " &amp; _xlpm.F &amp; " fish)"
), ""))</f>
        <v/>
      </c>
      <c r="I18" s="293" t="str" cm="1">
        <f t="array" ref="I18">IF($B18="", "", IFERROR(_xlfn.LET(
    _xlpm.Team, $B18,
    _xlpm.Data, 'MASTER DATABASE'!$AD$4:$AP$124,
    _xlpm.TData, _xlfn._xlws.FILTER(_xlpm.Data, INDEX(_xlpm.Data, 0, 3)=_xlpm.Team),
    _xlpm.Sorted, _xlfn.SORTBY(_xlpm.TData, INDEX(_xlpm.TData, 0, 13), 1, INDEX(_xlpm.TData, 0, 10), -1, (INDEX(_xlpm.TData, 0, 5) + INDEX(_xlpm.TData, 0, 7)), -1),
    _xlpm.Angler, INDEX(_xlpm.Sorted, COLUMNS($F$3:I18), 0),
    _xlpm.Name, INDEX(_xlpm.Angler, 2),
    _xlpm.P, INDEX(_xlpm.Angler, 13),
    _xlpm.L, INDEX(_xlpm.Angler, 10),
    _xlpm.F, INDEX(_xlpm.Angler, 5) + INDEX(_xlpm.Angler, 7),
    _xlpm.Name &amp; " (" &amp; _xlpm.P &amp; " pts / " &amp; _xlpm.L &amp; "cm / " &amp; _xlpm.F &amp; " fish)"
), ""))</f>
        <v/>
      </c>
      <c r="AA18" s="52">
        <f>IFERROR(VLOOKUP(B18, 'DAY 1 SCORES'!$B$4:$H$152, 7, FALSE) + VLOOKUP(B18, 'DAY 2 SCORES'!$B$4:$H$152, 7, FALSE), 0)</f>
        <v>0</v>
      </c>
    </row>
    <row r="19" spans="1:27" ht="27.75" customHeight="1">
      <c r="A19" s="64"/>
      <c r="B19" s="235"/>
      <c r="C19" s="236" t="str">
        <f>IF($B19="", "", SUMIFS('INDIVIDUAL RESULT'!$D:$D, 'INDIVIDUAL RESULT'!$C:$C, $B19))</f>
        <v/>
      </c>
      <c r="D19" s="236" t="str">
        <f>IF($B19="", "", SUMIFS('INDIVIDUAL RESULT'!$H:$H, 'INDIVIDUAL RESULT'!$C:$C, $B19))</f>
        <v/>
      </c>
      <c r="E19" s="236" t="str">
        <f>IF($B19="", "", SUMIFS('INDIVIDUAL RESULT'!$I:$I, 'INDIVIDUAL RESULT'!$C:$C, $B19))</f>
        <v/>
      </c>
      <c r="F19" s="293" t="str" cm="1">
        <f t="array" ref="F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COLUMNS($F$3:F19), 0),
    _xlpm.Name, INDEX(_xlpm.Angler, 2),
    _xlpm.P, INDEX(_xlpm.Angler, 13),
    _xlpm.L, INDEX(_xlpm.Angler, 10),
    _xlpm.F, INDEX(_xlpm.Angler, 5) + INDEX(_xlpm.Angler, 7),
    _xlpm.Name &amp; " (" &amp; _xlpm.P &amp; " pts / " &amp; _xlpm.L &amp; "cm / " &amp; _xlpm.F &amp; " fish)"
), ""))</f>
        <v/>
      </c>
      <c r="G19" s="293" t="str" cm="1">
        <f t="array" ref="G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COLUMNS($F$3:G19), 0),
    _xlpm.Name, INDEX(_xlpm.Angler, 2),
    _xlpm.P, INDEX(_xlpm.Angler, 13),
    _xlpm.L, INDEX(_xlpm.Angler, 10),
    _xlpm.F, INDEX(_xlpm.Angler, 5) + INDEX(_xlpm.Angler, 7),
    _xlpm.Name &amp; " (" &amp; _xlpm.P &amp; " pts / " &amp; _xlpm.L &amp; "cm / " &amp; _xlpm.F &amp; " fish)"
), ""))</f>
        <v/>
      </c>
      <c r="H19" s="293" t="str" cm="1">
        <f t="array" ref="H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COLUMNS($F$3:H19), 0),
    _xlpm.Name, INDEX(_xlpm.Angler, 2),
    _xlpm.P, INDEX(_xlpm.Angler, 13),
    _xlpm.L, INDEX(_xlpm.Angler, 10),
    _xlpm.F, INDEX(_xlpm.Angler, 5) + INDEX(_xlpm.Angler, 7),
    _xlpm.Name &amp; " (" &amp; _xlpm.P &amp; " pts / " &amp; _xlpm.L &amp; "cm / " &amp; _xlpm.F &amp; " fish)"
), ""))</f>
        <v/>
      </c>
      <c r="I19" s="293" t="str" cm="1">
        <f t="array" ref="I19">IF($B19="", "", IFERROR(_xlfn.LET(
    _xlpm.Team, $B19,
    _xlpm.Data, 'MASTER DATABASE'!$AD$4:$AP$124,
    _xlpm.TData, _xlfn._xlws.FILTER(_xlpm.Data, INDEX(_xlpm.Data, 0, 3)=_xlpm.Team),
    _xlpm.Sorted, _xlfn.SORTBY(_xlpm.TData, INDEX(_xlpm.TData, 0, 13), 1, INDEX(_xlpm.TData, 0, 10), -1, (INDEX(_xlpm.TData, 0, 5) + INDEX(_xlpm.TData, 0, 7)), -1),
    _xlpm.Angler, INDEX(_xlpm.Sorted, COLUMNS($F$3:I19), 0),
    _xlpm.Name, INDEX(_xlpm.Angler, 2),
    _xlpm.P, INDEX(_xlpm.Angler, 13),
    _xlpm.L, INDEX(_xlpm.Angler, 10),
    _xlpm.F, INDEX(_xlpm.Angler, 5) + INDEX(_xlpm.Angler, 7),
    _xlpm.Name &amp; " (" &amp; _xlpm.P &amp; " pts / " &amp; _xlpm.L &amp; "cm / " &amp; _xlpm.F &amp; " fish)"
), ""))</f>
        <v/>
      </c>
      <c r="AA19" s="52">
        <f>IFERROR(VLOOKUP(B19, 'DAY 1 SCORES'!$B$4:$H$152, 7, FALSE) + VLOOKUP(B19, 'DAY 2 SCORES'!$B$4:$H$152, 7, FALSE), 0)</f>
        <v>0</v>
      </c>
    </row>
    <row r="20" spans="1:27" ht="27.75" customHeight="1">
      <c r="A20" s="64"/>
      <c r="B20" s="235"/>
      <c r="C20" s="236" t="str">
        <f>IF($B20="", "", SUMIFS('INDIVIDUAL RESULT'!$D:$D, 'INDIVIDUAL RESULT'!$C:$C, $B20))</f>
        <v/>
      </c>
      <c r="D20" s="236" t="str">
        <f>IF($B20="", "", SUMIFS('INDIVIDUAL RESULT'!$H:$H, 'INDIVIDUAL RESULT'!$C:$C, $B20))</f>
        <v/>
      </c>
      <c r="E20" s="236" t="str">
        <f>IF($B20="", "", SUMIFS('INDIVIDUAL RESULT'!$I:$I, 'INDIVIDUAL RESULT'!$C:$C, $B20))</f>
        <v/>
      </c>
      <c r="F20" s="293" t="str" cm="1">
        <f t="array" ref="F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COLUMNS($F$3:F20), 0),
    _xlpm.Name, INDEX(_xlpm.Angler, 2),
    _xlpm.P, INDEX(_xlpm.Angler, 13),
    _xlpm.L, INDEX(_xlpm.Angler, 10),
    _xlpm.F, INDEX(_xlpm.Angler, 5) + INDEX(_xlpm.Angler, 7),
    _xlpm.Name &amp; " (" &amp; _xlpm.P &amp; " pts / " &amp; _xlpm.L &amp; "cm / " &amp; _xlpm.F &amp; " fish)"
), ""))</f>
        <v/>
      </c>
      <c r="G20" s="293" t="str" cm="1">
        <f t="array" ref="G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COLUMNS($F$3:G20), 0),
    _xlpm.Name, INDEX(_xlpm.Angler, 2),
    _xlpm.P, INDEX(_xlpm.Angler, 13),
    _xlpm.L, INDEX(_xlpm.Angler, 10),
    _xlpm.F, INDEX(_xlpm.Angler, 5) + INDEX(_xlpm.Angler, 7),
    _xlpm.Name &amp; " (" &amp; _xlpm.P &amp; " pts / " &amp; _xlpm.L &amp; "cm / " &amp; _xlpm.F &amp; " fish)"
), ""))</f>
        <v/>
      </c>
      <c r="H20" s="293" t="str" cm="1">
        <f t="array" ref="H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COLUMNS($F$3:H20), 0),
    _xlpm.Name, INDEX(_xlpm.Angler, 2),
    _xlpm.P, INDEX(_xlpm.Angler, 13),
    _xlpm.L, INDEX(_xlpm.Angler, 10),
    _xlpm.F, INDEX(_xlpm.Angler, 5) + INDEX(_xlpm.Angler, 7),
    _xlpm.Name &amp; " (" &amp; _xlpm.P &amp; " pts / " &amp; _xlpm.L &amp; "cm / " &amp; _xlpm.F &amp; " fish)"
), ""))</f>
        <v/>
      </c>
      <c r="I20" s="293" t="str" cm="1">
        <f t="array" ref="I20">IF($B20="", "", IFERROR(_xlfn.LET(
    _xlpm.Team, $B20,
    _xlpm.Data, 'MASTER DATABASE'!$AD$4:$AP$124,
    _xlpm.TData, _xlfn._xlws.FILTER(_xlpm.Data, INDEX(_xlpm.Data, 0, 3)=_xlpm.Team),
    _xlpm.Sorted, _xlfn.SORTBY(_xlpm.TData, INDEX(_xlpm.TData, 0, 13), 1, INDEX(_xlpm.TData, 0, 10), -1, (INDEX(_xlpm.TData, 0, 5) + INDEX(_xlpm.TData, 0, 7)), -1),
    _xlpm.Angler, INDEX(_xlpm.Sorted, COLUMNS($F$3:I20), 0),
    _xlpm.Name, INDEX(_xlpm.Angler, 2),
    _xlpm.P, INDEX(_xlpm.Angler, 13),
    _xlpm.L, INDEX(_xlpm.Angler, 10),
    _xlpm.F, INDEX(_xlpm.Angler, 5) + INDEX(_xlpm.Angler, 7),
    _xlpm.Name &amp; " (" &amp; _xlpm.P &amp; " pts / " &amp; _xlpm.L &amp; "cm / " &amp; _xlpm.F &amp; " fish)"
), ""))</f>
        <v/>
      </c>
      <c r="AA20" s="52">
        <f>IFERROR(VLOOKUP(B20, 'DAY 1 SCORES'!$B$4:$H$152, 7, FALSE) + VLOOKUP(B20, 'DAY 2 SCORES'!$B$4:$H$152, 7, FALSE), 0)</f>
        <v>0</v>
      </c>
    </row>
    <row r="21" spans="1:27" ht="27.75" customHeight="1">
      <c r="A21" s="64"/>
      <c r="B21" s="235"/>
      <c r="C21" s="236" t="str">
        <f>IF($B21="", "", SUMIFS('INDIVIDUAL RESULT'!$D:$D, 'INDIVIDUAL RESULT'!$C:$C, $B21))</f>
        <v/>
      </c>
      <c r="D21" s="236" t="str">
        <f>IF($B21="", "", SUMIFS('INDIVIDUAL RESULT'!$H:$H, 'INDIVIDUAL RESULT'!$C:$C, $B21))</f>
        <v/>
      </c>
      <c r="E21" s="236" t="str">
        <f>IF($B21="", "", SUMIFS('INDIVIDUAL RESULT'!$I:$I, 'INDIVIDUAL RESULT'!$C:$C, $B21))</f>
        <v/>
      </c>
      <c r="F21" s="293" t="str" cm="1">
        <f t="array" ref="F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COLUMNS($F$3:F21), 0),
    _xlpm.Name, INDEX(_xlpm.Angler, 2),
    _xlpm.P, INDEX(_xlpm.Angler, 13),
    _xlpm.L, INDEX(_xlpm.Angler, 10),
    _xlpm.F, INDEX(_xlpm.Angler, 5) + INDEX(_xlpm.Angler, 7),
    _xlpm.Name &amp; " (" &amp; _xlpm.P &amp; " pts / " &amp; _xlpm.L &amp; "cm / " &amp; _xlpm.F &amp; " fish)"
), ""))</f>
        <v/>
      </c>
      <c r="G21" s="293" t="str" cm="1">
        <f t="array" ref="G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COLUMNS($F$3:G21), 0),
    _xlpm.Name, INDEX(_xlpm.Angler, 2),
    _xlpm.P, INDEX(_xlpm.Angler, 13),
    _xlpm.L, INDEX(_xlpm.Angler, 10),
    _xlpm.F, INDEX(_xlpm.Angler, 5) + INDEX(_xlpm.Angler, 7),
    _xlpm.Name &amp; " (" &amp; _xlpm.P &amp; " pts / " &amp; _xlpm.L &amp; "cm / " &amp; _xlpm.F &amp; " fish)"
), ""))</f>
        <v/>
      </c>
      <c r="H21" s="293" t="str" cm="1">
        <f t="array" ref="H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COLUMNS($F$3:H21), 0),
    _xlpm.Name, INDEX(_xlpm.Angler, 2),
    _xlpm.P, INDEX(_xlpm.Angler, 13),
    _xlpm.L, INDEX(_xlpm.Angler, 10),
    _xlpm.F, INDEX(_xlpm.Angler, 5) + INDEX(_xlpm.Angler, 7),
    _xlpm.Name &amp; " (" &amp; _xlpm.P &amp; " pts / " &amp; _xlpm.L &amp; "cm / " &amp; _xlpm.F &amp; " fish)"
), ""))</f>
        <v/>
      </c>
      <c r="I21" s="293" t="str" cm="1">
        <f t="array" ref="I21">IF($B21="", "", IFERROR(_xlfn.LET(
    _xlpm.Team, $B21,
    _xlpm.Data, 'MASTER DATABASE'!$AD$4:$AP$124,
    _xlpm.TData, _xlfn._xlws.FILTER(_xlpm.Data, INDEX(_xlpm.Data, 0, 3)=_xlpm.Team),
    _xlpm.Sorted, _xlfn.SORTBY(_xlpm.TData, INDEX(_xlpm.TData, 0, 13), 1, INDEX(_xlpm.TData, 0, 10), -1, (INDEX(_xlpm.TData, 0, 5) + INDEX(_xlpm.TData, 0, 7)), -1),
    _xlpm.Angler, INDEX(_xlpm.Sorted, COLUMNS($F$3:I21), 0),
    _xlpm.Name, INDEX(_xlpm.Angler, 2),
    _xlpm.P, INDEX(_xlpm.Angler, 13),
    _xlpm.L, INDEX(_xlpm.Angler, 10),
    _xlpm.F, INDEX(_xlpm.Angler, 5) + INDEX(_xlpm.Angler, 7),
    _xlpm.Name &amp; " (" &amp; _xlpm.P &amp; " pts / " &amp; _xlpm.L &amp; "cm / " &amp; _xlpm.F &amp; " fish)"
), ""))</f>
        <v/>
      </c>
      <c r="AA21" s="52">
        <f>IFERROR(VLOOKUP(B21, 'DAY 1 SCORES'!$B$4:$H$152, 7, FALSE) + VLOOKUP(B21, 'DAY 2 SCORES'!$B$4:$H$152, 7, FALSE), 0)</f>
        <v>0</v>
      </c>
    </row>
    <row r="22" spans="1:27" ht="27.75" customHeight="1">
      <c r="A22" s="64"/>
      <c r="B22" s="235"/>
      <c r="C22" s="236" t="str">
        <f>IF($B22="", "", SUMIFS('INDIVIDUAL RESULT'!$D:$D, 'INDIVIDUAL RESULT'!$C:$C, $B22))</f>
        <v/>
      </c>
      <c r="D22" s="236" t="str">
        <f>IF($B22="", "", SUMIFS('INDIVIDUAL RESULT'!$H:$H, 'INDIVIDUAL RESULT'!$C:$C, $B22))</f>
        <v/>
      </c>
      <c r="E22" s="236" t="str">
        <f>IF($B22="", "", SUMIFS('INDIVIDUAL RESULT'!$I:$I, 'INDIVIDUAL RESULT'!$C:$C, $B22))</f>
        <v/>
      </c>
      <c r="F22" s="293" t="str" cm="1">
        <f t="array" ref="F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COLUMNS($F$3:F22), 0),
    _xlpm.Name, INDEX(_xlpm.Angler, 2),
    _xlpm.P, INDEX(_xlpm.Angler, 13),
    _xlpm.L, INDEX(_xlpm.Angler, 10),
    _xlpm.F, INDEX(_xlpm.Angler, 5) + INDEX(_xlpm.Angler, 7),
    _xlpm.Name &amp; " (" &amp; _xlpm.P &amp; " pts / " &amp; _xlpm.L &amp; "cm / " &amp; _xlpm.F &amp; " fish)"
), ""))</f>
        <v/>
      </c>
      <c r="G22" s="293" t="str" cm="1">
        <f t="array" ref="G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COLUMNS($F$3:G22), 0),
    _xlpm.Name, INDEX(_xlpm.Angler, 2),
    _xlpm.P, INDEX(_xlpm.Angler, 13),
    _xlpm.L, INDEX(_xlpm.Angler, 10),
    _xlpm.F, INDEX(_xlpm.Angler, 5) + INDEX(_xlpm.Angler, 7),
    _xlpm.Name &amp; " (" &amp; _xlpm.P &amp; " pts / " &amp; _xlpm.L &amp; "cm / " &amp; _xlpm.F &amp; " fish)"
), ""))</f>
        <v/>
      </c>
      <c r="H22" s="293" t="str" cm="1">
        <f t="array" ref="H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COLUMNS($F$3:H22), 0),
    _xlpm.Name, INDEX(_xlpm.Angler, 2),
    _xlpm.P, INDEX(_xlpm.Angler, 13),
    _xlpm.L, INDEX(_xlpm.Angler, 10),
    _xlpm.F, INDEX(_xlpm.Angler, 5) + INDEX(_xlpm.Angler, 7),
    _xlpm.Name &amp; " (" &amp; _xlpm.P &amp; " pts / " &amp; _xlpm.L &amp; "cm / " &amp; _xlpm.F &amp; " fish)"
), ""))</f>
        <v/>
      </c>
      <c r="I22" s="293" t="str" cm="1">
        <f t="array" ref="I22">IF($B22="", "", IFERROR(_xlfn.LET(
    _xlpm.Team, $B22,
    _xlpm.Data, 'MASTER DATABASE'!$AD$4:$AP$124,
    _xlpm.TData, _xlfn._xlws.FILTER(_xlpm.Data, INDEX(_xlpm.Data, 0, 3)=_xlpm.Team),
    _xlpm.Sorted, _xlfn.SORTBY(_xlpm.TData, INDEX(_xlpm.TData, 0, 13), 1, INDEX(_xlpm.TData, 0, 10), -1, (INDEX(_xlpm.TData, 0, 5) + INDEX(_xlpm.TData, 0, 7)), -1),
    _xlpm.Angler, INDEX(_xlpm.Sorted, COLUMNS($F$3:I22), 0),
    _xlpm.Name, INDEX(_xlpm.Angler, 2),
    _xlpm.P, INDEX(_xlpm.Angler, 13),
    _xlpm.L, INDEX(_xlpm.Angler, 10),
    _xlpm.F, INDEX(_xlpm.Angler, 5) + INDEX(_xlpm.Angler, 7),
    _xlpm.Name &amp; " (" &amp; _xlpm.P &amp; " pts / " &amp; _xlpm.L &amp; "cm / " &amp; _xlpm.F &amp; " fish)"
), ""))</f>
        <v/>
      </c>
      <c r="AA22" s="52">
        <f>IFERROR(VLOOKUP(B22, 'DAY 1 SCORES'!$B$4:$H$152, 7, FALSE) + VLOOKUP(B22, 'DAY 2 SCORES'!$B$4:$H$152, 7, FALSE), 0)</f>
        <v>0</v>
      </c>
    </row>
    <row r="23" spans="1:27" ht="27.75" customHeight="1">
      <c r="A23" s="64"/>
      <c r="B23" s="235"/>
      <c r="C23" s="236" t="str">
        <f>IF($B23="", "", SUMIFS('INDIVIDUAL RESULT'!$D:$D, 'INDIVIDUAL RESULT'!$C:$C, $B23))</f>
        <v/>
      </c>
      <c r="D23" s="236" t="str">
        <f>IF($B23="", "", SUMIFS('INDIVIDUAL RESULT'!$H:$H, 'INDIVIDUAL RESULT'!$C:$C, $B23))</f>
        <v/>
      </c>
      <c r="E23" s="236" t="str">
        <f>IF($B23="", "", SUMIFS('INDIVIDUAL RESULT'!$I:$I, 'INDIVIDUAL RESULT'!$C:$C, $B23))</f>
        <v/>
      </c>
      <c r="F23" s="293" t="str" cm="1">
        <f t="array" ref="F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COLUMNS($F$3:F23), 0),
    _xlpm.Name, INDEX(_xlpm.Angler, 2),
    _xlpm.P, INDEX(_xlpm.Angler, 13),
    _xlpm.L, INDEX(_xlpm.Angler, 10),
    _xlpm.F, INDEX(_xlpm.Angler, 5) + INDEX(_xlpm.Angler, 7),
    _xlpm.Name &amp; " (" &amp; _xlpm.P &amp; " pts / " &amp; _xlpm.L &amp; "cm / " &amp; _xlpm.F &amp; " fish)"
), ""))</f>
        <v/>
      </c>
      <c r="G23" s="293" t="str" cm="1">
        <f t="array" ref="G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COLUMNS($F$3:G23), 0),
    _xlpm.Name, INDEX(_xlpm.Angler, 2),
    _xlpm.P, INDEX(_xlpm.Angler, 13),
    _xlpm.L, INDEX(_xlpm.Angler, 10),
    _xlpm.F, INDEX(_xlpm.Angler, 5) + INDEX(_xlpm.Angler, 7),
    _xlpm.Name &amp; " (" &amp; _xlpm.P &amp; " pts / " &amp; _xlpm.L &amp; "cm / " &amp; _xlpm.F &amp; " fish)"
), ""))</f>
        <v/>
      </c>
      <c r="H23" s="293" t="str" cm="1">
        <f t="array" ref="H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COLUMNS($F$3:H23), 0),
    _xlpm.Name, INDEX(_xlpm.Angler, 2),
    _xlpm.P, INDEX(_xlpm.Angler, 13),
    _xlpm.L, INDEX(_xlpm.Angler, 10),
    _xlpm.F, INDEX(_xlpm.Angler, 5) + INDEX(_xlpm.Angler, 7),
    _xlpm.Name &amp; " (" &amp; _xlpm.P &amp; " pts / " &amp; _xlpm.L &amp; "cm / " &amp; _xlpm.F &amp; " fish)"
), ""))</f>
        <v/>
      </c>
      <c r="I23" s="293" t="str" cm="1">
        <f t="array" ref="I23">IF($B23="", "", IFERROR(_xlfn.LET(
    _xlpm.Team, $B23,
    _xlpm.Data, 'MASTER DATABASE'!$AD$4:$AP$124,
    _xlpm.TData, _xlfn._xlws.FILTER(_xlpm.Data, INDEX(_xlpm.Data, 0, 3)=_xlpm.Team),
    _xlpm.Sorted, _xlfn.SORTBY(_xlpm.TData, INDEX(_xlpm.TData, 0, 13), 1, INDEX(_xlpm.TData, 0, 10), -1, (INDEX(_xlpm.TData, 0, 5) + INDEX(_xlpm.TData, 0, 7)), -1),
    _xlpm.Angler, INDEX(_xlpm.Sorted, COLUMNS($F$3:I23), 0),
    _xlpm.Name, INDEX(_xlpm.Angler, 2),
    _xlpm.P, INDEX(_xlpm.Angler, 13),
    _xlpm.L, INDEX(_xlpm.Angler, 10),
    _xlpm.F, INDEX(_xlpm.Angler, 5) + INDEX(_xlpm.Angler, 7),
    _xlpm.Name &amp; " (" &amp; _xlpm.P &amp; " pts / " &amp; _xlpm.L &amp; "cm / " &amp; _xlpm.F &amp; " fish)"
), ""))</f>
        <v/>
      </c>
      <c r="AA23" s="52">
        <f>IFERROR(VLOOKUP(B23, 'DAY 1 SCORES'!$B$4:$H$152, 7, FALSE) + VLOOKUP(B23, 'DAY 2 SCORES'!$B$4:$H$152, 7, FALSE), 0)</f>
        <v>0</v>
      </c>
    </row>
    <row r="24" spans="1:27" ht="27.75" customHeight="1">
      <c r="A24" s="64"/>
      <c r="B24" s="235"/>
      <c r="C24" s="236" t="str">
        <f>IF($B24="", "", SUMIFS('INDIVIDUAL RESULT'!$D:$D, 'INDIVIDUAL RESULT'!$C:$C, $B24))</f>
        <v/>
      </c>
      <c r="D24" s="236" t="str">
        <f>IF($B24="", "", SUMIFS('INDIVIDUAL RESULT'!$H:$H, 'INDIVIDUAL RESULT'!$C:$C, $B24))</f>
        <v/>
      </c>
      <c r="E24" s="236" t="str">
        <f>IF($B24="", "", SUMIFS('INDIVIDUAL RESULT'!$I:$I, 'INDIVIDUAL RESULT'!$C:$C, $B24))</f>
        <v/>
      </c>
      <c r="F24" s="293" t="str" cm="1">
        <f t="array" ref="F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COLUMNS($F$3:F24), 0),
    _xlpm.Name, INDEX(_xlpm.Angler, 2),
    _xlpm.P, INDEX(_xlpm.Angler, 13),
    _xlpm.L, INDEX(_xlpm.Angler, 10),
    _xlpm.F, INDEX(_xlpm.Angler, 5) + INDEX(_xlpm.Angler, 7),
    _xlpm.Name &amp; " (" &amp; _xlpm.P &amp; " pts / " &amp; _xlpm.L &amp; "cm / " &amp; _xlpm.F &amp; " fish)"
), ""))</f>
        <v/>
      </c>
      <c r="G24" s="293" t="str" cm="1">
        <f t="array" ref="G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COLUMNS($F$3:G24), 0),
    _xlpm.Name, INDEX(_xlpm.Angler, 2),
    _xlpm.P, INDEX(_xlpm.Angler, 13),
    _xlpm.L, INDEX(_xlpm.Angler, 10),
    _xlpm.F, INDEX(_xlpm.Angler, 5) + INDEX(_xlpm.Angler, 7),
    _xlpm.Name &amp; " (" &amp; _xlpm.P &amp; " pts / " &amp; _xlpm.L &amp; "cm / " &amp; _xlpm.F &amp; " fish)"
), ""))</f>
        <v/>
      </c>
      <c r="H24" s="293" t="str" cm="1">
        <f t="array" ref="H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COLUMNS($F$3:H24), 0),
    _xlpm.Name, INDEX(_xlpm.Angler, 2),
    _xlpm.P, INDEX(_xlpm.Angler, 13),
    _xlpm.L, INDEX(_xlpm.Angler, 10),
    _xlpm.F, INDEX(_xlpm.Angler, 5) + INDEX(_xlpm.Angler, 7),
    _xlpm.Name &amp; " (" &amp; _xlpm.P &amp; " pts / " &amp; _xlpm.L &amp; "cm / " &amp; _xlpm.F &amp; " fish)"
), ""))</f>
        <v/>
      </c>
      <c r="I24" s="293" t="str" cm="1">
        <f t="array" ref="I24">IF($B24="", "", IFERROR(_xlfn.LET(
    _xlpm.Team, $B24,
    _xlpm.Data, 'MASTER DATABASE'!$AD$4:$AP$124,
    _xlpm.TData, _xlfn._xlws.FILTER(_xlpm.Data, INDEX(_xlpm.Data, 0, 3)=_xlpm.Team),
    _xlpm.Sorted, _xlfn.SORTBY(_xlpm.TData, INDEX(_xlpm.TData, 0, 13), 1, INDEX(_xlpm.TData, 0, 10), -1, (INDEX(_xlpm.TData, 0, 5) + INDEX(_xlpm.TData, 0, 7)), -1),
    _xlpm.Angler, INDEX(_xlpm.Sorted, COLUMNS($F$3:I24), 0),
    _xlpm.Name, INDEX(_xlpm.Angler, 2),
    _xlpm.P, INDEX(_xlpm.Angler, 13),
    _xlpm.L, INDEX(_xlpm.Angler, 10),
    _xlpm.F, INDEX(_xlpm.Angler, 5) + INDEX(_xlpm.Angler, 7),
    _xlpm.Name &amp; " (" &amp; _xlpm.P &amp; " pts / " &amp; _xlpm.L &amp; "cm / " &amp; _xlpm.F &amp; " fish)"
), ""))</f>
        <v/>
      </c>
      <c r="AA24" s="52">
        <f>IFERROR(VLOOKUP(B24, 'DAY 1 SCORES'!$B$4:$H$152, 7, FALSE) + VLOOKUP(B24, 'DAY 2 SCORES'!$B$4:$H$152, 7, FALSE), 0)</f>
        <v>0</v>
      </c>
    </row>
    <row r="25" spans="1:27" ht="27.75" customHeight="1">
      <c r="A25" s="64"/>
      <c r="B25" s="235"/>
      <c r="C25" s="236" t="str">
        <f>IF($B25="", "", SUMIFS('INDIVIDUAL RESULT'!$D:$D, 'INDIVIDUAL RESULT'!$C:$C, $B25))</f>
        <v/>
      </c>
      <c r="D25" s="236" t="str">
        <f>IF($B25="", "", SUMIFS('INDIVIDUAL RESULT'!$H:$H, 'INDIVIDUAL RESULT'!$C:$C, $B25))</f>
        <v/>
      </c>
      <c r="E25" s="236" t="str">
        <f>IF($B25="", "", SUMIFS('INDIVIDUAL RESULT'!$I:$I, 'INDIVIDUAL RESULT'!$C:$C, $B25))</f>
        <v/>
      </c>
      <c r="F25" s="293" t="str" cm="1">
        <f t="array" ref="F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COLUMNS($F$3:F25), 0),
    _xlpm.Name, INDEX(_xlpm.Angler, 2),
    _xlpm.P, INDEX(_xlpm.Angler, 13),
    _xlpm.L, INDEX(_xlpm.Angler, 10),
    _xlpm.F, INDEX(_xlpm.Angler, 5) + INDEX(_xlpm.Angler, 7),
    _xlpm.Name &amp; " (" &amp; _xlpm.P &amp; " pts / " &amp; _xlpm.L &amp; "cm / " &amp; _xlpm.F &amp; " fish)"
), ""))</f>
        <v/>
      </c>
      <c r="G25" s="293" t="str" cm="1">
        <f t="array" ref="G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COLUMNS($F$3:G25), 0),
    _xlpm.Name, INDEX(_xlpm.Angler, 2),
    _xlpm.P, INDEX(_xlpm.Angler, 13),
    _xlpm.L, INDEX(_xlpm.Angler, 10),
    _xlpm.F, INDEX(_xlpm.Angler, 5) + INDEX(_xlpm.Angler, 7),
    _xlpm.Name &amp; " (" &amp; _xlpm.P &amp; " pts / " &amp; _xlpm.L &amp; "cm / " &amp; _xlpm.F &amp; " fish)"
), ""))</f>
        <v/>
      </c>
      <c r="H25" s="293" t="str" cm="1">
        <f t="array" ref="H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COLUMNS($F$3:H25), 0),
    _xlpm.Name, INDEX(_xlpm.Angler, 2),
    _xlpm.P, INDEX(_xlpm.Angler, 13),
    _xlpm.L, INDEX(_xlpm.Angler, 10),
    _xlpm.F, INDEX(_xlpm.Angler, 5) + INDEX(_xlpm.Angler, 7),
    _xlpm.Name &amp; " (" &amp; _xlpm.P &amp; " pts / " &amp; _xlpm.L &amp; "cm / " &amp; _xlpm.F &amp; " fish)"
), ""))</f>
        <v/>
      </c>
      <c r="I25" s="293" t="str" cm="1">
        <f t="array" ref="I25">IF($B25="", "", IFERROR(_xlfn.LET(
    _xlpm.Team, $B25,
    _xlpm.Data, 'MASTER DATABASE'!$AD$4:$AP$124,
    _xlpm.TData, _xlfn._xlws.FILTER(_xlpm.Data, INDEX(_xlpm.Data, 0, 3)=_xlpm.Team),
    _xlpm.Sorted, _xlfn.SORTBY(_xlpm.TData, INDEX(_xlpm.TData, 0, 13), 1, INDEX(_xlpm.TData, 0, 10), -1, (INDEX(_xlpm.TData, 0, 5) + INDEX(_xlpm.TData, 0, 7)), -1),
    _xlpm.Angler, INDEX(_xlpm.Sorted, COLUMNS($F$3:I25), 0),
    _xlpm.Name, INDEX(_xlpm.Angler, 2),
    _xlpm.P, INDEX(_xlpm.Angler, 13),
    _xlpm.L, INDEX(_xlpm.Angler, 10),
    _xlpm.F, INDEX(_xlpm.Angler, 5) + INDEX(_xlpm.Angler, 7),
    _xlpm.Name &amp; " (" &amp; _xlpm.P &amp; " pts / " &amp; _xlpm.L &amp; "cm / " &amp; _xlpm.F &amp; " fish)"
), ""))</f>
        <v/>
      </c>
      <c r="AA25" s="52">
        <f>IFERROR(VLOOKUP(B25, 'DAY 1 SCORES'!$B$4:$H$152, 7, FALSE) + VLOOKUP(B25, 'DAY 2 SCORES'!$B$4:$H$152, 7, FALSE), 0)</f>
        <v>0</v>
      </c>
    </row>
    <row r="26" spans="1:27" ht="27.75" customHeight="1">
      <c r="A26" s="64"/>
      <c r="B26" s="235"/>
      <c r="C26" s="236" t="str">
        <f>IF($B26="", "", SUMIFS('INDIVIDUAL RESULT'!$D:$D, 'INDIVIDUAL RESULT'!$C:$C, $B26))</f>
        <v/>
      </c>
      <c r="D26" s="236" t="str">
        <f>IF($B26="", "", SUMIFS('INDIVIDUAL RESULT'!$H:$H, 'INDIVIDUAL RESULT'!$C:$C, $B26))</f>
        <v/>
      </c>
      <c r="E26" s="236" t="str">
        <f>IF($B26="", "", SUMIFS('INDIVIDUAL RESULT'!$I:$I, 'INDIVIDUAL RESULT'!$C:$C, $B26))</f>
        <v/>
      </c>
      <c r="F26" s="293" t="str" cm="1">
        <f t="array" ref="F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COLUMNS($F$3:F26), 0),
    _xlpm.Name, INDEX(_xlpm.Angler, 2),
    _xlpm.P, INDEX(_xlpm.Angler, 13),
    _xlpm.L, INDEX(_xlpm.Angler, 10),
    _xlpm.F, INDEX(_xlpm.Angler, 5) + INDEX(_xlpm.Angler, 7),
    _xlpm.Name &amp; " (" &amp; _xlpm.P &amp; " pts / " &amp; _xlpm.L &amp; "cm / " &amp; _xlpm.F &amp; " fish)"
), ""))</f>
        <v/>
      </c>
      <c r="G26" s="293" t="str" cm="1">
        <f t="array" ref="G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COLUMNS($F$3:G26), 0),
    _xlpm.Name, INDEX(_xlpm.Angler, 2),
    _xlpm.P, INDEX(_xlpm.Angler, 13),
    _xlpm.L, INDEX(_xlpm.Angler, 10),
    _xlpm.F, INDEX(_xlpm.Angler, 5) + INDEX(_xlpm.Angler, 7),
    _xlpm.Name &amp; " (" &amp; _xlpm.P &amp; " pts / " &amp; _xlpm.L &amp; "cm / " &amp; _xlpm.F &amp; " fish)"
), ""))</f>
        <v/>
      </c>
      <c r="H26" s="293" t="str" cm="1">
        <f t="array" ref="H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COLUMNS($F$3:H26), 0),
    _xlpm.Name, INDEX(_xlpm.Angler, 2),
    _xlpm.P, INDEX(_xlpm.Angler, 13),
    _xlpm.L, INDEX(_xlpm.Angler, 10),
    _xlpm.F, INDEX(_xlpm.Angler, 5) + INDEX(_xlpm.Angler, 7),
    _xlpm.Name &amp; " (" &amp; _xlpm.P &amp; " pts / " &amp; _xlpm.L &amp; "cm / " &amp; _xlpm.F &amp; " fish)"
), ""))</f>
        <v/>
      </c>
      <c r="I26" s="293" t="str" cm="1">
        <f t="array" ref="I26">IF($B26="", "", IFERROR(_xlfn.LET(
    _xlpm.Team, $B26,
    _xlpm.Data, 'MASTER DATABASE'!$AD$4:$AP$124,
    _xlpm.TData, _xlfn._xlws.FILTER(_xlpm.Data, INDEX(_xlpm.Data, 0, 3)=_xlpm.Team),
    _xlpm.Sorted, _xlfn.SORTBY(_xlpm.TData, INDEX(_xlpm.TData, 0, 13), 1, INDEX(_xlpm.TData, 0, 10), -1, (INDEX(_xlpm.TData, 0, 5) + INDEX(_xlpm.TData, 0, 7)), -1),
    _xlpm.Angler, INDEX(_xlpm.Sorted, COLUMNS($F$3:I26), 0),
    _xlpm.Name, INDEX(_xlpm.Angler, 2),
    _xlpm.P, INDEX(_xlpm.Angler, 13),
    _xlpm.L, INDEX(_xlpm.Angler, 10),
    _xlpm.F, INDEX(_xlpm.Angler, 5) + INDEX(_xlpm.Angler, 7),
    _xlpm.Name &amp; " (" &amp; _xlpm.P &amp; " pts / " &amp; _xlpm.L &amp; "cm / " &amp; _xlpm.F &amp; " fish)"
), ""))</f>
        <v/>
      </c>
      <c r="AA26" s="52">
        <f>IFERROR(VLOOKUP(B26, 'DAY 1 SCORES'!$B$4:$H$152, 7, FALSE) + VLOOKUP(B26, 'DAY 2 SCORES'!$B$4:$H$152, 7, FALSE), 0)</f>
        <v>0</v>
      </c>
    </row>
    <row r="27" spans="1:27" ht="27.75" customHeight="1">
      <c r="A27" s="64"/>
      <c r="B27" s="235"/>
      <c r="C27" s="236" t="str">
        <f>IF($B27="", "", SUMIFS('INDIVIDUAL RESULT'!$D:$D, 'INDIVIDUAL RESULT'!$C:$C, $B27))</f>
        <v/>
      </c>
      <c r="D27" s="236" t="str">
        <f>IF($B27="", "", SUMIFS('INDIVIDUAL RESULT'!$H:$H, 'INDIVIDUAL RESULT'!$C:$C, $B27))</f>
        <v/>
      </c>
      <c r="E27" s="236" t="str">
        <f>IF($B27="", "", SUMIFS('INDIVIDUAL RESULT'!$I:$I, 'INDIVIDUAL RESULT'!$C:$C, $B27))</f>
        <v/>
      </c>
      <c r="F27" s="293" t="str" cm="1">
        <f t="array" ref="F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COLUMNS($F$3:F27), 0),
    _xlpm.Name, INDEX(_xlpm.Angler, 2),
    _xlpm.P, INDEX(_xlpm.Angler, 13),
    _xlpm.L, INDEX(_xlpm.Angler, 10),
    _xlpm.F, INDEX(_xlpm.Angler, 5) + INDEX(_xlpm.Angler, 7),
    _xlpm.Name &amp; " (" &amp; _xlpm.P &amp; " pts / " &amp; _xlpm.L &amp; "cm / " &amp; _xlpm.F &amp; " fish)"
), ""))</f>
        <v/>
      </c>
      <c r="G27" s="293" t="str" cm="1">
        <f t="array" ref="G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COLUMNS($F$3:G27), 0),
    _xlpm.Name, INDEX(_xlpm.Angler, 2),
    _xlpm.P, INDEX(_xlpm.Angler, 13),
    _xlpm.L, INDEX(_xlpm.Angler, 10),
    _xlpm.F, INDEX(_xlpm.Angler, 5) + INDEX(_xlpm.Angler, 7),
    _xlpm.Name &amp; " (" &amp; _xlpm.P &amp; " pts / " &amp; _xlpm.L &amp; "cm / " &amp; _xlpm.F &amp; " fish)"
), ""))</f>
        <v/>
      </c>
      <c r="H27" s="293" t="str" cm="1">
        <f t="array" ref="H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COLUMNS($F$3:H27), 0),
    _xlpm.Name, INDEX(_xlpm.Angler, 2),
    _xlpm.P, INDEX(_xlpm.Angler, 13),
    _xlpm.L, INDEX(_xlpm.Angler, 10),
    _xlpm.F, INDEX(_xlpm.Angler, 5) + INDEX(_xlpm.Angler, 7),
    _xlpm.Name &amp; " (" &amp; _xlpm.P &amp; " pts / " &amp; _xlpm.L &amp; "cm / " &amp; _xlpm.F &amp; " fish)"
), ""))</f>
        <v/>
      </c>
      <c r="I27" s="293" t="str" cm="1">
        <f t="array" ref="I27">IF($B27="", "", IFERROR(_xlfn.LET(
    _xlpm.Team, $B27,
    _xlpm.Data, 'MASTER DATABASE'!$AD$4:$AP$124,
    _xlpm.TData, _xlfn._xlws.FILTER(_xlpm.Data, INDEX(_xlpm.Data, 0, 3)=_xlpm.Team),
    _xlpm.Sorted, _xlfn.SORTBY(_xlpm.TData, INDEX(_xlpm.TData, 0, 13), 1, INDEX(_xlpm.TData, 0, 10), -1, (INDEX(_xlpm.TData, 0, 5) + INDEX(_xlpm.TData, 0, 7)), -1),
    _xlpm.Angler, INDEX(_xlpm.Sorted, COLUMNS($F$3:I27), 0),
    _xlpm.Name, INDEX(_xlpm.Angler, 2),
    _xlpm.P, INDEX(_xlpm.Angler, 13),
    _xlpm.L, INDEX(_xlpm.Angler, 10),
    _xlpm.F, INDEX(_xlpm.Angler, 5) + INDEX(_xlpm.Angler, 7),
    _xlpm.Name &amp; " (" &amp; _xlpm.P &amp; " pts / " &amp; _xlpm.L &amp; "cm / " &amp; _xlpm.F &amp; " fish)"
), ""))</f>
        <v/>
      </c>
      <c r="AA27" s="52">
        <f>IFERROR(VLOOKUP(B27, 'DAY 1 SCORES'!$B$4:$H$152, 7, FALSE) + VLOOKUP(B27, 'DAY 2 SCORES'!$B$4:$H$152, 7, FALSE), 0)</f>
        <v>0</v>
      </c>
    </row>
    <row r="28" spans="1:27" ht="27.75" customHeight="1">
      <c r="A28" s="64"/>
      <c r="B28" s="235"/>
      <c r="C28" s="236" t="str">
        <f>IF($B28="", "", SUMIFS('INDIVIDUAL RESULT'!$D:$D, 'INDIVIDUAL RESULT'!$C:$C, $B28))</f>
        <v/>
      </c>
      <c r="D28" s="236" t="str">
        <f>IF($B28="", "", SUMIFS('INDIVIDUAL RESULT'!$H:$H, 'INDIVIDUAL RESULT'!$C:$C, $B28))</f>
        <v/>
      </c>
      <c r="E28" s="236" t="str">
        <f>IF($B28="", "", SUMIFS('INDIVIDUAL RESULT'!$I:$I, 'INDIVIDUAL RESULT'!$C:$C, $B28))</f>
        <v/>
      </c>
      <c r="F28" s="293" t="str" cm="1">
        <f t="array" ref="F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COLUMNS($F$3:F28), 0),
    _xlpm.Name, INDEX(_xlpm.Angler, 2),
    _xlpm.P, INDEX(_xlpm.Angler, 13),
    _xlpm.L, INDEX(_xlpm.Angler, 10),
    _xlpm.F, INDEX(_xlpm.Angler, 5) + INDEX(_xlpm.Angler, 7),
    _xlpm.Name &amp; " (" &amp; _xlpm.P &amp; " pts / " &amp; _xlpm.L &amp; "cm / " &amp; _xlpm.F &amp; " fish)"
), ""))</f>
        <v/>
      </c>
      <c r="G28" s="293" t="str" cm="1">
        <f t="array" ref="G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COLUMNS($F$3:G28), 0),
    _xlpm.Name, INDEX(_xlpm.Angler, 2),
    _xlpm.P, INDEX(_xlpm.Angler, 13),
    _xlpm.L, INDEX(_xlpm.Angler, 10),
    _xlpm.F, INDEX(_xlpm.Angler, 5) + INDEX(_xlpm.Angler, 7),
    _xlpm.Name &amp; " (" &amp; _xlpm.P &amp; " pts / " &amp; _xlpm.L &amp; "cm / " &amp; _xlpm.F &amp; " fish)"
), ""))</f>
        <v/>
      </c>
      <c r="H28" s="293" t="str" cm="1">
        <f t="array" ref="H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COLUMNS($F$3:H28), 0),
    _xlpm.Name, INDEX(_xlpm.Angler, 2),
    _xlpm.P, INDEX(_xlpm.Angler, 13),
    _xlpm.L, INDEX(_xlpm.Angler, 10),
    _xlpm.F, INDEX(_xlpm.Angler, 5) + INDEX(_xlpm.Angler, 7),
    _xlpm.Name &amp; " (" &amp; _xlpm.P &amp; " pts / " &amp; _xlpm.L &amp; "cm / " &amp; _xlpm.F &amp; " fish)"
), ""))</f>
        <v/>
      </c>
      <c r="I28" s="293" t="str" cm="1">
        <f t="array" ref="I28">IF($B28="", "", IFERROR(_xlfn.LET(
    _xlpm.Team, $B28,
    _xlpm.Data, 'MASTER DATABASE'!$AD$4:$AP$124,
    _xlpm.TData, _xlfn._xlws.FILTER(_xlpm.Data, INDEX(_xlpm.Data, 0, 3)=_xlpm.Team),
    _xlpm.Sorted, _xlfn.SORTBY(_xlpm.TData, INDEX(_xlpm.TData, 0, 13), 1, INDEX(_xlpm.TData, 0, 10), -1, (INDEX(_xlpm.TData, 0, 5) + INDEX(_xlpm.TData, 0, 7)), -1),
    _xlpm.Angler, INDEX(_xlpm.Sorted, COLUMNS($F$3:I28), 0),
    _xlpm.Name, INDEX(_xlpm.Angler, 2),
    _xlpm.P, INDEX(_xlpm.Angler, 13),
    _xlpm.L, INDEX(_xlpm.Angler, 10),
    _xlpm.F, INDEX(_xlpm.Angler, 5) + INDEX(_xlpm.Angler, 7),
    _xlpm.Name &amp; " (" &amp; _xlpm.P &amp; " pts / " &amp; _xlpm.L &amp; "cm / " &amp; _xlpm.F &amp; " fish)"
), ""))</f>
        <v/>
      </c>
      <c r="AA28" s="52">
        <f>IFERROR(VLOOKUP(B28, 'DAY 1 SCORES'!$B$4:$H$152, 7, FALSE) + VLOOKUP(B28, 'DAY 2 SCORES'!$B$4:$H$152, 7, FALSE), 0)</f>
        <v>0</v>
      </c>
    </row>
    <row r="29" spans="1:27" ht="27.75" customHeight="1">
      <c r="A29" s="64"/>
      <c r="B29" s="235"/>
      <c r="C29" s="236" t="str">
        <f>IF($B29="", "", SUMIFS('INDIVIDUAL RESULT'!$D:$D, 'INDIVIDUAL RESULT'!$C:$C, $B29))</f>
        <v/>
      </c>
      <c r="D29" s="236" t="str">
        <f>IF($B29="", "", SUMIFS('INDIVIDUAL RESULT'!$H:$H, 'INDIVIDUAL RESULT'!$C:$C, $B29))</f>
        <v/>
      </c>
      <c r="E29" s="236" t="str">
        <f>IF($B29="", "", SUMIFS('INDIVIDUAL RESULT'!$I:$I, 'INDIVIDUAL RESULT'!$C:$C, $B29))</f>
        <v/>
      </c>
      <c r="F29" s="293" t="str" cm="1">
        <f t="array" ref="F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COLUMNS($F$3:F29), 0),
    _xlpm.Name, INDEX(_xlpm.Angler, 2),
    _xlpm.P, INDEX(_xlpm.Angler, 13),
    _xlpm.L, INDEX(_xlpm.Angler, 10),
    _xlpm.F, INDEX(_xlpm.Angler, 5) + INDEX(_xlpm.Angler, 7),
    _xlpm.Name &amp; " (" &amp; _xlpm.P &amp; " pts / " &amp; _xlpm.L &amp; "cm / " &amp; _xlpm.F &amp; " fish)"
), ""))</f>
        <v/>
      </c>
      <c r="G29" s="293" t="str" cm="1">
        <f t="array" ref="G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COLUMNS($F$3:G29), 0),
    _xlpm.Name, INDEX(_xlpm.Angler, 2),
    _xlpm.P, INDEX(_xlpm.Angler, 13),
    _xlpm.L, INDEX(_xlpm.Angler, 10),
    _xlpm.F, INDEX(_xlpm.Angler, 5) + INDEX(_xlpm.Angler, 7),
    _xlpm.Name &amp; " (" &amp; _xlpm.P &amp; " pts / " &amp; _xlpm.L &amp; "cm / " &amp; _xlpm.F &amp; " fish)"
), ""))</f>
        <v/>
      </c>
      <c r="H29" s="293" t="str" cm="1">
        <f t="array" ref="H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COLUMNS($F$3:H29), 0),
    _xlpm.Name, INDEX(_xlpm.Angler, 2),
    _xlpm.P, INDEX(_xlpm.Angler, 13),
    _xlpm.L, INDEX(_xlpm.Angler, 10),
    _xlpm.F, INDEX(_xlpm.Angler, 5) + INDEX(_xlpm.Angler, 7),
    _xlpm.Name &amp; " (" &amp; _xlpm.P &amp; " pts / " &amp; _xlpm.L &amp; "cm / " &amp; _xlpm.F &amp; " fish)"
), ""))</f>
        <v/>
      </c>
      <c r="I29" s="293" t="str" cm="1">
        <f t="array" ref="I29">IF($B29="", "", IFERROR(_xlfn.LET(
    _xlpm.Team, $B29,
    _xlpm.Data, 'MASTER DATABASE'!$AD$4:$AP$124,
    _xlpm.TData, _xlfn._xlws.FILTER(_xlpm.Data, INDEX(_xlpm.Data, 0, 3)=_xlpm.Team),
    _xlpm.Sorted, _xlfn.SORTBY(_xlpm.TData, INDEX(_xlpm.TData, 0, 13), 1, INDEX(_xlpm.TData, 0, 10), -1, (INDEX(_xlpm.TData, 0, 5) + INDEX(_xlpm.TData, 0, 7)), -1),
    _xlpm.Angler, INDEX(_xlpm.Sorted, COLUMNS($F$3:I29), 0),
    _xlpm.Name, INDEX(_xlpm.Angler, 2),
    _xlpm.P, INDEX(_xlpm.Angler, 13),
    _xlpm.L, INDEX(_xlpm.Angler, 10),
    _xlpm.F, INDEX(_xlpm.Angler, 5) + INDEX(_xlpm.Angler, 7),
    _xlpm.Name &amp; " (" &amp; _xlpm.P &amp; " pts / " &amp; _xlpm.L &amp; "cm / " &amp; _xlpm.F &amp; " fish)"
), ""))</f>
        <v/>
      </c>
      <c r="AA29" s="52">
        <f>IFERROR(VLOOKUP(B29, 'DAY 1 SCORES'!$B$4:$H$152, 7, FALSE) + VLOOKUP(B29, 'DAY 2 SCORES'!$B$4:$H$152, 7, FALSE), 0)</f>
        <v>0</v>
      </c>
    </row>
    <row r="30" spans="1:27" ht="27.75" customHeight="1">
      <c r="A30" s="64"/>
      <c r="B30" s="235"/>
      <c r="C30" s="236" t="str">
        <f>IF($B30="", "", SUMIFS('INDIVIDUAL RESULT'!$D:$D, 'INDIVIDUAL RESULT'!$C:$C, $B30))</f>
        <v/>
      </c>
      <c r="D30" s="236" t="str">
        <f>IF($B30="", "", SUMIFS('INDIVIDUAL RESULT'!$H:$H, 'INDIVIDUAL RESULT'!$C:$C, $B30))</f>
        <v/>
      </c>
      <c r="E30" s="236" t="str">
        <f>IF($B30="", "", SUMIFS('INDIVIDUAL RESULT'!$I:$I, 'INDIVIDUAL RESULT'!$C:$C, $B30))</f>
        <v/>
      </c>
      <c r="F30" s="293" t="str" cm="1">
        <f t="array" ref="F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COLUMNS($F$3:F30), 0),
    _xlpm.Name, INDEX(_xlpm.Angler, 2),
    _xlpm.P, INDEX(_xlpm.Angler, 13),
    _xlpm.L, INDEX(_xlpm.Angler, 10),
    _xlpm.F, INDEX(_xlpm.Angler, 5) + INDEX(_xlpm.Angler, 7),
    _xlpm.Name &amp; " (" &amp; _xlpm.P &amp; " pts / " &amp; _xlpm.L &amp; "cm / " &amp; _xlpm.F &amp; " fish)"
), ""))</f>
        <v/>
      </c>
      <c r="G30" s="293" t="str" cm="1">
        <f t="array" ref="G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COLUMNS($F$3:G30), 0),
    _xlpm.Name, INDEX(_xlpm.Angler, 2),
    _xlpm.P, INDEX(_xlpm.Angler, 13),
    _xlpm.L, INDEX(_xlpm.Angler, 10),
    _xlpm.F, INDEX(_xlpm.Angler, 5) + INDEX(_xlpm.Angler, 7),
    _xlpm.Name &amp; " (" &amp; _xlpm.P &amp; " pts / " &amp; _xlpm.L &amp; "cm / " &amp; _xlpm.F &amp; " fish)"
), ""))</f>
        <v/>
      </c>
      <c r="H30" s="293" t="str" cm="1">
        <f t="array" ref="H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COLUMNS($F$3:H30), 0),
    _xlpm.Name, INDEX(_xlpm.Angler, 2),
    _xlpm.P, INDEX(_xlpm.Angler, 13),
    _xlpm.L, INDEX(_xlpm.Angler, 10),
    _xlpm.F, INDEX(_xlpm.Angler, 5) + INDEX(_xlpm.Angler, 7),
    _xlpm.Name &amp; " (" &amp; _xlpm.P &amp; " pts / " &amp; _xlpm.L &amp; "cm / " &amp; _xlpm.F &amp; " fish)"
), ""))</f>
        <v/>
      </c>
      <c r="I30" s="293" t="str" cm="1">
        <f t="array" ref="I30">IF($B30="", "", IFERROR(_xlfn.LET(
    _xlpm.Team, $B30,
    _xlpm.Data, 'MASTER DATABASE'!$AD$4:$AP$124,
    _xlpm.TData, _xlfn._xlws.FILTER(_xlpm.Data, INDEX(_xlpm.Data, 0, 3)=_xlpm.Team),
    _xlpm.Sorted, _xlfn.SORTBY(_xlpm.TData, INDEX(_xlpm.TData, 0, 13), 1, INDEX(_xlpm.TData, 0, 10), -1, (INDEX(_xlpm.TData, 0, 5) + INDEX(_xlpm.TData, 0, 7)), -1),
    _xlpm.Angler, INDEX(_xlpm.Sorted, COLUMNS($F$3:I30), 0),
    _xlpm.Name, INDEX(_xlpm.Angler, 2),
    _xlpm.P, INDEX(_xlpm.Angler, 13),
    _xlpm.L, INDEX(_xlpm.Angler, 10),
    _xlpm.F, INDEX(_xlpm.Angler, 5) + INDEX(_xlpm.Angler, 7),
    _xlpm.Name &amp; " (" &amp; _xlpm.P &amp; " pts / " &amp; _xlpm.L &amp; "cm / " &amp; _xlpm.F &amp; " fish)"
), ""))</f>
        <v/>
      </c>
      <c r="AA30" s="52">
        <f>IFERROR(VLOOKUP(B30, 'DAY 1 SCORES'!$B$4:$H$152, 7, FALSE) + VLOOKUP(B30, 'DAY 2 SCORES'!$B$4:$H$152, 7, FALSE), 0)</f>
        <v>0</v>
      </c>
    </row>
    <row r="31" spans="1:27" ht="27.75" customHeight="1">
      <c r="A31" s="64"/>
      <c r="B31" s="235"/>
      <c r="C31" s="236" t="str">
        <f>IF($B31="", "", SUMIFS('INDIVIDUAL RESULT'!$D:$D, 'INDIVIDUAL RESULT'!$C:$C, $B31))</f>
        <v/>
      </c>
      <c r="D31" s="236" t="str">
        <f>IF($B31="", "", SUMIFS('INDIVIDUAL RESULT'!$H:$H, 'INDIVIDUAL RESULT'!$C:$C, $B31))</f>
        <v/>
      </c>
      <c r="E31" s="236" t="str">
        <f>IF($B31="", "", SUMIFS('INDIVIDUAL RESULT'!$I:$I, 'INDIVIDUAL RESULT'!$C:$C, $B31))</f>
        <v/>
      </c>
      <c r="F31" s="293" t="str" cm="1">
        <f t="array" ref="F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COLUMNS($F$3:F31), 0),
    _xlpm.Name, INDEX(_xlpm.Angler, 2),
    _xlpm.P, INDEX(_xlpm.Angler, 13),
    _xlpm.L, INDEX(_xlpm.Angler, 10),
    _xlpm.F, INDEX(_xlpm.Angler, 5) + INDEX(_xlpm.Angler, 7),
    _xlpm.Name &amp; " (" &amp; _xlpm.P &amp; " pts / " &amp; _xlpm.L &amp; "cm / " &amp; _xlpm.F &amp; " fish)"
), ""))</f>
        <v/>
      </c>
      <c r="G31" s="293" t="str" cm="1">
        <f t="array" ref="G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COLUMNS($F$3:G31), 0),
    _xlpm.Name, INDEX(_xlpm.Angler, 2),
    _xlpm.P, INDEX(_xlpm.Angler, 13),
    _xlpm.L, INDEX(_xlpm.Angler, 10),
    _xlpm.F, INDEX(_xlpm.Angler, 5) + INDEX(_xlpm.Angler, 7),
    _xlpm.Name &amp; " (" &amp; _xlpm.P &amp; " pts / " &amp; _xlpm.L &amp; "cm / " &amp; _xlpm.F &amp; " fish)"
), ""))</f>
        <v/>
      </c>
      <c r="H31" s="293" t="str" cm="1">
        <f t="array" ref="H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COLUMNS($F$3:H31), 0),
    _xlpm.Name, INDEX(_xlpm.Angler, 2),
    _xlpm.P, INDEX(_xlpm.Angler, 13),
    _xlpm.L, INDEX(_xlpm.Angler, 10),
    _xlpm.F, INDEX(_xlpm.Angler, 5) + INDEX(_xlpm.Angler, 7),
    _xlpm.Name &amp; " (" &amp; _xlpm.P &amp; " pts / " &amp; _xlpm.L &amp; "cm / " &amp; _xlpm.F &amp; " fish)"
), ""))</f>
        <v/>
      </c>
      <c r="I31" s="293" t="str" cm="1">
        <f t="array" ref="I31">IF($B31="", "", IFERROR(_xlfn.LET(
    _xlpm.Team, $B31,
    _xlpm.Data, 'MASTER DATABASE'!$AD$4:$AP$124,
    _xlpm.TData, _xlfn._xlws.FILTER(_xlpm.Data, INDEX(_xlpm.Data, 0, 3)=_xlpm.Team),
    _xlpm.Sorted, _xlfn.SORTBY(_xlpm.TData, INDEX(_xlpm.TData, 0, 13), 1, INDEX(_xlpm.TData, 0, 10), -1, (INDEX(_xlpm.TData, 0, 5) + INDEX(_xlpm.TData, 0, 7)), -1),
    _xlpm.Angler, INDEX(_xlpm.Sorted, COLUMNS($F$3:I31), 0),
    _xlpm.Name, INDEX(_xlpm.Angler, 2),
    _xlpm.P, INDEX(_xlpm.Angler, 13),
    _xlpm.L, INDEX(_xlpm.Angler, 10),
    _xlpm.F, INDEX(_xlpm.Angler, 5) + INDEX(_xlpm.Angler, 7),
    _xlpm.Name &amp; " (" &amp; _xlpm.P &amp; " pts / " &amp; _xlpm.L &amp; "cm / " &amp; _xlpm.F &amp; " fish)"
), ""))</f>
        <v/>
      </c>
      <c r="AA31" s="52">
        <f>IFERROR(VLOOKUP(B31, 'DAY 1 SCORES'!$B$4:$H$152, 7, FALSE) + VLOOKUP(B31, 'DAY 2 SCORES'!$B$4:$H$152, 7, FALSE), 0)</f>
        <v>0</v>
      </c>
    </row>
    <row r="32" spans="1:27" ht="27.75" customHeight="1">
      <c r="A32" s="64"/>
      <c r="B32" s="235"/>
      <c r="C32" s="236" t="str">
        <f>IF($B32="", "", SUMIFS('INDIVIDUAL RESULT'!$D:$D, 'INDIVIDUAL RESULT'!$C:$C, $B32))</f>
        <v/>
      </c>
      <c r="D32" s="236" t="str">
        <f>IF($B32="", "", SUMIFS('INDIVIDUAL RESULT'!$H:$H, 'INDIVIDUAL RESULT'!$C:$C, $B32))</f>
        <v/>
      </c>
      <c r="E32" s="236" t="str">
        <f>IF($B32="", "", SUMIFS('INDIVIDUAL RESULT'!$I:$I, 'INDIVIDUAL RESULT'!$C:$C, $B32))</f>
        <v/>
      </c>
      <c r="F32" s="293" t="str" cm="1">
        <f t="array" ref="F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COLUMNS($F$3:F32), 0),
    _xlpm.Name, INDEX(_xlpm.Angler, 2),
    _xlpm.P, INDEX(_xlpm.Angler, 13),
    _xlpm.L, INDEX(_xlpm.Angler, 10),
    _xlpm.F, INDEX(_xlpm.Angler, 5) + INDEX(_xlpm.Angler, 7),
    _xlpm.Name &amp; " (" &amp; _xlpm.P &amp; " pts / " &amp; _xlpm.L &amp; "cm / " &amp; _xlpm.F &amp; " fish)"
), ""))</f>
        <v/>
      </c>
      <c r="G32" s="293" t="str" cm="1">
        <f t="array" ref="G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COLUMNS($F$3:G32), 0),
    _xlpm.Name, INDEX(_xlpm.Angler, 2),
    _xlpm.P, INDEX(_xlpm.Angler, 13),
    _xlpm.L, INDEX(_xlpm.Angler, 10),
    _xlpm.F, INDEX(_xlpm.Angler, 5) + INDEX(_xlpm.Angler, 7),
    _xlpm.Name &amp; " (" &amp; _xlpm.P &amp; " pts / " &amp; _xlpm.L &amp; "cm / " &amp; _xlpm.F &amp; " fish)"
), ""))</f>
        <v/>
      </c>
      <c r="H32" s="293" t="str" cm="1">
        <f t="array" ref="H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COLUMNS($F$3:H32), 0),
    _xlpm.Name, INDEX(_xlpm.Angler, 2),
    _xlpm.P, INDEX(_xlpm.Angler, 13),
    _xlpm.L, INDEX(_xlpm.Angler, 10),
    _xlpm.F, INDEX(_xlpm.Angler, 5) + INDEX(_xlpm.Angler, 7),
    _xlpm.Name &amp; " (" &amp; _xlpm.P &amp; " pts / " &amp; _xlpm.L &amp; "cm / " &amp; _xlpm.F &amp; " fish)"
), ""))</f>
        <v/>
      </c>
      <c r="I32" s="293" t="str" cm="1">
        <f t="array" ref="I32">IF($B32="", "", IFERROR(_xlfn.LET(
    _xlpm.Team, $B32,
    _xlpm.Data, 'MASTER DATABASE'!$AD$4:$AP$124,
    _xlpm.TData, _xlfn._xlws.FILTER(_xlpm.Data, INDEX(_xlpm.Data, 0, 3)=_xlpm.Team),
    _xlpm.Sorted, _xlfn.SORTBY(_xlpm.TData, INDEX(_xlpm.TData, 0, 13), 1, INDEX(_xlpm.TData, 0, 10), -1, (INDEX(_xlpm.TData, 0, 5) + INDEX(_xlpm.TData, 0, 7)), -1),
    _xlpm.Angler, INDEX(_xlpm.Sorted, COLUMNS($F$3:I32), 0),
    _xlpm.Name, INDEX(_xlpm.Angler, 2),
    _xlpm.P, INDEX(_xlpm.Angler, 13),
    _xlpm.L, INDEX(_xlpm.Angler, 10),
    _xlpm.F, INDEX(_xlpm.Angler, 5) + INDEX(_xlpm.Angler, 7),
    _xlpm.Name &amp; " (" &amp; _xlpm.P &amp; " pts / " &amp; _xlpm.L &amp; "cm / " &amp; _xlpm.F &amp; " fish)"
), ""))</f>
        <v/>
      </c>
      <c r="AA32" s="52">
        <f>IFERROR(VLOOKUP(B32, 'DAY 1 SCORES'!$B$4:$H$152, 7, FALSE) + VLOOKUP(B32, 'DAY 2 SCORES'!$B$4:$H$152, 7, FALSE), 0)</f>
        <v>0</v>
      </c>
    </row>
    <row r="33" spans="1:27" ht="27.75" customHeight="1">
      <c r="A33" s="64"/>
      <c r="B33" s="235"/>
      <c r="C33" s="236" t="str">
        <f>IF($B33="", "", SUMIFS('INDIVIDUAL RESULT'!$D:$D, 'INDIVIDUAL RESULT'!$C:$C, $B33))</f>
        <v/>
      </c>
      <c r="D33" s="236" t="str">
        <f>IF($B33="", "", SUMIFS('INDIVIDUAL RESULT'!$H:$H, 'INDIVIDUAL RESULT'!$C:$C, $B33))</f>
        <v/>
      </c>
      <c r="E33" s="236" t="str">
        <f>IF($B33="", "", SUMIFS('INDIVIDUAL RESULT'!$I:$I, 'INDIVIDUAL RESULT'!$C:$C, $B33))</f>
        <v/>
      </c>
      <c r="F33" s="293" t="str" cm="1">
        <f t="array" ref="F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COLUMNS($F$3:F33), 0),
    _xlpm.Name, INDEX(_xlpm.Angler, 2),
    _xlpm.P, INDEX(_xlpm.Angler, 13),
    _xlpm.L, INDEX(_xlpm.Angler, 10),
    _xlpm.F, INDEX(_xlpm.Angler, 5) + INDEX(_xlpm.Angler, 7),
    _xlpm.Name &amp; " (" &amp; _xlpm.P &amp; " pts / " &amp; _xlpm.L &amp; "cm / " &amp; _xlpm.F &amp; " fish)"
), ""))</f>
        <v/>
      </c>
      <c r="G33" s="293" t="str" cm="1">
        <f t="array" ref="G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COLUMNS($F$3:G33), 0),
    _xlpm.Name, INDEX(_xlpm.Angler, 2),
    _xlpm.P, INDEX(_xlpm.Angler, 13),
    _xlpm.L, INDEX(_xlpm.Angler, 10),
    _xlpm.F, INDEX(_xlpm.Angler, 5) + INDEX(_xlpm.Angler, 7),
    _xlpm.Name &amp; " (" &amp; _xlpm.P &amp; " pts / " &amp; _xlpm.L &amp; "cm / " &amp; _xlpm.F &amp; " fish)"
), ""))</f>
        <v/>
      </c>
      <c r="H33" s="293" t="str" cm="1">
        <f t="array" ref="H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COLUMNS($F$3:H33), 0),
    _xlpm.Name, INDEX(_xlpm.Angler, 2),
    _xlpm.P, INDEX(_xlpm.Angler, 13),
    _xlpm.L, INDEX(_xlpm.Angler, 10),
    _xlpm.F, INDEX(_xlpm.Angler, 5) + INDEX(_xlpm.Angler, 7),
    _xlpm.Name &amp; " (" &amp; _xlpm.P &amp; " pts / " &amp; _xlpm.L &amp; "cm / " &amp; _xlpm.F &amp; " fish)"
), ""))</f>
        <v/>
      </c>
      <c r="I33" s="293" t="str" cm="1">
        <f t="array" ref="I33">IF($B33="", "", IFERROR(_xlfn.LET(
    _xlpm.Team, $B33,
    _xlpm.Data, 'MASTER DATABASE'!$AD$4:$AP$124,
    _xlpm.TData, _xlfn._xlws.FILTER(_xlpm.Data, INDEX(_xlpm.Data, 0, 3)=_xlpm.Team),
    _xlpm.Sorted, _xlfn.SORTBY(_xlpm.TData, INDEX(_xlpm.TData, 0, 13), 1, INDEX(_xlpm.TData, 0, 10), -1, (INDEX(_xlpm.TData, 0, 5) + INDEX(_xlpm.TData, 0, 7)), -1),
    _xlpm.Angler, INDEX(_xlpm.Sorted, COLUMNS($F$3:I33), 0),
    _xlpm.Name, INDEX(_xlpm.Angler, 2),
    _xlpm.P, INDEX(_xlpm.Angler, 13),
    _xlpm.L, INDEX(_xlpm.Angler, 10),
    _xlpm.F, INDEX(_xlpm.Angler, 5) + INDEX(_xlpm.Angler, 7),
    _xlpm.Name &amp; " (" &amp; _xlpm.P &amp; " pts / " &amp; _xlpm.L &amp; "cm / " &amp; _xlpm.F &amp; " fish)"
), ""))</f>
        <v/>
      </c>
      <c r="AA33" s="52">
        <f>IFERROR(VLOOKUP(B33, 'DAY 1 SCORES'!$B$4:$H$152, 7, FALSE) + VLOOKUP(B33, 'DAY 2 SCORES'!$B$4:$H$152, 7, FALSE), 0)</f>
        <v>0</v>
      </c>
    </row>
    <row r="34" spans="1:27" ht="27.75" customHeight="1">
      <c r="A34" s="64"/>
      <c r="B34" s="235"/>
      <c r="C34" s="236" t="str">
        <f>IF($B34="", "", SUMIFS('INDIVIDUAL RESULT'!$D:$D, 'INDIVIDUAL RESULT'!$C:$C, $B34))</f>
        <v/>
      </c>
      <c r="D34" s="236" t="str">
        <f>IF($B34="", "", SUMIFS('INDIVIDUAL RESULT'!$H:$H, 'INDIVIDUAL RESULT'!$C:$C, $B34))</f>
        <v/>
      </c>
      <c r="E34" s="236" t="str">
        <f>IF($B34="", "", SUMIFS('INDIVIDUAL RESULT'!$I:$I, 'INDIVIDUAL RESULT'!$C:$C, $B34))</f>
        <v/>
      </c>
      <c r="F34" s="293" t="str" cm="1">
        <f t="array" ref="F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COLUMNS($F$3:F34), 0),
    _xlpm.Name, INDEX(_xlpm.Angler, 2),
    _xlpm.P, INDEX(_xlpm.Angler, 13),
    _xlpm.L, INDEX(_xlpm.Angler, 10),
    _xlpm.F, INDEX(_xlpm.Angler, 5) + INDEX(_xlpm.Angler, 7),
    _xlpm.Name &amp; " (" &amp; _xlpm.P &amp; " pts / " &amp; _xlpm.L &amp; "cm / " &amp; _xlpm.F &amp; " fish)"
), ""))</f>
        <v/>
      </c>
      <c r="G34" s="293" t="str" cm="1">
        <f t="array" ref="G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COLUMNS($F$3:G34), 0),
    _xlpm.Name, INDEX(_xlpm.Angler, 2),
    _xlpm.P, INDEX(_xlpm.Angler, 13),
    _xlpm.L, INDEX(_xlpm.Angler, 10),
    _xlpm.F, INDEX(_xlpm.Angler, 5) + INDEX(_xlpm.Angler, 7),
    _xlpm.Name &amp; " (" &amp; _xlpm.P &amp; " pts / " &amp; _xlpm.L &amp; "cm / " &amp; _xlpm.F &amp; " fish)"
), ""))</f>
        <v/>
      </c>
      <c r="H34" s="293" t="str" cm="1">
        <f t="array" ref="H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COLUMNS($F$3:H34), 0),
    _xlpm.Name, INDEX(_xlpm.Angler, 2),
    _xlpm.P, INDEX(_xlpm.Angler, 13),
    _xlpm.L, INDEX(_xlpm.Angler, 10),
    _xlpm.F, INDEX(_xlpm.Angler, 5) + INDEX(_xlpm.Angler, 7),
    _xlpm.Name &amp; " (" &amp; _xlpm.P &amp; " pts / " &amp; _xlpm.L &amp; "cm / " &amp; _xlpm.F &amp; " fish)"
), ""))</f>
        <v/>
      </c>
      <c r="I34" s="293" t="str" cm="1">
        <f t="array" ref="I34">IF($B34="", "", IFERROR(_xlfn.LET(
    _xlpm.Team, $B34,
    _xlpm.Data, 'MASTER DATABASE'!$AD$4:$AP$124,
    _xlpm.TData, _xlfn._xlws.FILTER(_xlpm.Data, INDEX(_xlpm.Data, 0, 3)=_xlpm.Team),
    _xlpm.Sorted, _xlfn.SORTBY(_xlpm.TData, INDEX(_xlpm.TData, 0, 13), 1, INDEX(_xlpm.TData, 0, 10), -1, (INDEX(_xlpm.TData, 0, 5) + INDEX(_xlpm.TData, 0, 7)), -1),
    _xlpm.Angler, INDEX(_xlpm.Sorted, COLUMNS($F$3:I34), 0),
    _xlpm.Name, INDEX(_xlpm.Angler, 2),
    _xlpm.P, INDEX(_xlpm.Angler, 13),
    _xlpm.L, INDEX(_xlpm.Angler, 10),
    _xlpm.F, INDEX(_xlpm.Angler, 5) + INDEX(_xlpm.Angler, 7),
    _xlpm.Name &amp; " (" &amp; _xlpm.P &amp; " pts / " &amp; _xlpm.L &amp; "cm / " &amp; _xlpm.F &amp; " fish)"
), ""))</f>
        <v/>
      </c>
      <c r="AA34" s="52">
        <f>IFERROR(VLOOKUP(B34, 'DAY 1 SCORES'!$B$4:$H$152, 7, FALSE) + VLOOKUP(B34, 'DAY 2 SCORES'!$B$4:$H$152, 7, FALSE), 0)</f>
        <v>0</v>
      </c>
    </row>
    <row r="35" spans="1:27" ht="27.75" customHeight="1">
      <c r="A35" s="64"/>
      <c r="B35" s="235"/>
      <c r="C35" s="236" t="str">
        <f>IF($B35="", "", SUMIFS('INDIVIDUAL RESULT'!$D:$D, 'INDIVIDUAL RESULT'!$C:$C, $B35))</f>
        <v/>
      </c>
      <c r="D35" s="236" t="str">
        <f>IF($B35="", "", SUMIFS('INDIVIDUAL RESULT'!$H:$H, 'INDIVIDUAL RESULT'!$C:$C, $B35))</f>
        <v/>
      </c>
      <c r="E35" s="236" t="str">
        <f>IF($B35="", "", SUMIFS('INDIVIDUAL RESULT'!$I:$I, 'INDIVIDUAL RESULT'!$C:$C, $B35))</f>
        <v/>
      </c>
      <c r="F35" s="293" t="str" cm="1">
        <f t="array" ref="F35">IF($B35="", "", IFERROR(_xlfn.LET(
    _xlpm.Team, $B35,
    _xlpm.Data, 'MASTER DATABASE'!$AD$4:$AP$124,
    _xlpm.TData, _xlfn._xlws.FILTER(_xlpm.Data, INDEX(_xlpm.Data, 0, 3)=_xlpm.Team),
    _xlpm.Sorted, _xlfn.SORTBY(_xlpm.TData, INDEX(_xlpm.TData, 0, 13), 1, INDEX(_xlpm.TData, 0, 10), -1, (INDEX(_xlpm.TData, 0, 5) + INDEX(_xlpm.TData, 0, 7)), -1),
    _xlpm.Angler, INDEX(_xlpm.Sorted, COLUMNS($F$3:F35), 0),
    _xlpm.Name, INDEX(_xlpm.Angler, 2),
    _xlpm.P, INDEX(_xlpm.Angler, 13),
    _xlpm.L, INDEX(_xlpm.Angler, 10),
    _xlpm.F, INDEX(_xlpm.Angler, 5) + INDEX(_xlpm.Angler, 7),
    _xlpm.Name &amp; " (" &amp; _xlpm.P &amp; " pts / " &amp; _xlpm.L &amp; "cm / " &amp; _xlpm.F &amp; " fish)"
), ""))</f>
        <v/>
      </c>
      <c r="G35" s="139"/>
      <c r="H35" s="293"/>
      <c r="I35" s="139"/>
      <c r="AA35" s="52">
        <f>IFERROR(VLOOKUP(B35, 'DAY 1 SCORES'!$B$4:$H$152, 7, FALSE) + VLOOKUP(B35, 'DAY 2 SCORES'!$B$4:$H$152, 7, FALSE), 0)</f>
        <v>0</v>
      </c>
    </row>
    <row r="36" spans="1:27" ht="27.75" hidden="1" customHeight="1">
      <c r="A36" s="64"/>
      <c r="B36" s="235" t="e" cm="1" vm="3">
        <f t="array" aca="1" ref="B36" ca="1">_xlfn._xlws.SORT(_xlfn.UNIQUE(REGISTRATION!C35:C134))</f>
        <v>#VALUE!</v>
      </c>
      <c r="C36" s="236" t="e" vm="4">
        <f ca="1">IF($B36="", "", SUMIFS('INDIVIDUAL RESULT'!$D:$D, 'INDIVIDUAL RESULT'!$C:$C, $B36))</f>
        <v>#VALUE!</v>
      </c>
      <c r="D36" s="236" t="e" vm="4">
        <f ca="1">IF($B36="", "", SUMIFS('INDIVIDUAL RESULT'!$H:$H, 'INDIVIDUAL RESULT'!$C:$C, $B36))</f>
        <v>#VALUE!</v>
      </c>
      <c r="E36" s="236" t="e" vm="4">
        <f ca="1">IF($B36="", "", SUMIFS('INDIVIDUAL RESULT'!$I:$I, 'INDIVIDUAL RESULT'!$C:$C, $B36))</f>
        <v>#VALUE!</v>
      </c>
      <c r="F36" s="293" t="e" cm="1" vm="4">
        <f t="array" aca="1" ref="F36" ca="1">IF($B36="", "", IFERROR(_xlfn.LET(
    _xlpm.Team, $B36,
    _xlpm.Data, 'MASTER DATABASE'!$AD$4:$AP$124,
    _xlpm.TData, _xlfn._xlws.FILTER(_xlpm.Data, INDEX(_xlpm.Data, 0, 3)=_xlpm.Team),
    _xlpm.Sorted, _xlfn.SORTBY(_xlpm.TData, INDEX(_xlpm.TData, 0, 13), 1, INDEX(_xlpm.TData, 0, 10), -1, (INDEX(_xlpm.TData, 0, 5) + INDEX(_xlpm.TData, 0, 7)), -1),
    _xlpm.Angler, INDEX(_xlpm.Sorted, COLUMNS($F$3:F36), 0),
    _xlpm.Name, INDEX(_xlpm.Angler, 2),
    _xlpm.P, INDEX(_xlpm.Angler, 13),
    _xlpm.L, INDEX(_xlpm.Angler, 10),
    _xlpm.F, INDEX(_xlpm.Angler, 5) + INDEX(_xlpm.Angler, 7),
    _xlpm.Name &amp; " (" &amp; _xlpm.P &amp; " pts / " &amp; _xlpm.L &amp; "cm / " &amp; _xlpm.F &amp; " fish)"
), ""))</f>
        <v>#VALUE!</v>
      </c>
      <c r="G36" s="139"/>
      <c r="H36" s="293"/>
      <c r="I36" s="139"/>
    </row>
    <row r="37" spans="1:27" ht="27.75" hidden="1" customHeight="1">
      <c r="A37" s="64"/>
      <c r="B37" s="235" t="e" cm="1" vm="3">
        <f t="array" aca="1" ref="B37" ca="1">_xlfn._xlws.SORT(_xlfn.UNIQUE(REGISTRATION!C36:C135))</f>
        <v>#VALUE!</v>
      </c>
      <c r="C37" s="236" t="e" vm="4">
        <f ca="1">IF($B37="", "", SUMIFS('INDIVIDUAL RESULT'!$D:$D, 'INDIVIDUAL RESULT'!$C:$C, $B37))</f>
        <v>#VALUE!</v>
      </c>
      <c r="D37" s="236" t="e" vm="4">
        <f ca="1">IF($B37="", "", SUMIFS('INDIVIDUAL RESULT'!$H:$H, 'INDIVIDUAL RESULT'!$C:$C, $B37))</f>
        <v>#VALUE!</v>
      </c>
      <c r="E37" s="236" t="e" vm="4">
        <f ca="1">IF($B37="", "", SUMIFS('INDIVIDUAL RESULT'!$I:$I, 'INDIVIDUAL RESULT'!$C:$C, $B37))</f>
        <v>#VALUE!</v>
      </c>
      <c r="F37" s="293" t="e" cm="1" vm="4">
        <f t="array" aca="1" ref="F37" ca="1">IF($B37="", "", IFERROR(_xlfn.LET(
    _xlpm.Team, $B37,
    _xlpm.Data, 'MASTER DATABASE'!$AD$4:$AP$124,
    _xlpm.TData, _xlfn._xlws.FILTER(_xlpm.Data, INDEX(_xlpm.Data, 0, 3)=_xlpm.Team),
    _xlpm.Sorted, _xlfn.SORTBY(_xlpm.TData, INDEX(_xlpm.TData, 0, 13), 1, INDEX(_xlpm.TData, 0, 10), -1, (INDEX(_xlpm.TData, 0, 5) + INDEX(_xlpm.TData, 0, 7)), -1),
    _xlpm.Angler, INDEX(_xlpm.Sorted, COLUMNS($F$3:F37), 0),
    _xlpm.Name, INDEX(_xlpm.Angler, 2),
    _xlpm.P, INDEX(_xlpm.Angler, 13),
    _xlpm.L, INDEX(_xlpm.Angler, 10),
    _xlpm.F, INDEX(_xlpm.Angler, 5) + INDEX(_xlpm.Angler, 7),
    _xlpm.Name &amp; " (" &amp; _xlpm.P &amp; " pts / " &amp; _xlpm.L &amp; "cm / " &amp; _xlpm.F &amp; " fish)"
), ""))</f>
        <v>#VALUE!</v>
      </c>
      <c r="G37" s="139"/>
      <c r="H37" s="293"/>
      <c r="I37" s="139"/>
    </row>
    <row r="38" spans="1:27" ht="27.75" hidden="1" customHeight="1">
      <c r="A38" s="64"/>
      <c r="B38" s="235" t="e" cm="1" vm="3">
        <f t="array" aca="1" ref="B38" ca="1">_xlfn._xlws.SORT(_xlfn.UNIQUE(REGISTRATION!C37:C136))</f>
        <v>#VALUE!</v>
      </c>
      <c r="C38" s="236" t="e" vm="4">
        <f ca="1">IF($B38="", "", SUMIFS('INDIVIDUAL RESULT'!$D:$D, 'INDIVIDUAL RESULT'!$C:$C, $B38))</f>
        <v>#VALUE!</v>
      </c>
      <c r="D38" s="236" t="e" vm="4">
        <f ca="1">IF($B38="", "", SUMIFS('INDIVIDUAL RESULT'!$H:$H, 'INDIVIDUAL RESULT'!$C:$C, $B38))</f>
        <v>#VALUE!</v>
      </c>
      <c r="E38" s="236" t="e" vm="4">
        <f ca="1">IF($B38="", "", SUMIFS('INDIVIDUAL RESULT'!$I:$I, 'INDIVIDUAL RESULT'!$C:$C, $B38))</f>
        <v>#VALUE!</v>
      </c>
      <c r="F38" s="294" t="e" cm="1" vm="4">
        <f t="array" aca="1" ref="F38" ca="1">IF($B38="", "", IFERROR(_xlfn.LET(
    _xlpm.Team, $B38,
    _xlpm.Data, 'MASTER DATABASE'!$AD$4:$AP$124,
    _xlpm.TData, _xlfn._xlws.FILTER(_xlpm.Data, INDEX(_xlpm.Data, 0, 3)=_xlpm.Team),
    _xlpm.Sorted, _xlfn.SORTBY(_xlpm.TData, INDEX(_xlpm.TData, 0, 13), 1, INDEX(_xlpm.TData, 0, 10), -1, (INDEX(_xlpm.TData, 0, 5) + INDEX(_xlpm.TData, 0, 7)), -1),
    _xlpm.Angler, INDEX(_xlpm.Sorted, COLUMNS($F$3:F38), 0),
    _xlpm.Name, INDEX(_xlpm.Angler, 2),
    _xlpm.P, INDEX(_xlpm.Angler, 13),
    _xlpm.L, INDEX(_xlpm.Angler, 10),
    _xlpm.F, INDEX(_xlpm.Angler, 5) + INDEX(_xlpm.Angler, 7),
    _xlpm.Name &amp; " (" &amp; _xlpm.P &amp; " pts / " &amp; _xlpm.L &amp; "cm / " &amp; _xlpm.F &amp; " fish)"
), ""))</f>
        <v>#VALUE!</v>
      </c>
      <c r="G38" s="295"/>
      <c r="H38" s="294"/>
      <c r="I38" s="295"/>
    </row>
    <row r="39" spans="1:27" ht="27.75" hidden="1" customHeight="1">
      <c r="A39" s="64"/>
      <c r="B39" s="235" t="e" cm="1" vm="3">
        <f t="array" aca="1" ref="B39" ca="1">_xlfn._xlws.SORT(_xlfn.UNIQUE(REGISTRATION!C38:C137))</f>
        <v>#VALUE!</v>
      </c>
      <c r="C39" s="236" t="e" vm="4">
        <f ca="1">IF($B39="", "", SUMIFS('INDIVIDUAL RESULT'!$D:$D, 'INDIVIDUAL RESULT'!$C:$C, $B39))</f>
        <v>#VALUE!</v>
      </c>
      <c r="D39" s="236" t="e" vm="4">
        <f ca="1">IF($B39="", "", SUMIFS('INDIVIDUAL RESULT'!$H:$H, 'INDIVIDUAL RESULT'!$C:$C, $B39))</f>
        <v>#VALUE!</v>
      </c>
      <c r="E39" s="236" t="e" vm="4">
        <f ca="1">IF($B39="", "", SUMIFS('INDIVIDUAL RESULT'!$I:$I, 'INDIVIDUAL RESULT'!$C:$C, $B39))</f>
        <v>#VALUE!</v>
      </c>
      <c r="F39" s="119" t="e" cm="1" vm="4">
        <f t="array" aca="1" ref="F39" ca="1">IF($B39="", "", IFERROR(_xlfn.LET(
    _xlpm.Team, $B39,
    _xlpm.Data, 'MASTER DATABASE'!$AD$4:$AP$124,
    _xlpm.TData, _xlfn._xlws.FILTER(_xlpm.Data, INDEX(_xlpm.Data, 0, 3)=_xlpm.Team),
    _xlpm.Sorted, _xlfn.SORTBY(_xlpm.TData, INDEX(_xlpm.TData, 0, 13), 1, INDEX(_xlpm.TData, 0, 10), -1, (INDEX(_xlpm.TData, 0, 5) + INDEX(_xlpm.TData, 0, 7)), -1),
    _xlpm.Angler, INDEX(_xlpm.Sorted, COLUMNS($F$3:F39), 0),
    _xlpm.Name, INDEX(_xlpm.Angler, 2),
    _xlpm.P, INDEX(_xlpm.Angler, 13),
    _xlpm.L, INDEX(_xlpm.Angler, 10),
    _xlpm.F, INDEX(_xlpm.Angler, 5) + INDEX(_xlpm.Angler, 7),
    _xlpm.Name &amp; " (" &amp; _xlpm.P &amp; " pts / " &amp; _xlpm.L &amp; "cm / " &amp; _xlpm.F &amp; " fish)"
), ""))</f>
        <v>#VALUE!</v>
      </c>
      <c r="G39" s="120"/>
      <c r="H39" s="119"/>
      <c r="I39" s="120"/>
    </row>
    <row r="40" spans="1:27" ht="27.75" hidden="1" customHeight="1">
      <c r="A40" s="64"/>
      <c r="B40" s="235" t="e" cm="1" vm="3">
        <f t="array" aca="1" ref="B40" ca="1">_xlfn._xlws.SORT(_xlfn.UNIQUE(REGISTRATION!C39:C138))</f>
        <v>#VALUE!</v>
      </c>
      <c r="C40" s="236" t="e" vm="4">
        <f ca="1">IF($B40="", "", SUMIFS('INDIVIDUAL RESULT'!$D:$D, 'INDIVIDUAL RESULT'!$C:$C, $B40))</f>
        <v>#VALUE!</v>
      </c>
      <c r="D40" s="236" t="e" vm="4">
        <f ca="1">IF($B40="", "", SUMIFS('INDIVIDUAL RESULT'!$H:$H, 'INDIVIDUAL RESULT'!$C:$C, $B40))</f>
        <v>#VALUE!</v>
      </c>
      <c r="E40" s="236" t="e" vm="4">
        <f ca="1">IF($B40="", "", SUMIFS('INDIVIDUAL RESULT'!$I:$I, 'INDIVIDUAL RESULT'!$C:$C, $B40))</f>
        <v>#VALUE!</v>
      </c>
      <c r="F40" s="119" t="e" cm="1" vm="4">
        <f t="array" aca="1" ref="F40" ca="1">IF($B40="", "", IFERROR(_xlfn.LET(
    _xlpm.Team, $B40,
    _xlpm.Data, 'MASTER DATABASE'!$AD$4:$AP$124,
    _xlpm.TData, _xlfn._xlws.FILTER(_xlpm.Data, INDEX(_xlpm.Data, 0, 3)=_xlpm.Team),
    _xlpm.Sorted, _xlfn.SORTBY(_xlpm.TData, INDEX(_xlpm.TData, 0, 13), 1, INDEX(_xlpm.TData, 0, 10), -1, (INDEX(_xlpm.TData, 0, 5) + INDEX(_xlpm.TData, 0, 7)), -1),
    _xlpm.Angler, INDEX(_xlpm.Sorted, COLUMNS($F$3:F40), 0),
    _xlpm.Name, INDEX(_xlpm.Angler, 2),
    _xlpm.P, INDEX(_xlpm.Angler, 13),
    _xlpm.L, INDEX(_xlpm.Angler, 10),
    _xlpm.F, INDEX(_xlpm.Angler, 5) + INDEX(_xlpm.Angler, 7),
    _xlpm.Name &amp; " (" &amp; _xlpm.P &amp; " pts / " &amp; _xlpm.L &amp; "cm / " &amp; _xlpm.F &amp; " fish)"
), ""))</f>
        <v>#VALUE!</v>
      </c>
      <c r="G40" s="120"/>
      <c r="H40" s="119"/>
      <c r="I40" s="120"/>
    </row>
    <row r="41" spans="1:27" ht="27.75" hidden="1" customHeight="1">
      <c r="A41" s="64"/>
      <c r="B41" s="235" t="e" cm="1" vm="3">
        <f t="array" aca="1" ref="B41" ca="1">_xlfn._xlws.SORT(_xlfn.UNIQUE(REGISTRATION!C40:C139))</f>
        <v>#VALUE!</v>
      </c>
      <c r="C41" s="236" t="e" vm="4">
        <f ca="1">IF($B41="", "", SUMIFS('INDIVIDUAL RESULT'!$D:$D, 'INDIVIDUAL RESULT'!$C:$C, $B41))</f>
        <v>#VALUE!</v>
      </c>
      <c r="D41" s="236" t="e" vm="4">
        <f ca="1">IF($B41="", "", SUMIFS('INDIVIDUAL RESULT'!$H:$H, 'INDIVIDUAL RESULT'!$C:$C, $B41))</f>
        <v>#VALUE!</v>
      </c>
      <c r="E41" s="236" t="e" vm="4">
        <f ca="1">IF($B41="", "", SUMIFS('INDIVIDUAL RESULT'!$I:$I, 'INDIVIDUAL RESULT'!$C:$C, $B41))</f>
        <v>#VALUE!</v>
      </c>
      <c r="F41" s="119" t="e" cm="1" vm="4">
        <f t="array" aca="1" ref="F41" ca="1">IF($B41="", "", IFERROR(_xlfn.LET(
    _xlpm.Team, $B41,
    _xlpm.Data, 'MASTER DATABASE'!$AD$4:$AP$124,
    _xlpm.TData, _xlfn._xlws.FILTER(_xlpm.Data, INDEX(_xlpm.Data, 0, 3)=_xlpm.Team),
    _xlpm.Sorted, _xlfn.SORTBY(_xlpm.TData, INDEX(_xlpm.TData, 0, 13), 1, INDEX(_xlpm.TData, 0, 10), -1, (INDEX(_xlpm.TData, 0, 5) + INDEX(_xlpm.TData, 0, 7)), -1),
    _xlpm.Angler, INDEX(_xlpm.Sorted, COLUMNS($F$3:F41), 0),
    _xlpm.Name, INDEX(_xlpm.Angler, 2),
    _xlpm.P, INDEX(_xlpm.Angler, 13),
    _xlpm.L, INDEX(_xlpm.Angler, 10),
    _xlpm.F, INDEX(_xlpm.Angler, 5) + INDEX(_xlpm.Angler, 7),
    _xlpm.Name &amp; " (" &amp; _xlpm.P &amp; " pts / " &amp; _xlpm.L &amp; "cm / " &amp; _xlpm.F &amp; " fish)"
), ""))</f>
        <v>#VALUE!</v>
      </c>
      <c r="G41" s="120"/>
      <c r="H41" s="119"/>
      <c r="I41" s="120"/>
    </row>
    <row r="42" spans="1:27" ht="27.75" hidden="1" customHeight="1">
      <c r="A42" s="64"/>
      <c r="B42" s="235" t="e" cm="1" vm="3">
        <f t="array" aca="1" ref="B42" ca="1">_xlfn._xlws.SORT(_xlfn.UNIQUE(REGISTRATION!C41:C140))</f>
        <v>#VALUE!</v>
      </c>
      <c r="C42" s="236" t="e" vm="4">
        <f ca="1">IF($B42="", "", SUMIFS('INDIVIDUAL RESULT'!$D:$D, 'INDIVIDUAL RESULT'!$C:$C, $B42))</f>
        <v>#VALUE!</v>
      </c>
      <c r="D42" s="236" t="e" vm="4">
        <f ca="1">IF($B42="", "", SUMIFS('INDIVIDUAL RESULT'!$H:$H, 'INDIVIDUAL RESULT'!$C:$C, $B42))</f>
        <v>#VALUE!</v>
      </c>
      <c r="E42" s="236" t="e" vm="4">
        <f ca="1">IF($B42="", "", SUMIFS('INDIVIDUAL RESULT'!$I:$I, 'INDIVIDUAL RESULT'!$C:$C, $B42))</f>
        <v>#VALUE!</v>
      </c>
      <c r="F42" s="119" t="e" cm="1" vm="4">
        <f t="array" aca="1" ref="F42" ca="1">IF($B42="", "", IFERROR(_xlfn.LET(
    _xlpm.Team, $B42,
    _xlpm.Data, 'MASTER DATABASE'!$AD$4:$AP$124,
    _xlpm.TData, _xlfn._xlws.FILTER(_xlpm.Data, INDEX(_xlpm.Data, 0, 3)=_xlpm.Team),
    _xlpm.Sorted, _xlfn.SORTBY(_xlpm.TData, INDEX(_xlpm.TData, 0, 13), 1, INDEX(_xlpm.TData, 0, 10), -1, (INDEX(_xlpm.TData, 0, 5) + INDEX(_xlpm.TData, 0, 7)), -1),
    _xlpm.Angler, INDEX(_xlpm.Sorted, COLUMNS($F$3:F42), 0),
    _xlpm.Name, INDEX(_xlpm.Angler, 2),
    _xlpm.P, INDEX(_xlpm.Angler, 13),
    _xlpm.L, INDEX(_xlpm.Angler, 10),
    _xlpm.F, INDEX(_xlpm.Angler, 5) + INDEX(_xlpm.Angler, 7),
    _xlpm.Name &amp; " (" &amp; _xlpm.P &amp; " pts / " &amp; _xlpm.L &amp; "cm / " &amp; _xlpm.F &amp; " fish)"
), ""))</f>
        <v>#VALUE!</v>
      </c>
      <c r="G42" s="120"/>
      <c r="H42" s="119"/>
      <c r="I42" s="120"/>
    </row>
    <row r="43" spans="1:27" ht="27.75" hidden="1" customHeight="1">
      <c r="A43" s="64"/>
      <c r="B43" s="235" t="e" cm="1" vm="3">
        <f t="array" aca="1" ref="B43" ca="1">_xlfn._xlws.SORT(_xlfn.UNIQUE(REGISTRATION!C42:C141))</f>
        <v>#VALUE!</v>
      </c>
      <c r="C43" s="236" t="e" vm="4">
        <f ca="1">IF($B43="", "", SUMIFS('INDIVIDUAL RESULT'!$D:$D, 'INDIVIDUAL RESULT'!$C:$C, $B43))</f>
        <v>#VALUE!</v>
      </c>
      <c r="D43" s="236" t="e" vm="4">
        <f ca="1">IF($B43="", "", SUMIFS('INDIVIDUAL RESULT'!$H:$H, 'INDIVIDUAL RESULT'!$C:$C, $B43))</f>
        <v>#VALUE!</v>
      </c>
      <c r="E43" s="236" t="e" vm="4">
        <f ca="1">IF($B43="", "", SUMIFS('INDIVIDUAL RESULT'!$I:$I, 'INDIVIDUAL RESULT'!$C:$C, $B43))</f>
        <v>#VALUE!</v>
      </c>
      <c r="F43" s="119" t="e" cm="1" vm="4">
        <f t="array" aca="1" ref="F43" ca="1">IF($B43="", "", IFERROR(_xlfn.LET(
    _xlpm.Team, $B43,
    _xlpm.Data, 'MASTER DATABASE'!$AD$4:$AP$124,
    _xlpm.TData, _xlfn._xlws.FILTER(_xlpm.Data, INDEX(_xlpm.Data, 0, 3)=_xlpm.Team),
    _xlpm.Sorted, _xlfn.SORTBY(_xlpm.TData, INDEX(_xlpm.TData, 0, 13), 1, INDEX(_xlpm.TData, 0, 10), -1, (INDEX(_xlpm.TData, 0, 5) + INDEX(_xlpm.TData, 0, 7)), -1),
    _xlpm.Angler, INDEX(_xlpm.Sorted, COLUMNS($F$3:F43), 0),
    _xlpm.Name, INDEX(_xlpm.Angler, 2),
    _xlpm.P, INDEX(_xlpm.Angler, 13),
    _xlpm.L, INDEX(_xlpm.Angler, 10),
    _xlpm.F, INDEX(_xlpm.Angler, 5) + INDEX(_xlpm.Angler, 7),
    _xlpm.Name &amp; " (" &amp; _xlpm.P &amp; " pts / " &amp; _xlpm.L &amp; "cm / " &amp; _xlpm.F &amp; " fish)"
), ""))</f>
        <v>#VALUE!</v>
      </c>
      <c r="G43" s="120"/>
      <c r="H43" s="119"/>
      <c r="I43" s="120"/>
    </row>
    <row r="44" spans="1:27" ht="27.75" hidden="1" customHeight="1">
      <c r="A44" s="64"/>
      <c r="B44" s="235" t="e" cm="1" vm="3">
        <f t="array" aca="1" ref="B44" ca="1">_xlfn._xlws.SORT(_xlfn.UNIQUE(REGISTRATION!C43:C142))</f>
        <v>#VALUE!</v>
      </c>
      <c r="C44" s="236" t="e" vm="4">
        <f ca="1">IF($B44="", "", SUMIFS('INDIVIDUAL RESULT'!$D:$D, 'INDIVIDUAL RESULT'!$C:$C, $B44))</f>
        <v>#VALUE!</v>
      </c>
      <c r="D44" s="236" t="e" vm="4">
        <f ca="1">IF($B44="", "", SUMIFS('INDIVIDUAL RESULT'!$H:$H, 'INDIVIDUAL RESULT'!$C:$C, $B44))</f>
        <v>#VALUE!</v>
      </c>
      <c r="E44" s="236" t="e" vm="4">
        <f ca="1">IF($B44="", "", SUMIFS('INDIVIDUAL RESULT'!$I:$I, 'INDIVIDUAL RESULT'!$C:$C, $B44))</f>
        <v>#VALUE!</v>
      </c>
      <c r="F44" s="119" t="e" cm="1" vm="4">
        <f t="array" aca="1" ref="F44" ca="1">IF($B44="", "", IFERROR(_xlfn.LET(
    _xlpm.Team, $B44,
    _xlpm.Data, 'MASTER DATABASE'!$AD$4:$AP$124,
    _xlpm.TData, _xlfn._xlws.FILTER(_xlpm.Data, INDEX(_xlpm.Data, 0, 3)=_xlpm.Team),
    _xlpm.Sorted, _xlfn.SORTBY(_xlpm.TData, INDEX(_xlpm.TData, 0, 13), 1, INDEX(_xlpm.TData, 0, 10), -1, (INDEX(_xlpm.TData, 0, 5) + INDEX(_xlpm.TData, 0, 7)), -1),
    _xlpm.Angler, INDEX(_xlpm.Sorted, COLUMNS($F$3:F44), 0),
    _xlpm.Name, INDEX(_xlpm.Angler, 2),
    _xlpm.P, INDEX(_xlpm.Angler, 13),
    _xlpm.L, INDEX(_xlpm.Angler, 10),
    _xlpm.F, INDEX(_xlpm.Angler, 5) + INDEX(_xlpm.Angler, 7),
    _xlpm.Name &amp; " (" &amp; _xlpm.P &amp; " pts / " &amp; _xlpm.L &amp; "cm / " &amp; _xlpm.F &amp; " fish)"
), ""))</f>
        <v>#VALUE!</v>
      </c>
      <c r="G44" s="120"/>
      <c r="H44" s="119"/>
      <c r="I44" s="120"/>
    </row>
    <row r="45" spans="1:27" ht="27.75" hidden="1" customHeight="1">
      <c r="A45" s="64"/>
      <c r="B45" s="235" t="e" cm="1" vm="3">
        <f t="array" aca="1" ref="B45" ca="1">_xlfn._xlws.SORT(_xlfn.UNIQUE(REGISTRATION!C44:C143))</f>
        <v>#VALUE!</v>
      </c>
      <c r="C45" s="236" t="e" vm="4">
        <f ca="1">IF($B45="", "", SUMIFS('INDIVIDUAL RESULT'!$D:$D, 'INDIVIDUAL RESULT'!$C:$C, $B45))</f>
        <v>#VALUE!</v>
      </c>
      <c r="D45" s="236" t="e" vm="4">
        <f ca="1">IF($B45="", "", SUMIFS('INDIVIDUAL RESULT'!$H:$H, 'INDIVIDUAL RESULT'!$C:$C, $B45))</f>
        <v>#VALUE!</v>
      </c>
      <c r="E45" s="236" t="e" vm="4">
        <f ca="1">IF($B45="", "", SUMIFS('INDIVIDUAL RESULT'!$I:$I, 'INDIVIDUAL RESULT'!$C:$C, $B45))</f>
        <v>#VALUE!</v>
      </c>
      <c r="F45" s="119" t="e" cm="1" vm="4">
        <f t="array" aca="1" ref="F45" ca="1">IF($B45="", "", IFERROR(_xlfn.LET(
    _xlpm.Team, $B45,
    _xlpm.Data, 'MASTER DATABASE'!$AD$4:$AP$124,
    _xlpm.TData, _xlfn._xlws.FILTER(_xlpm.Data, INDEX(_xlpm.Data, 0, 3)=_xlpm.Team),
    _xlpm.Sorted, _xlfn.SORTBY(_xlpm.TData, INDEX(_xlpm.TData, 0, 13), 1, INDEX(_xlpm.TData, 0, 10), -1, (INDEX(_xlpm.TData, 0, 5) + INDEX(_xlpm.TData, 0, 7)), -1),
    _xlpm.Angler, INDEX(_xlpm.Sorted, COLUMNS($F$3:F45), 0),
    _xlpm.Name, INDEX(_xlpm.Angler, 2),
    _xlpm.P, INDEX(_xlpm.Angler, 13),
    _xlpm.L, INDEX(_xlpm.Angler, 10),
    _xlpm.F, INDEX(_xlpm.Angler, 5) + INDEX(_xlpm.Angler, 7),
    _xlpm.Name &amp; " (" &amp; _xlpm.P &amp; " pts / " &amp; _xlpm.L &amp; "cm / " &amp; _xlpm.F &amp; " fish)"
), ""))</f>
        <v>#VALUE!</v>
      </c>
      <c r="G45" s="120"/>
      <c r="H45" s="119"/>
      <c r="I45" s="120"/>
    </row>
    <row r="46" spans="1:27" ht="27.75" hidden="1" customHeight="1">
      <c r="A46" s="64"/>
      <c r="B46" s="235" t="e" cm="1" vm="3">
        <f t="array" aca="1" ref="B46" ca="1">_xlfn._xlws.SORT(_xlfn.UNIQUE(REGISTRATION!C45:C144))</f>
        <v>#VALUE!</v>
      </c>
      <c r="C46" s="236" t="e" vm="4">
        <f ca="1">IF($B46="", "", SUMIFS('INDIVIDUAL RESULT'!$D:$D, 'INDIVIDUAL RESULT'!$C:$C, $B46))</f>
        <v>#VALUE!</v>
      </c>
      <c r="D46" s="236" t="e" vm="4">
        <f ca="1">IF($B46="", "", SUMIFS('INDIVIDUAL RESULT'!$H:$H, 'INDIVIDUAL RESULT'!$C:$C, $B46))</f>
        <v>#VALUE!</v>
      </c>
      <c r="E46" s="236" t="e" vm="4">
        <f ca="1">IF($B46="", "", SUMIFS('INDIVIDUAL RESULT'!$I:$I, 'INDIVIDUAL RESULT'!$C:$C, $B46))</f>
        <v>#VALUE!</v>
      </c>
      <c r="F46" s="119" t="e" cm="1" vm="4">
        <f t="array" aca="1" ref="F46" ca="1">IF($B46="", "", IFERROR(_xlfn.LET(
    _xlpm.Team, $B46,
    _xlpm.Data, 'MASTER DATABASE'!$AD$4:$AP$124,
    _xlpm.TData, _xlfn._xlws.FILTER(_xlpm.Data, INDEX(_xlpm.Data, 0, 3)=_xlpm.Team),
    _xlpm.Sorted, _xlfn.SORTBY(_xlpm.TData, INDEX(_xlpm.TData, 0, 13), 1, INDEX(_xlpm.TData, 0, 10), -1, (INDEX(_xlpm.TData, 0, 5) + INDEX(_xlpm.TData, 0, 7)), -1),
    _xlpm.Angler, INDEX(_xlpm.Sorted, COLUMNS($F$3:F46), 0),
    _xlpm.Name, INDEX(_xlpm.Angler, 2),
    _xlpm.P, INDEX(_xlpm.Angler, 13),
    _xlpm.L, INDEX(_xlpm.Angler, 10),
    _xlpm.F, INDEX(_xlpm.Angler, 5) + INDEX(_xlpm.Angler, 7),
    _xlpm.Name &amp; " (" &amp; _xlpm.P &amp; " pts / " &amp; _xlpm.L &amp; "cm / " &amp; _xlpm.F &amp; " fish)"
), ""))</f>
        <v>#VALUE!</v>
      </c>
      <c r="G46" s="120"/>
      <c r="H46" s="119"/>
      <c r="I46" s="120"/>
    </row>
    <row r="47" spans="1:27" ht="27.75" hidden="1" customHeight="1">
      <c r="A47" s="64"/>
      <c r="B47" s="235" t="e" cm="1" vm="3">
        <f t="array" aca="1" ref="B47" ca="1">_xlfn._xlws.SORT(_xlfn.UNIQUE(REGISTRATION!C46:C145))</f>
        <v>#VALUE!</v>
      </c>
      <c r="C47" s="236" t="e" vm="4">
        <f ca="1">IF($B47="", "", SUMIFS('INDIVIDUAL RESULT'!$D:$D, 'INDIVIDUAL RESULT'!$C:$C, $B47))</f>
        <v>#VALUE!</v>
      </c>
      <c r="D47" s="236">
        <f ca="1">SUMIFS('INDIVIDUAL RESULT'!$H:$H, 'INDIVIDUAL RESULT'!$C:$C, $B47)</f>
        <v>0</v>
      </c>
      <c r="E47" s="236" t="e" vm="4">
        <f ca="1">IF($B47="", "", SUMIFS('INDIVIDUAL RESULT'!$I:$I, 'INDIVIDUAL RESULT'!$C:$C, $B47))</f>
        <v>#VALUE!</v>
      </c>
      <c r="F47" s="119" t="e" cm="1" vm="4">
        <f t="array" aca="1" ref="F47" ca="1">IF($B47="", "", IFERROR(_xlfn.LET(
    _xlpm.Team, $B47,
    _xlpm.Data, 'MASTER DATABASE'!$AD$4:$AP$124,
    _xlpm.TData, _xlfn._xlws.FILTER(_xlpm.Data, INDEX(_xlpm.Data, 0, 3)=_xlpm.Team),
    _xlpm.Sorted, _xlfn.SORTBY(_xlpm.TData, INDEX(_xlpm.TData, 0, 13), 1, INDEX(_xlpm.TData, 0, 10), -1, (INDEX(_xlpm.TData, 0, 5) + INDEX(_xlpm.TData, 0, 7)), -1),
    _xlpm.Angler, INDEX(_xlpm.Sorted, COLUMNS($F$3:F47), 0),
    _xlpm.Name, INDEX(_xlpm.Angler, 2),
    _xlpm.P, INDEX(_xlpm.Angler, 13),
    _xlpm.L, INDEX(_xlpm.Angler, 10),
    _xlpm.F, INDEX(_xlpm.Angler, 5) + INDEX(_xlpm.Angler, 7),
    _xlpm.Name &amp; " (" &amp; _xlpm.P &amp; " pts / " &amp; _xlpm.L &amp; "cm / " &amp; _xlpm.F &amp; " fish)"
), ""))</f>
        <v>#VALUE!</v>
      </c>
      <c r="G47" s="120"/>
      <c r="H47" s="119"/>
      <c r="I47" s="120"/>
    </row>
    <row r="48" spans="1:27" ht="27.75" hidden="1" customHeight="1">
      <c r="A48" s="64"/>
      <c r="B48" s="235" t="e" cm="1" vm="3">
        <f t="array" aca="1" ref="B48" ca="1">_xlfn._xlws.SORT(_xlfn.UNIQUE(REGISTRATION!C47:C146))</f>
        <v>#VALUE!</v>
      </c>
      <c r="C48" s="236" t="e" vm="4">
        <f ca="1">IF($B48="", "", SUMIFS('INDIVIDUAL RESULT'!$D:$D, 'INDIVIDUAL RESULT'!$C:$C, $B48))</f>
        <v>#VALUE!</v>
      </c>
      <c r="D48" s="236">
        <f ca="1">SUMIFS('INDIVIDUAL RESULT'!$H:$H, 'INDIVIDUAL RESULT'!$C:$C, $B48)</f>
        <v>0</v>
      </c>
      <c r="E48" s="236" t="e" vm="4">
        <f ca="1">IF($B48="", "", SUMIFS('INDIVIDUAL RESULT'!$I:$I, 'INDIVIDUAL RESULT'!$C:$C, $B48))</f>
        <v>#VALUE!</v>
      </c>
      <c r="F48" s="119" t="e" cm="1" vm="4">
        <f t="array" aca="1" ref="F48" ca="1">IF($B48="", "", IFERROR(_xlfn.LET(
    _xlpm.Team, $B48,
    _xlpm.Data, 'MASTER DATABASE'!$AD$4:$AP$124,
    _xlpm.TData, _xlfn._xlws.FILTER(_xlpm.Data, INDEX(_xlpm.Data, 0, 3)=_xlpm.Team),
    _xlpm.Sorted, _xlfn.SORTBY(_xlpm.TData, INDEX(_xlpm.TData, 0, 13), 1, INDEX(_xlpm.TData, 0, 10), -1, (INDEX(_xlpm.TData, 0, 5) + INDEX(_xlpm.TData, 0, 7)), -1),
    _xlpm.Angler, INDEX(_xlpm.Sorted, COLUMNS($F$3:F48), 0),
    _xlpm.Name, INDEX(_xlpm.Angler, 2),
    _xlpm.P, INDEX(_xlpm.Angler, 13),
    _xlpm.L, INDEX(_xlpm.Angler, 10),
    _xlpm.F, INDEX(_xlpm.Angler, 5) + INDEX(_xlpm.Angler, 7),
    _xlpm.Name &amp; " (" &amp; _xlpm.P &amp; " pts / " &amp; _xlpm.L &amp; "cm / " &amp; _xlpm.F &amp; " fish)"
), ""))</f>
        <v>#VALUE!</v>
      </c>
      <c r="G48" s="120"/>
      <c r="H48" s="119"/>
      <c r="I48" s="120"/>
    </row>
    <row r="49" spans="1:9" ht="27.75" hidden="1" customHeight="1">
      <c r="A49" s="64"/>
      <c r="B49" s="235" t="e" cm="1" vm="3">
        <f t="array" aca="1" ref="B49" ca="1">_xlfn._xlws.SORT(_xlfn.UNIQUE(REGISTRATION!C48:C147))</f>
        <v>#VALUE!</v>
      </c>
      <c r="C49" s="236" t="e" vm="4">
        <f ca="1">IF($B49="", "", SUMIFS('INDIVIDUAL RESULT'!$D:$D, 'INDIVIDUAL RESULT'!$C:$C, $B49))</f>
        <v>#VALUE!</v>
      </c>
      <c r="D49" s="236">
        <f ca="1">SUMIFS('INDIVIDUAL RESULT'!$E:$E, 'INDIVIDUAL RESULT'!$C:$C, $B49)</f>
        <v>0</v>
      </c>
      <c r="E49" s="236" t="e" vm="4">
        <f ca="1">IF($B49="", "", SUMIFS('INDIVIDUAL RESULT'!$I:$I, 'INDIVIDUAL RESULT'!$C:$C, $B49))</f>
        <v>#VALUE!</v>
      </c>
      <c r="F49" s="119" t="e" cm="1" vm="4">
        <f t="array" aca="1" ref="F49" ca="1">IF($B49="", "", IFERROR(_xlfn.LET(
    _xlpm.Team, $B49,
    _xlpm.Data, 'MASTER DATABASE'!$AD$4:$AP$124,
    _xlpm.TData, _xlfn._xlws.FILTER(_xlpm.Data, INDEX(_xlpm.Data, 0, 3)=_xlpm.Team),
    _xlpm.Sorted, _xlfn.SORTBY(_xlpm.TData, INDEX(_xlpm.TData, 0, 13), 1, INDEX(_xlpm.TData, 0, 10), -1, (INDEX(_xlpm.TData, 0, 5) + INDEX(_xlpm.TData, 0, 7)), -1),
    _xlpm.Angler, INDEX(_xlpm.Sorted, COLUMNS($F$3:F49), 0),
    _xlpm.Name, INDEX(_xlpm.Angler, 2),
    _xlpm.P, INDEX(_xlpm.Angler, 13),
    _xlpm.L, INDEX(_xlpm.Angler, 10),
    _xlpm.F, INDEX(_xlpm.Angler, 5) + INDEX(_xlpm.Angler, 7),
    _xlpm.Name &amp; " (" &amp; _xlpm.P &amp; " pts / " &amp; _xlpm.L &amp; "cm / " &amp; _xlpm.F &amp; " fish)"
), ""))</f>
        <v>#VALUE!</v>
      </c>
      <c r="G49" s="120"/>
      <c r="H49" s="119"/>
      <c r="I49" s="120"/>
    </row>
    <row r="50" spans="1:9" ht="27.75" hidden="1" customHeight="1">
      <c r="A50" s="64"/>
      <c r="B50" s="235" t="e" cm="1" vm="3">
        <f t="array" aca="1" ref="B50" ca="1">_xlfn._xlws.SORT(_xlfn.UNIQUE(REGISTRATION!C49:C148))</f>
        <v>#VALUE!</v>
      </c>
      <c r="C50" s="236" t="e" vm="4">
        <f ca="1">IF($B50="", "", SUMIFS('INDIVIDUAL RESULT'!$D:$D, 'INDIVIDUAL RESULT'!$C:$C, $B50))</f>
        <v>#VALUE!</v>
      </c>
      <c r="D50" s="236">
        <f ca="1">SUMIFS('INDIVIDUAL RESULT'!$E:$E, 'INDIVIDUAL RESULT'!$C:$C, $B50)</f>
        <v>0</v>
      </c>
      <c r="E50" s="236" t="e" vm="4">
        <f ca="1">IF($B50="", "", SUMIFS('INDIVIDUAL RESULT'!$I:$I, 'INDIVIDUAL RESULT'!$C:$C, $B50))</f>
        <v>#VALUE!</v>
      </c>
      <c r="F50" s="119" t="e" cm="1" vm="4">
        <f t="array" aca="1" ref="F50" ca="1">IF($B50="", "", IFERROR(_xlfn.LET(
    _xlpm.Team, $B50,
    _xlpm.Data, 'MASTER DATABASE'!$AD$4:$AP$124,
    _xlpm.TData, _xlfn._xlws.FILTER(_xlpm.Data, INDEX(_xlpm.Data, 0, 3)=_xlpm.Team),
    _xlpm.Sorted, _xlfn.SORTBY(_xlpm.TData, INDEX(_xlpm.TData, 0, 13), 1, INDEX(_xlpm.TData, 0, 10), -1, (INDEX(_xlpm.TData, 0, 5) + INDEX(_xlpm.TData, 0, 7)), -1),
    _xlpm.Angler, INDEX(_xlpm.Sorted, COLUMNS($F$3:F50), 0),
    _xlpm.Name, INDEX(_xlpm.Angler, 2),
    _xlpm.P, INDEX(_xlpm.Angler, 13),
    _xlpm.L, INDEX(_xlpm.Angler, 10),
    _xlpm.F, INDEX(_xlpm.Angler, 5) + INDEX(_xlpm.Angler, 7),
    _xlpm.Name &amp; " (" &amp; _xlpm.P &amp; " pts / " &amp; _xlpm.L &amp; "cm / " &amp; _xlpm.F &amp; " fish)"
), ""))</f>
        <v>#VALUE!</v>
      </c>
      <c r="G50" s="120"/>
      <c r="H50" s="119"/>
      <c r="I50" s="120"/>
    </row>
    <row r="51" spans="1:9" ht="27.75" hidden="1" customHeight="1">
      <c r="A51" s="64"/>
      <c r="B51" s="235" t="e" cm="1" vm="3">
        <f t="array" aca="1" ref="B51" ca="1">_xlfn._xlws.SORT(_xlfn.UNIQUE(REGISTRATION!C50:C149))</f>
        <v>#VALUE!</v>
      </c>
      <c r="C51" s="236" t="e" vm="4">
        <f ca="1">IF($B51="", "", SUMIFS('INDIVIDUAL RESULT'!$D:$D, 'INDIVIDUAL RESULT'!$C:$C, $B51))</f>
        <v>#VALUE!</v>
      </c>
      <c r="D51" s="236">
        <f ca="1">SUMIFS('INDIVIDUAL RESULT'!$E:$E, 'INDIVIDUAL RESULT'!$C:$C, $B51)</f>
        <v>0</v>
      </c>
      <c r="E51" s="236" t="e" vm="4">
        <f ca="1">IF($B51="", "", SUMIFS('INDIVIDUAL RESULT'!$I:$I, 'INDIVIDUAL RESULT'!$C:$C, $B51))</f>
        <v>#VALUE!</v>
      </c>
      <c r="F51" s="119" t="e" cm="1" vm="4">
        <f t="array" aca="1" ref="F51" ca="1">IF($B51="", "", IFERROR(_xlfn.LET(
    _xlpm.Team, $B51,
    _xlpm.Data, 'MASTER DATABASE'!$AD$4:$AP$124,
    _xlpm.TData, _xlfn._xlws.FILTER(_xlpm.Data, INDEX(_xlpm.Data, 0, 3)=_xlpm.Team),
    _xlpm.Sorted, _xlfn.SORTBY(_xlpm.TData, INDEX(_xlpm.TData, 0, 13), 1, INDEX(_xlpm.TData, 0, 10), -1, (INDEX(_xlpm.TData, 0, 5) + INDEX(_xlpm.TData, 0, 7)), -1),
    _xlpm.Angler, INDEX(_xlpm.Sorted, COLUMNS($F$3:F51), 0),
    _xlpm.Name, INDEX(_xlpm.Angler, 2),
    _xlpm.P, INDEX(_xlpm.Angler, 13),
    _xlpm.L, INDEX(_xlpm.Angler, 10),
    _xlpm.F, INDEX(_xlpm.Angler, 5) + INDEX(_xlpm.Angler, 7),
    _xlpm.Name &amp; " (" &amp; _xlpm.P &amp; " pts / " &amp; _xlpm.L &amp; "cm / " &amp; _xlpm.F &amp; " fish)"
), ""))</f>
        <v>#VALUE!</v>
      </c>
      <c r="G51" s="120"/>
      <c r="H51" s="119"/>
      <c r="I51" s="120"/>
    </row>
    <row r="52" spans="1:9" ht="27.75" hidden="1" customHeight="1">
      <c r="A52" s="64"/>
      <c r="B52" s="235" t="e" cm="1" vm="3">
        <f t="array" aca="1" ref="B52" ca="1">_xlfn._xlws.SORT(_xlfn.UNIQUE(REGISTRATION!C51:C150))</f>
        <v>#VALUE!</v>
      </c>
      <c r="C52" s="236" t="e" vm="4">
        <f ca="1">IF($B52="", "", SUMIFS('INDIVIDUAL RESULT'!$D:$D, 'INDIVIDUAL RESULT'!$C:$C, $B52))</f>
        <v>#VALUE!</v>
      </c>
      <c r="D52" s="237"/>
      <c r="E52" s="236" t="e" vm="4">
        <f ca="1">IF($B52="", "", SUMIFS('INDIVIDUAL RESULT'!$I:$I, 'INDIVIDUAL RESULT'!$C:$C, $B52))</f>
        <v>#VALUE!</v>
      </c>
      <c r="F52" s="119" t="e" cm="1" vm="4">
        <f t="array" aca="1" ref="F52" ca="1">IF($B52="", "", IFERROR(_xlfn.LET(
    _xlpm.Team, $B52,
    _xlpm.Data, 'MASTER DATABASE'!$AD$4:$AP$124,
    _xlpm.TData, _xlfn._xlws.FILTER(_xlpm.Data, INDEX(_xlpm.Data, 0, 3)=_xlpm.Team),
    _xlpm.Sorted, _xlfn.SORTBY(_xlpm.TData, INDEX(_xlpm.TData, 0, 13), 1, INDEX(_xlpm.TData, 0, 10), -1, (INDEX(_xlpm.TData, 0, 5) + INDEX(_xlpm.TData, 0, 7)), -1),
    _xlpm.Angler, INDEX(_xlpm.Sorted, COLUMNS($F$3:F52), 0),
    _xlpm.Name, INDEX(_xlpm.Angler, 2),
    _xlpm.P, INDEX(_xlpm.Angler, 13),
    _xlpm.L, INDEX(_xlpm.Angler, 10),
    _xlpm.F, INDEX(_xlpm.Angler, 5) + INDEX(_xlpm.Angler, 7),
    _xlpm.Name &amp; " (" &amp; _xlpm.P &amp; " pts / " &amp; _xlpm.L &amp; "cm / " &amp; _xlpm.F &amp; " fish)"
), ""))</f>
        <v>#VALUE!</v>
      </c>
      <c r="G52" s="120"/>
      <c r="H52" s="119"/>
      <c r="I52" s="120"/>
    </row>
    <row r="53" spans="1:9" ht="27.75" hidden="1" customHeight="1">
      <c r="A53" s="64"/>
      <c r="B53" s="235" t="e" cm="1" vm="3">
        <f t="array" aca="1" ref="B53" ca="1">_xlfn._xlws.SORT(_xlfn.UNIQUE(REGISTRATION!C52:C151))</f>
        <v>#VALUE!</v>
      </c>
      <c r="C53" s="236" t="e" vm="4">
        <f ca="1">IF($B53="", "", SUMIFS('INDIVIDUAL RESULT'!$D:$D, 'INDIVIDUAL RESULT'!$C:$C, $B53))</f>
        <v>#VALUE!</v>
      </c>
      <c r="D53" s="237"/>
      <c r="E53" s="236">
        <f ca="1">SUMIFS('INDIVIDUAL RESULT'!$I:$I, 'INDIVIDUAL RESULT'!$C:$C, $B53)</f>
        <v>0</v>
      </c>
      <c r="F53" s="119" t="e" cm="1" vm="4">
        <f t="array" aca="1" ref="F53" ca="1">IF($B53="", "", IFERROR(_xlfn.LET(
    _xlpm.Team, $B53,
    _xlpm.Data, 'MASTER DATABASE'!$AD$4:$AP$124,
    _xlpm.TData, _xlfn._xlws.FILTER(_xlpm.Data, INDEX(_xlpm.Data, 0, 3)=_xlpm.Team),
    _xlpm.Sorted, _xlfn.SORTBY(_xlpm.TData, INDEX(_xlpm.TData, 0, 13), 1, INDEX(_xlpm.TData, 0, 10), -1, (INDEX(_xlpm.TData, 0, 5) + INDEX(_xlpm.TData, 0, 7)), -1),
    _xlpm.Angler, INDEX(_xlpm.Sorted, COLUMNS($F$3:F53), 0),
    _xlpm.Name, INDEX(_xlpm.Angler, 2),
    _xlpm.P, INDEX(_xlpm.Angler, 13),
    _xlpm.L, INDEX(_xlpm.Angler, 10),
    _xlpm.F, INDEX(_xlpm.Angler, 5) + INDEX(_xlpm.Angler, 7),
    _xlpm.Name &amp; " (" &amp; _xlpm.P &amp; " pts / " &amp; _xlpm.L &amp; "cm / " &amp; _xlpm.F &amp; " fish)"
), ""))</f>
        <v>#VALUE!</v>
      </c>
      <c r="G53" s="120"/>
      <c r="H53" s="119"/>
      <c r="I53" s="120"/>
    </row>
    <row r="54" spans="1:9" ht="27.75" hidden="1" customHeight="1">
      <c r="A54" s="64"/>
      <c r="B54" s="235" t="e" cm="1" vm="3">
        <f t="array" aca="1" ref="B54" ca="1">_xlfn._xlws.SORT(_xlfn.UNIQUE(REGISTRATION!C53:C152))</f>
        <v>#VALUE!</v>
      </c>
      <c r="C54" s="236" t="e" vm="4">
        <f ca="1">IF($B54="", "", SUMIFS('INDIVIDUAL RESULT'!$D:$D, 'INDIVIDUAL RESULT'!$C:$C, $B54))</f>
        <v>#VALUE!</v>
      </c>
      <c r="D54" s="237"/>
      <c r="E54" s="236">
        <f ca="1">SUMIFS('INDIVIDUAL RESULT'!$I:$I, 'INDIVIDUAL RESULT'!$C:$C, $B54)</f>
        <v>0</v>
      </c>
      <c r="F54" s="119" t="e" cm="1" vm="4">
        <f t="array" aca="1" ref="F54" ca="1">IF($B54="", "", IFERROR(_xlfn.LET(
    _xlpm.Team, $B54,
    _xlpm.Data, 'MASTER DATABASE'!$AD$4:$AP$124,
    _xlpm.TData, _xlfn._xlws.FILTER(_xlpm.Data, INDEX(_xlpm.Data, 0, 3)=_xlpm.Team),
    _xlpm.Sorted, _xlfn.SORTBY(_xlpm.TData, INDEX(_xlpm.TData, 0, 13), 1, INDEX(_xlpm.TData, 0, 10), -1, (INDEX(_xlpm.TData, 0, 5) + INDEX(_xlpm.TData, 0, 7)), -1),
    _xlpm.Angler, INDEX(_xlpm.Sorted, COLUMNS($F$3:F54), 0),
    _xlpm.Name, INDEX(_xlpm.Angler, 2),
    _xlpm.P, INDEX(_xlpm.Angler, 13),
    _xlpm.L, INDEX(_xlpm.Angler, 10),
    _xlpm.F, INDEX(_xlpm.Angler, 5) + INDEX(_xlpm.Angler, 7),
    _xlpm.Name &amp; " (" &amp; _xlpm.P &amp; " pts / " &amp; _xlpm.L &amp; "cm / " &amp; _xlpm.F &amp; " fish)"
), ""))</f>
        <v>#VALUE!</v>
      </c>
      <c r="G54" s="120"/>
      <c r="H54" s="119"/>
      <c r="I54" s="120"/>
    </row>
    <row r="55" spans="1:9" ht="27.75" hidden="1" customHeight="1">
      <c r="A55" s="64"/>
      <c r="B55" s="235" t="e" cm="1" vm="3">
        <f t="array" aca="1" ref="B55" ca="1">_xlfn._xlws.SORT(_xlfn.UNIQUE(REGISTRATION!C54:C153))</f>
        <v>#VALUE!</v>
      </c>
      <c r="C55" s="236" t="e" vm="4">
        <f ca="1">IF($B55="", "", SUMIFS('INDIVIDUAL RESULT'!$D:$D, 'INDIVIDUAL RESULT'!$C:$C, $B55))</f>
        <v>#VALUE!</v>
      </c>
      <c r="D55" s="237"/>
      <c r="E55" s="236">
        <f ca="1">SUMIFS('INDIVIDUAL RESULT'!$I:$I, 'INDIVIDUAL RESULT'!$C:$C, $B55)</f>
        <v>0</v>
      </c>
      <c r="F55" s="119" t="e" cm="1" vm="4">
        <f t="array" aca="1" ref="F55" ca="1">IF($B55="", "", IFERROR(_xlfn.LET(
    _xlpm.Team, $B55,
    _xlpm.Data, 'MASTER DATABASE'!$AD$4:$AP$124,
    _xlpm.TData, _xlfn._xlws.FILTER(_xlpm.Data, INDEX(_xlpm.Data, 0, 3)=_xlpm.Team),
    _xlpm.Sorted, _xlfn.SORTBY(_xlpm.TData, INDEX(_xlpm.TData, 0, 13), 1, INDEX(_xlpm.TData, 0, 10), -1, (INDEX(_xlpm.TData, 0, 5) + INDEX(_xlpm.TData, 0, 7)), -1),
    _xlpm.Angler, INDEX(_xlpm.Sorted, COLUMNS($F$3:F55), 0),
    _xlpm.Name, INDEX(_xlpm.Angler, 2),
    _xlpm.P, INDEX(_xlpm.Angler, 13),
    _xlpm.L, INDEX(_xlpm.Angler, 10),
    _xlpm.F, INDEX(_xlpm.Angler, 5) + INDEX(_xlpm.Angler, 7),
    _xlpm.Name &amp; " (" &amp; _xlpm.P &amp; " pts / " &amp; _xlpm.L &amp; "cm / " &amp; _xlpm.F &amp; " fish)"
), ""))</f>
        <v>#VALUE!</v>
      </c>
      <c r="G55" s="120"/>
      <c r="H55" s="119"/>
      <c r="I55" s="120"/>
    </row>
    <row r="56" spans="1:9" ht="27.75" hidden="1" customHeight="1">
      <c r="A56" s="64"/>
      <c r="B56" s="235" t="e" cm="1" vm="3">
        <f t="array" aca="1" ref="B56" ca="1">_xlfn._xlws.SORT(_xlfn.UNIQUE(REGISTRATION!C55:C154))</f>
        <v>#VALUE!</v>
      </c>
      <c r="C56" s="236" t="e" vm="4">
        <f ca="1">IF($B56="", "", SUMIFS('INDIVIDUAL RESULT'!$D:$D, 'INDIVIDUAL RESULT'!$C:$C, $B56))</f>
        <v>#VALUE!</v>
      </c>
      <c r="D56" s="237"/>
      <c r="E56" s="236">
        <f ca="1">SUMIFS('INDIVIDUAL RESULT'!$I:$I, 'INDIVIDUAL RESULT'!$C:$C, $B56)</f>
        <v>0</v>
      </c>
      <c r="F56" s="119" t="e" cm="1" vm="4">
        <f t="array" aca="1" ref="F56" ca="1">IF($B56="", "", IFERROR(_xlfn.LET(
    _xlpm.Team, $B56,
    _xlpm.Data, 'MASTER DATABASE'!$AD$4:$AP$124,
    _xlpm.TData, _xlfn._xlws.FILTER(_xlpm.Data, INDEX(_xlpm.Data, 0, 3)=_xlpm.Team),
    _xlpm.Sorted, _xlfn.SORTBY(_xlpm.TData, INDEX(_xlpm.TData, 0, 13), 1, INDEX(_xlpm.TData, 0, 10), -1, (INDEX(_xlpm.TData, 0, 5) + INDEX(_xlpm.TData, 0, 7)), -1),
    _xlpm.Angler, INDEX(_xlpm.Sorted, COLUMNS($F$3:F56), 0),
    _xlpm.Name, INDEX(_xlpm.Angler, 2),
    _xlpm.P, INDEX(_xlpm.Angler, 13),
    _xlpm.L, INDEX(_xlpm.Angler, 10),
    _xlpm.F, INDEX(_xlpm.Angler, 5) + INDEX(_xlpm.Angler, 7),
    _xlpm.Name &amp; " (" &amp; _xlpm.P &amp; " pts / " &amp; _xlpm.L &amp; "cm / " &amp; _xlpm.F &amp; " fish)"
), ""))</f>
        <v>#VALUE!</v>
      </c>
      <c r="G56" s="120"/>
      <c r="H56" s="119"/>
      <c r="I56" s="120"/>
    </row>
    <row r="57" spans="1:9" ht="27.75" hidden="1" customHeight="1">
      <c r="A57" s="64"/>
      <c r="B57" s="235" t="e" cm="1" vm="3">
        <f t="array" aca="1" ref="B57" ca="1">_xlfn._xlws.SORT(_xlfn.UNIQUE(REGISTRATION!C56:C155))</f>
        <v>#VALUE!</v>
      </c>
      <c r="C57" s="236" t="e" vm="4">
        <f ca="1">IF($B57="", "", SUMIFS('INDIVIDUAL RESULT'!$D:$D, 'INDIVIDUAL RESULT'!$C:$C, $B57))</f>
        <v>#VALUE!</v>
      </c>
      <c r="D57" s="237"/>
      <c r="E57" s="236">
        <f ca="1">SUMIFS('INDIVIDUAL RESULT'!$I:$I, 'INDIVIDUAL RESULT'!$C:$C, $B57)</f>
        <v>0</v>
      </c>
      <c r="F57" s="119" t="e" cm="1" vm="4">
        <f t="array" aca="1" ref="F57" ca="1">IF($B57="", "", IFERROR(_xlfn.LET(
    _xlpm.Team, $B57,
    _xlpm.Data, 'MASTER DATABASE'!$AD$4:$AP$124,
    _xlpm.TData, _xlfn._xlws.FILTER(_xlpm.Data, INDEX(_xlpm.Data, 0, 3)=_xlpm.Team),
    _xlpm.Sorted, _xlfn.SORTBY(_xlpm.TData, INDEX(_xlpm.TData, 0, 13), 1, INDEX(_xlpm.TData, 0, 10), -1, (INDEX(_xlpm.TData, 0, 5) + INDEX(_xlpm.TData, 0, 7)), -1),
    _xlpm.Angler, INDEX(_xlpm.Sorted, COLUMNS($F$3:F57), 0),
    _xlpm.Name, INDEX(_xlpm.Angler, 2),
    _xlpm.P, INDEX(_xlpm.Angler, 13),
    _xlpm.L, INDEX(_xlpm.Angler, 10),
    _xlpm.F, INDEX(_xlpm.Angler, 5) + INDEX(_xlpm.Angler, 7),
    _xlpm.Name &amp; " (" &amp; _xlpm.P &amp; " pts / " &amp; _xlpm.L &amp; "cm / " &amp; _xlpm.F &amp; " fish)"
), ""))</f>
        <v>#VALUE!</v>
      </c>
      <c r="G57" s="120"/>
      <c r="H57" s="119"/>
      <c r="I57" s="120"/>
    </row>
    <row r="58" spans="1:9" ht="27.75" hidden="1" customHeight="1">
      <c r="A58" s="64"/>
      <c r="B58" s="235" t="e" cm="1" vm="3">
        <f t="array" aca="1" ref="B58" ca="1">_xlfn._xlws.SORT(_xlfn.UNIQUE(REGISTRATION!C57:C156))</f>
        <v>#VALUE!</v>
      </c>
      <c r="C58" s="236" t="e" vm="4">
        <f ca="1">IF($B58="", "", SUMIFS('INDIVIDUAL RESULT'!$D:$D, 'INDIVIDUAL RESULT'!$C:$C, $B58))</f>
        <v>#VALUE!</v>
      </c>
      <c r="D58" s="237"/>
      <c r="E58" s="236">
        <f ca="1">SUMIFS('INDIVIDUAL RESULT'!$I:$I, 'INDIVIDUAL RESULT'!$C:$C, $B58)</f>
        <v>0</v>
      </c>
      <c r="F58" s="119" t="e" cm="1" vm="4">
        <f t="array" aca="1" ref="F58" ca="1">IF($B58="", "", IFERROR(_xlfn.LET(
    _xlpm.Team, $B58,
    _xlpm.Data, 'MASTER DATABASE'!$AD$4:$AP$124,
    _xlpm.TData, _xlfn._xlws.FILTER(_xlpm.Data, INDEX(_xlpm.Data, 0, 3)=_xlpm.Team),
    _xlpm.Sorted, _xlfn.SORTBY(_xlpm.TData, INDEX(_xlpm.TData, 0, 13), 1, INDEX(_xlpm.TData, 0, 10), -1, (INDEX(_xlpm.TData, 0, 5) + INDEX(_xlpm.TData, 0, 7)), -1),
    _xlpm.Angler, INDEX(_xlpm.Sorted, COLUMNS($F$3:F58), 0),
    _xlpm.Name, INDEX(_xlpm.Angler, 2),
    _xlpm.P, INDEX(_xlpm.Angler, 13),
    _xlpm.L, INDEX(_xlpm.Angler, 10),
    _xlpm.F, INDEX(_xlpm.Angler, 5) + INDEX(_xlpm.Angler, 7),
    _xlpm.Name &amp; " (" &amp; _xlpm.P &amp; " pts / " &amp; _xlpm.L &amp; "cm / " &amp; _xlpm.F &amp; " fish)"
), ""))</f>
        <v>#VALUE!</v>
      </c>
      <c r="G58" s="120"/>
      <c r="H58" s="119"/>
      <c r="I58" s="120"/>
    </row>
    <row r="59" spans="1:9" ht="27.75" hidden="1" customHeight="1">
      <c r="A59" s="64"/>
      <c r="B59" s="235" t="e" cm="1" vm="3">
        <f t="array" aca="1" ref="B59" ca="1">_xlfn._xlws.SORT(_xlfn.UNIQUE(REGISTRATION!C58:C157))</f>
        <v>#VALUE!</v>
      </c>
      <c r="C59" s="236" t="e" vm="4">
        <f ca="1">IF($B59="", "", SUMIFS('INDIVIDUAL RESULT'!$D:$D, 'INDIVIDUAL RESULT'!$C:$C, $B59))</f>
        <v>#VALUE!</v>
      </c>
      <c r="D59" s="237"/>
      <c r="E59" s="236">
        <f ca="1">SUMIFS('INDIVIDUAL RESULT'!$I:$I, 'INDIVIDUAL RESULT'!$C:$C, $B59)</f>
        <v>0</v>
      </c>
      <c r="F59" s="119" t="e" cm="1" vm="4">
        <f t="array" aca="1" ref="F59" ca="1">IF($B59="", "", IFERROR(_xlfn.LET(
    _xlpm.Team, $B59,
    _xlpm.Data, 'MASTER DATABASE'!$AD$4:$AP$124,
    _xlpm.TData, _xlfn._xlws.FILTER(_xlpm.Data, INDEX(_xlpm.Data, 0, 3)=_xlpm.Team),
    _xlpm.Sorted, _xlfn.SORTBY(_xlpm.TData, INDEX(_xlpm.TData, 0, 13), 1, INDEX(_xlpm.TData, 0, 10), -1, (INDEX(_xlpm.TData, 0, 5) + INDEX(_xlpm.TData, 0, 7)), -1),
    _xlpm.Angler, INDEX(_xlpm.Sorted, COLUMNS($F$3:F59), 0),
    _xlpm.Name, INDEX(_xlpm.Angler, 2),
    _xlpm.P, INDEX(_xlpm.Angler, 13),
    _xlpm.L, INDEX(_xlpm.Angler, 10),
    _xlpm.F, INDEX(_xlpm.Angler, 5) + INDEX(_xlpm.Angler, 7),
    _xlpm.Name &amp; " (" &amp; _xlpm.P &amp; " pts / " &amp; _xlpm.L &amp; "cm / " &amp; _xlpm.F &amp; " fish)"
), ""))</f>
        <v>#VALUE!</v>
      </c>
      <c r="G59" s="120"/>
      <c r="H59" s="119"/>
      <c r="I59" s="120"/>
    </row>
    <row r="60" spans="1:9" ht="27.75" hidden="1" customHeight="1">
      <c r="A60" s="64"/>
      <c r="B60" s="235" t="e" cm="1" vm="3">
        <f t="array" aca="1" ref="B60" ca="1">_xlfn._xlws.SORT(_xlfn.UNIQUE(REGISTRATION!C59:C158))</f>
        <v>#VALUE!</v>
      </c>
      <c r="C60" s="236" t="e" vm="4">
        <f ca="1">IF($B60="", "", SUMIFS('INDIVIDUAL RESULT'!$D:$D, 'INDIVIDUAL RESULT'!$C:$C, $B60))</f>
        <v>#VALUE!</v>
      </c>
      <c r="D60" s="237"/>
      <c r="E60" s="236">
        <f ca="1">SUMIFS('INDIVIDUAL RESULT'!$I:$I, 'INDIVIDUAL RESULT'!$C:$C, $B60)</f>
        <v>0</v>
      </c>
      <c r="F60" s="119" t="e" cm="1" vm="4">
        <f t="array" aca="1" ref="F60" ca="1">IF($B60="", "", IFERROR(_xlfn.LET(
    _xlpm.Team, $B60,
    _xlpm.Data, 'MASTER DATABASE'!$AD$4:$AP$124,
    _xlpm.TData, _xlfn._xlws.FILTER(_xlpm.Data, INDEX(_xlpm.Data, 0, 3)=_xlpm.Team),
    _xlpm.Sorted, _xlfn.SORTBY(_xlpm.TData, INDEX(_xlpm.TData, 0, 13), 1, INDEX(_xlpm.TData, 0, 10), -1, (INDEX(_xlpm.TData, 0, 5) + INDEX(_xlpm.TData, 0, 7)), -1),
    _xlpm.Angler, INDEX(_xlpm.Sorted, COLUMNS($F$3:F60), 0),
    _xlpm.Name, INDEX(_xlpm.Angler, 2),
    _xlpm.P, INDEX(_xlpm.Angler, 13),
    _xlpm.L, INDEX(_xlpm.Angler, 10),
    _xlpm.F, INDEX(_xlpm.Angler, 5) + INDEX(_xlpm.Angler, 7),
    _xlpm.Name &amp; " (" &amp; _xlpm.P &amp; " pts / " &amp; _xlpm.L &amp; "cm / " &amp; _xlpm.F &amp; " fish)"
), ""))</f>
        <v>#VALUE!</v>
      </c>
      <c r="G60" s="120"/>
      <c r="H60" s="119"/>
      <c r="I60" s="120"/>
    </row>
    <row r="61" spans="1:9" ht="27.75" hidden="1" customHeight="1">
      <c r="A61" s="64"/>
      <c r="B61" s="235" t="e" cm="1" vm="3">
        <f t="array" aca="1" ref="B61" ca="1">_xlfn._xlws.SORT(_xlfn.UNIQUE(REGISTRATION!C60:C159))</f>
        <v>#VALUE!</v>
      </c>
      <c r="C61" s="236" t="e" vm="4">
        <f ca="1">IF($B61="", "", SUMIFS('INDIVIDUAL RESULT'!$D:$D, 'INDIVIDUAL RESULT'!$C:$C, $B61))</f>
        <v>#VALUE!</v>
      </c>
      <c r="D61" s="237"/>
      <c r="E61" s="236">
        <f ca="1">SUMIFS('INDIVIDUAL RESULT'!$I:$I, 'INDIVIDUAL RESULT'!$C:$C, $B61)</f>
        <v>0</v>
      </c>
      <c r="F61" s="119" t="e" cm="1" vm="4">
        <f t="array" aca="1" ref="F61" ca="1">IF($B61="", "", IFERROR(_xlfn.LET(
    _xlpm.Team, $B61,
    _xlpm.Data, 'MASTER DATABASE'!$AD$4:$AP$124,
    _xlpm.TData, _xlfn._xlws.FILTER(_xlpm.Data, INDEX(_xlpm.Data, 0, 3)=_xlpm.Team),
    _xlpm.Sorted, _xlfn.SORTBY(_xlpm.TData, INDEX(_xlpm.TData, 0, 13), 1, INDEX(_xlpm.TData, 0, 10), -1, (INDEX(_xlpm.TData, 0, 5) + INDEX(_xlpm.TData, 0, 7)), -1),
    _xlpm.Angler, INDEX(_xlpm.Sorted, COLUMNS($F$3:F61), 0),
    _xlpm.Name, INDEX(_xlpm.Angler, 2),
    _xlpm.P, INDEX(_xlpm.Angler, 13),
    _xlpm.L, INDEX(_xlpm.Angler, 10),
    _xlpm.F, INDEX(_xlpm.Angler, 5) + INDEX(_xlpm.Angler, 7),
    _xlpm.Name &amp; " (" &amp; _xlpm.P &amp; " pts / " &amp; _xlpm.L &amp; "cm / " &amp; _xlpm.F &amp; " fish)"
), ""))</f>
        <v>#VALUE!</v>
      </c>
      <c r="G61" s="120"/>
      <c r="H61" s="119"/>
      <c r="I61" s="120"/>
    </row>
    <row r="62" spans="1:9" ht="27.75" hidden="1" customHeight="1">
      <c r="A62" s="64"/>
      <c r="B62" s="235" t="e" cm="1" vm="3">
        <f t="array" aca="1" ref="B62" ca="1">_xlfn._xlws.SORT(_xlfn.UNIQUE(REGISTRATION!C61:C160))</f>
        <v>#VALUE!</v>
      </c>
      <c r="C62" s="236" t="e" vm="4">
        <f ca="1">IF($B62="", "", SUMIFS('INDIVIDUAL RESULT'!$D:$D, 'INDIVIDUAL RESULT'!$C:$C, $B62))</f>
        <v>#VALUE!</v>
      </c>
      <c r="D62" s="237"/>
      <c r="E62" s="236">
        <f ca="1">SUMIFS('INDIVIDUAL RESULT'!$I:$I, 'INDIVIDUAL RESULT'!$C:$C, $B62)</f>
        <v>0</v>
      </c>
      <c r="F62" s="119" t="e" cm="1" vm="4">
        <f t="array" aca="1" ref="F62" ca="1">IF($B62="", "", IFERROR(_xlfn.LET(
    _xlpm.Team, $B62,
    _xlpm.Data, 'MASTER DATABASE'!$AD$4:$AP$124,
    _xlpm.TData, _xlfn._xlws.FILTER(_xlpm.Data, INDEX(_xlpm.Data, 0, 3)=_xlpm.Team),
    _xlpm.Sorted, _xlfn.SORTBY(_xlpm.TData, INDEX(_xlpm.TData, 0, 13), 1, INDEX(_xlpm.TData, 0, 10), -1, (INDEX(_xlpm.TData, 0, 5) + INDEX(_xlpm.TData, 0, 7)), -1),
    _xlpm.Angler, INDEX(_xlpm.Sorted, COLUMNS($F$3:F62), 0),
    _xlpm.Name, INDEX(_xlpm.Angler, 2),
    _xlpm.P, INDEX(_xlpm.Angler, 13),
    _xlpm.L, INDEX(_xlpm.Angler, 10),
    _xlpm.F, INDEX(_xlpm.Angler, 5) + INDEX(_xlpm.Angler, 7),
    _xlpm.Name &amp; " (" &amp; _xlpm.P &amp; " pts / " &amp; _xlpm.L &amp; "cm / " &amp; _xlpm.F &amp; " fish)"
), ""))</f>
        <v>#VALUE!</v>
      </c>
      <c r="G62" s="120"/>
      <c r="H62" s="119"/>
      <c r="I62" s="120"/>
    </row>
    <row r="63" spans="1:9" ht="27.75" hidden="1" customHeight="1">
      <c r="A63" s="64"/>
      <c r="B63" s="235" t="e" cm="1" vm="3">
        <f t="array" aca="1" ref="B63" ca="1">_xlfn._xlws.SORT(_xlfn.UNIQUE(REGISTRATION!C62:C161))</f>
        <v>#VALUE!</v>
      </c>
      <c r="C63" s="236" t="e" vm="4">
        <f ca="1">IF($B63="", "", SUMIFS('INDIVIDUAL RESULT'!$D:$D, 'INDIVIDUAL RESULT'!$C:$C, $B63))</f>
        <v>#VALUE!</v>
      </c>
      <c r="D63" s="237"/>
      <c r="E63" s="236">
        <f ca="1">SUMIFS('INDIVIDUAL RESULT'!$I:$I, 'INDIVIDUAL RESULT'!$C:$C, $B63)</f>
        <v>0</v>
      </c>
      <c r="F63" s="119" t="e" cm="1" vm="4">
        <f t="array" aca="1" ref="F63" ca="1">IF($B63="", "", IFERROR(_xlfn.LET(
    _xlpm.Team, $B63,
    _xlpm.Data, 'MASTER DATABASE'!$AD$4:$AP$124,
    _xlpm.TData, _xlfn._xlws.FILTER(_xlpm.Data, INDEX(_xlpm.Data, 0, 3)=_xlpm.Team),
    _xlpm.Sorted, _xlfn.SORTBY(_xlpm.TData, INDEX(_xlpm.TData, 0, 13), 1, INDEX(_xlpm.TData, 0, 10), -1, (INDEX(_xlpm.TData, 0, 5) + INDEX(_xlpm.TData, 0, 7)), -1),
    _xlpm.Angler, INDEX(_xlpm.Sorted, COLUMNS($F$3:F63), 0),
    _xlpm.Name, INDEX(_xlpm.Angler, 2),
    _xlpm.P, INDEX(_xlpm.Angler, 13),
    _xlpm.L, INDEX(_xlpm.Angler, 10),
    _xlpm.F, INDEX(_xlpm.Angler, 5) + INDEX(_xlpm.Angler, 7),
    _xlpm.Name &amp; " (" &amp; _xlpm.P &amp; " pts / " &amp; _xlpm.L &amp; "cm / " &amp; _xlpm.F &amp; " fish)"
), ""))</f>
        <v>#VALUE!</v>
      </c>
      <c r="G63" s="120"/>
      <c r="H63" s="119"/>
      <c r="I63" s="120"/>
    </row>
    <row r="64" spans="1:9" ht="27.75" hidden="1" customHeight="1">
      <c r="A64" s="64"/>
      <c r="B64" s="235" t="e" cm="1" vm="3">
        <f t="array" aca="1" ref="B64" ca="1">_xlfn._xlws.SORT(_xlfn.UNIQUE(REGISTRATION!C63:C162))</f>
        <v>#VALUE!</v>
      </c>
      <c r="C64" s="236" t="e" vm="4">
        <f ca="1">IF($B64="", "", SUMIFS('INDIVIDUAL RESULT'!$D:$D, 'INDIVIDUAL RESULT'!$C:$C, $B64))</f>
        <v>#VALUE!</v>
      </c>
      <c r="D64" s="237"/>
      <c r="E64" s="236">
        <f ca="1">SUMIFS('INDIVIDUAL RESULT'!$I:$I, 'INDIVIDUAL RESULT'!$C:$C, $B64)</f>
        <v>0</v>
      </c>
      <c r="F64" s="119" t="e" cm="1" vm="4">
        <f t="array" aca="1" ref="F64" ca="1">IF($B64="", "", IFERROR(_xlfn.LET(
    _xlpm.Team, $B64,
    _xlpm.Data, 'MASTER DATABASE'!$AD$4:$AP$124,
    _xlpm.TData, _xlfn._xlws.FILTER(_xlpm.Data, INDEX(_xlpm.Data, 0, 3)=_xlpm.Team),
    _xlpm.Sorted, _xlfn.SORTBY(_xlpm.TData, INDEX(_xlpm.TData, 0, 13), 1, INDEX(_xlpm.TData, 0, 10), -1, (INDEX(_xlpm.TData, 0, 5) + INDEX(_xlpm.TData, 0, 7)), -1),
    _xlpm.Angler, INDEX(_xlpm.Sorted, COLUMNS($F$3:F64), 0),
    _xlpm.Name, INDEX(_xlpm.Angler, 2),
    _xlpm.P, INDEX(_xlpm.Angler, 13),
    _xlpm.L, INDEX(_xlpm.Angler, 10),
    _xlpm.F, INDEX(_xlpm.Angler, 5) + INDEX(_xlpm.Angler, 7),
    _xlpm.Name &amp; " (" &amp; _xlpm.P &amp; " pts / " &amp; _xlpm.L &amp; "cm / " &amp; _xlpm.F &amp; " fish)"
), ""))</f>
        <v>#VALUE!</v>
      </c>
      <c r="G64" s="120"/>
      <c r="H64" s="119"/>
      <c r="I64" s="120"/>
    </row>
    <row r="65" spans="1:9" ht="27.75" hidden="1" customHeight="1">
      <c r="A65" s="64"/>
      <c r="B65" s="235" t="e" cm="1" vm="3">
        <f t="array" aca="1" ref="B65" ca="1">_xlfn._xlws.SORT(_xlfn.UNIQUE(REGISTRATION!C64:C163))</f>
        <v>#VALUE!</v>
      </c>
      <c r="C65" s="236" t="e" vm="4">
        <f ca="1">IF($B65="", "", SUMIFS('INDIVIDUAL RESULT'!$D:$D, 'INDIVIDUAL RESULT'!$C:$C, $B65))</f>
        <v>#VALUE!</v>
      </c>
      <c r="D65" s="237"/>
      <c r="E65" s="236">
        <f ca="1">SUMIFS('INDIVIDUAL RESULT'!$I:$I, 'INDIVIDUAL RESULT'!$C:$C, $B65)</f>
        <v>0</v>
      </c>
      <c r="F65" s="119" t="e" cm="1" vm="4">
        <f t="array" aca="1" ref="F65" ca="1">IF($B65="", "", IFERROR(_xlfn.LET(
    _xlpm.Team, $B65,
    _xlpm.Data, 'MASTER DATABASE'!$AD$4:$AP$124,
    _xlpm.TData, _xlfn._xlws.FILTER(_xlpm.Data, INDEX(_xlpm.Data, 0, 3)=_xlpm.Team),
    _xlpm.Sorted, _xlfn.SORTBY(_xlpm.TData, INDEX(_xlpm.TData, 0, 13), 1, INDEX(_xlpm.TData, 0, 10), -1, (INDEX(_xlpm.TData, 0, 5) + INDEX(_xlpm.TData, 0, 7)), -1),
    _xlpm.Angler, INDEX(_xlpm.Sorted, COLUMNS($F$3:F65), 0),
    _xlpm.Name, INDEX(_xlpm.Angler, 2),
    _xlpm.P, INDEX(_xlpm.Angler, 13),
    _xlpm.L, INDEX(_xlpm.Angler, 10),
    _xlpm.F, INDEX(_xlpm.Angler, 5) + INDEX(_xlpm.Angler, 7),
    _xlpm.Name &amp; " (" &amp; _xlpm.P &amp; " pts / " &amp; _xlpm.L &amp; "cm / " &amp; _xlpm.F &amp; " fish)"
), ""))</f>
        <v>#VALUE!</v>
      </c>
      <c r="G65" s="120"/>
      <c r="H65" s="119"/>
      <c r="I65" s="120"/>
    </row>
    <row r="66" spans="1:9" ht="27.75" hidden="1" customHeight="1">
      <c r="A66" s="64"/>
      <c r="B66" s="235" t="e" cm="1" vm="3">
        <f t="array" aca="1" ref="B66" ca="1">_xlfn._xlws.SORT(_xlfn.UNIQUE(REGISTRATION!C65:C164))</f>
        <v>#VALUE!</v>
      </c>
      <c r="C66" s="236" t="e" vm="4">
        <f ca="1">IF($B66="", "", SUMIFS('INDIVIDUAL RESULT'!$D:$D, 'INDIVIDUAL RESULT'!$C:$C, $B66))</f>
        <v>#VALUE!</v>
      </c>
      <c r="D66" s="237"/>
      <c r="E66" s="236">
        <f ca="1">SUMIFS('INDIVIDUAL RESULT'!$I:$I, 'INDIVIDUAL RESULT'!$C:$C, $B66)</f>
        <v>0</v>
      </c>
      <c r="F66" s="119" t="e" cm="1" vm="4">
        <f t="array" aca="1" ref="F66" ca="1">IF($B66="", "", IFERROR(_xlfn.LET(
    _xlpm.Team, $B66,
    _xlpm.Data, 'MASTER DATABASE'!$AD$4:$AP$124,
    _xlpm.TData, _xlfn._xlws.FILTER(_xlpm.Data, INDEX(_xlpm.Data, 0, 3)=_xlpm.Team),
    _xlpm.Sorted, _xlfn.SORTBY(_xlpm.TData, INDEX(_xlpm.TData, 0, 13), 1, INDEX(_xlpm.TData, 0, 10), -1, (INDEX(_xlpm.TData, 0, 5) + INDEX(_xlpm.TData, 0, 7)), -1),
    _xlpm.Angler, INDEX(_xlpm.Sorted, COLUMNS($F$3:F66), 0),
    _xlpm.Name, INDEX(_xlpm.Angler, 2),
    _xlpm.P, INDEX(_xlpm.Angler, 13),
    _xlpm.L, INDEX(_xlpm.Angler, 10),
    _xlpm.F, INDEX(_xlpm.Angler, 5) + INDEX(_xlpm.Angler, 7),
    _xlpm.Name &amp; " (" &amp; _xlpm.P &amp; " pts / " &amp; _xlpm.L &amp; "cm / " &amp; _xlpm.F &amp; " fish)"
), ""))</f>
        <v>#VALUE!</v>
      </c>
      <c r="G66" s="120"/>
      <c r="H66" s="119"/>
      <c r="I66" s="120"/>
    </row>
    <row r="67" spans="1:9" ht="27.75" hidden="1" customHeight="1">
      <c r="A67" s="64"/>
      <c r="B67" s="235" t="e" cm="1" vm="3">
        <f t="array" aca="1" ref="B67" ca="1">_xlfn._xlws.SORT(_xlfn.UNIQUE(REGISTRATION!C66:C165))</f>
        <v>#VALUE!</v>
      </c>
      <c r="C67" s="236" t="e" vm="4">
        <f ca="1">IF($B67="", "", SUMIFS('INDIVIDUAL RESULT'!$D:$D, 'INDIVIDUAL RESULT'!$C:$C, $B67))</f>
        <v>#VALUE!</v>
      </c>
      <c r="D67" s="237"/>
      <c r="E67" s="237"/>
      <c r="F67" s="119" t="e" cm="1" vm="4">
        <f t="array" aca="1" ref="F67" ca="1">IF($B67="", "", IFERROR(_xlfn.LET(
    _xlpm.Team, $B67,
    _xlpm.Data, 'MASTER DATABASE'!$AD$4:$AP$124,
    _xlpm.TData, _xlfn._xlws.FILTER(_xlpm.Data, INDEX(_xlpm.Data, 0, 3)=_xlpm.Team),
    _xlpm.Sorted, _xlfn.SORTBY(_xlpm.TData, INDEX(_xlpm.TData, 0, 13), 1, INDEX(_xlpm.TData, 0, 10), -1, (INDEX(_xlpm.TData, 0, 5) + INDEX(_xlpm.TData, 0, 7)), -1),
    _xlpm.Angler, INDEX(_xlpm.Sorted, COLUMNS($F$3:F67), 0),
    _xlpm.Name, INDEX(_xlpm.Angler, 2),
    _xlpm.P, INDEX(_xlpm.Angler, 13),
    _xlpm.L, INDEX(_xlpm.Angler, 10),
    _xlpm.F, INDEX(_xlpm.Angler, 5) + INDEX(_xlpm.Angler, 7),
    _xlpm.Name &amp; " (" &amp; _xlpm.P &amp; " pts / " &amp; _xlpm.L &amp; "cm / " &amp; _xlpm.F &amp; " fish)"
), ""))</f>
        <v>#VALUE!</v>
      </c>
      <c r="G67" s="120"/>
      <c r="H67" s="119"/>
      <c r="I67" s="120"/>
    </row>
    <row r="68" spans="1:9" ht="27.75" hidden="1" customHeight="1">
      <c r="A68" s="64"/>
      <c r="B68" s="235" t="e" cm="1" vm="3">
        <f t="array" aca="1" ref="B68" ca="1">_xlfn._xlws.SORT(_xlfn.UNIQUE(REGISTRATION!C67:C166))</f>
        <v>#VALUE!</v>
      </c>
      <c r="C68" s="236" t="e" vm="4">
        <f ca="1">IF($B68="", "", SUMIFS('INDIVIDUAL RESULT'!$D:$D, 'INDIVIDUAL RESULT'!$C:$C, $B68))</f>
        <v>#VALUE!</v>
      </c>
      <c r="D68" s="237"/>
      <c r="E68" s="237"/>
      <c r="F68" s="119" t="e" cm="1" vm="4">
        <f t="array" aca="1" ref="F68" ca="1">IF($B68="", "", IFERROR(_xlfn.LET(
    _xlpm.Team, $B68,
    _xlpm.Data, 'MASTER DATABASE'!$AD$4:$AP$124,
    _xlpm.TData, _xlfn._xlws.FILTER(_xlpm.Data, INDEX(_xlpm.Data, 0, 3)=_xlpm.Team),
    _xlpm.Sorted, _xlfn.SORTBY(_xlpm.TData, INDEX(_xlpm.TData, 0, 13), 1, INDEX(_xlpm.TData, 0, 10), -1, (INDEX(_xlpm.TData, 0, 5) + INDEX(_xlpm.TData, 0, 7)), -1),
    _xlpm.Angler, INDEX(_xlpm.Sorted, COLUMNS($F$3:F68), 0),
    _xlpm.Name, INDEX(_xlpm.Angler, 2),
    _xlpm.P, INDEX(_xlpm.Angler, 13),
    _xlpm.L, INDEX(_xlpm.Angler, 10),
    _xlpm.F, INDEX(_xlpm.Angler, 5) + INDEX(_xlpm.Angler, 7),
    _xlpm.Name &amp; " (" &amp; _xlpm.P &amp; " pts / " &amp; _xlpm.L &amp; "cm / " &amp; _xlpm.F &amp; " fish)"
), ""))</f>
        <v>#VALUE!</v>
      </c>
      <c r="G68" s="120"/>
      <c r="H68" s="119"/>
      <c r="I68" s="120"/>
    </row>
    <row r="69" spans="1:9" ht="27.75" hidden="1" customHeight="1">
      <c r="A69" s="64"/>
      <c r="B69" s="235" t="e" cm="1" vm="3">
        <f t="array" aca="1" ref="B69" ca="1">_xlfn._xlws.SORT(_xlfn.UNIQUE(REGISTRATION!C68:C167))</f>
        <v>#VALUE!</v>
      </c>
      <c r="C69" s="236" t="e" vm="4">
        <f ca="1">IF($B69="", "", SUMIFS('INDIVIDUAL RESULT'!$D:$D, 'INDIVIDUAL RESULT'!$C:$C, $B69))</f>
        <v>#VALUE!</v>
      </c>
      <c r="D69" s="237"/>
      <c r="E69" s="237"/>
      <c r="F69" s="119" t="e" cm="1" vm="4">
        <f t="array" aca="1" ref="F69" ca="1">IF($B69="", "", IFERROR(_xlfn.LET(
    _xlpm.Team, $B69,
    _xlpm.Data, 'MASTER DATABASE'!$AD$4:$AP$124,
    _xlpm.TData, _xlfn._xlws.FILTER(_xlpm.Data, INDEX(_xlpm.Data, 0, 3)=_xlpm.Team),
    _xlpm.Sorted, _xlfn.SORTBY(_xlpm.TData, INDEX(_xlpm.TData, 0, 13), 1, INDEX(_xlpm.TData, 0, 10), -1, (INDEX(_xlpm.TData, 0, 5) + INDEX(_xlpm.TData, 0, 7)), -1),
    _xlpm.Angler, INDEX(_xlpm.Sorted, COLUMNS($F$3:F69), 0),
    _xlpm.Name, INDEX(_xlpm.Angler, 2),
    _xlpm.P, INDEX(_xlpm.Angler, 13),
    _xlpm.L, INDEX(_xlpm.Angler, 10),
    _xlpm.F, INDEX(_xlpm.Angler, 5) + INDEX(_xlpm.Angler, 7),
    _xlpm.Name &amp; " (" &amp; _xlpm.P &amp; " pts / " &amp; _xlpm.L &amp; "cm / " &amp; _xlpm.F &amp; " fish)"
), ""))</f>
        <v>#VALUE!</v>
      </c>
      <c r="G69" s="120"/>
      <c r="H69" s="119"/>
      <c r="I69" s="120"/>
    </row>
    <row r="70" spans="1:9" ht="27.75" hidden="1" customHeight="1">
      <c r="A70" s="64"/>
      <c r="B70" s="235" t="e" cm="1" vm="3">
        <f t="array" aca="1" ref="B70" ca="1">_xlfn._xlws.SORT(_xlfn.UNIQUE(REGISTRATION!C69:C168))</f>
        <v>#VALUE!</v>
      </c>
      <c r="C70" s="236" t="e" vm="4">
        <f ca="1">IF($B70="", "", SUMIFS('INDIVIDUAL RESULT'!$D:$D, 'INDIVIDUAL RESULT'!$C:$C, $B70))</f>
        <v>#VALUE!</v>
      </c>
      <c r="D70" s="237"/>
      <c r="E70" s="237"/>
      <c r="F70" s="119" t="e" cm="1" vm="4">
        <f t="array" aca="1" ref="F70" ca="1">IF($B70="", "", IFERROR(_xlfn.LET(
    _xlpm.Team, $B70,
    _xlpm.Data, 'MASTER DATABASE'!$AD$4:$AP$124,
    _xlpm.TData, _xlfn._xlws.FILTER(_xlpm.Data, INDEX(_xlpm.Data, 0, 3)=_xlpm.Team),
    _xlpm.Sorted, _xlfn.SORTBY(_xlpm.TData, INDEX(_xlpm.TData, 0, 13), 1, INDEX(_xlpm.TData, 0, 10), -1, (INDEX(_xlpm.TData, 0, 5) + INDEX(_xlpm.TData, 0, 7)), -1),
    _xlpm.Angler, INDEX(_xlpm.Sorted, COLUMNS($F$3:F70), 0),
    _xlpm.Name, INDEX(_xlpm.Angler, 2),
    _xlpm.P, INDEX(_xlpm.Angler, 13),
    _xlpm.L, INDEX(_xlpm.Angler, 10),
    _xlpm.F, INDEX(_xlpm.Angler, 5) + INDEX(_xlpm.Angler, 7),
    _xlpm.Name &amp; " (" &amp; _xlpm.P &amp; " pts / " &amp; _xlpm.L &amp; "cm / " &amp; _xlpm.F &amp; " fish)"
), ""))</f>
        <v>#VALUE!</v>
      </c>
      <c r="G70" s="120"/>
      <c r="H70" s="119"/>
      <c r="I70" s="120"/>
    </row>
    <row r="71" spans="1:9" ht="27.75" hidden="1" customHeight="1">
      <c r="A71" s="64"/>
      <c r="B71" s="235" t="e" cm="1" vm="3">
        <f t="array" aca="1" ref="B71" ca="1">_xlfn._xlws.SORT(_xlfn.UNIQUE(REGISTRATION!C70:C169))</f>
        <v>#VALUE!</v>
      </c>
      <c r="C71" s="236" t="e" vm="4">
        <f ca="1">IF($B71="", "", SUMIFS('INDIVIDUAL RESULT'!$D:$D, 'INDIVIDUAL RESULT'!$C:$C, $B71))</f>
        <v>#VALUE!</v>
      </c>
      <c r="D71" s="237"/>
      <c r="E71" s="237"/>
      <c r="F71" s="119" t="e" cm="1" vm="4">
        <f t="array" aca="1" ref="F71" ca="1">IF($B71="", "", IFERROR(_xlfn.LET(
    _xlpm.Team, $B71,
    _xlpm.Data, 'MASTER DATABASE'!$AD$4:$AP$124,
    _xlpm.TData, _xlfn._xlws.FILTER(_xlpm.Data, INDEX(_xlpm.Data, 0, 3)=_xlpm.Team),
    _xlpm.Sorted, _xlfn.SORTBY(_xlpm.TData, INDEX(_xlpm.TData, 0, 13), 1, INDEX(_xlpm.TData, 0, 10), -1, (INDEX(_xlpm.TData, 0, 5) + INDEX(_xlpm.TData, 0, 7)), -1),
    _xlpm.Angler, INDEX(_xlpm.Sorted, COLUMNS($F$3:F71), 0),
    _xlpm.Name, INDEX(_xlpm.Angler, 2),
    _xlpm.P, INDEX(_xlpm.Angler, 13),
    _xlpm.L, INDEX(_xlpm.Angler, 10),
    _xlpm.F, INDEX(_xlpm.Angler, 5) + INDEX(_xlpm.Angler, 7),
    _xlpm.Name &amp; " (" &amp; _xlpm.P &amp; " pts / " &amp; _xlpm.L &amp; "cm / " &amp; _xlpm.F &amp; " fish)"
), ""))</f>
        <v>#VALUE!</v>
      </c>
      <c r="G71" s="120"/>
      <c r="H71" s="119"/>
      <c r="I71" s="120"/>
    </row>
    <row r="72" spans="1:9" ht="27.75" hidden="1" customHeight="1">
      <c r="A72" s="64"/>
      <c r="B72" s="235" t="e" cm="1" vm="3">
        <f t="array" aca="1" ref="B72" ca="1">_xlfn._xlws.SORT(_xlfn.UNIQUE(REGISTRATION!C71:C170))</f>
        <v>#VALUE!</v>
      </c>
      <c r="C72" s="236" t="e" vm="4">
        <f ca="1">IF($B72="", "", SUMIFS('INDIVIDUAL RESULT'!$D:$D, 'INDIVIDUAL RESULT'!$C:$C, $B72))</f>
        <v>#VALUE!</v>
      </c>
      <c r="D72" s="237"/>
      <c r="E72" s="237"/>
      <c r="F72" s="119" t="e" cm="1" vm="4">
        <f t="array" aca="1" ref="F72" ca="1">IF($B72="", "", IFERROR(_xlfn.LET(
    _xlpm.Team, $B72,
    _xlpm.Data, 'MASTER DATABASE'!$AD$4:$AP$124,
    _xlpm.TData, _xlfn._xlws.FILTER(_xlpm.Data, INDEX(_xlpm.Data, 0, 3)=_xlpm.Team),
    _xlpm.Sorted, _xlfn.SORTBY(_xlpm.TData, INDEX(_xlpm.TData, 0, 13), 1, INDEX(_xlpm.TData, 0, 10), -1, (INDEX(_xlpm.TData, 0, 5) + INDEX(_xlpm.TData, 0, 7)), -1),
    _xlpm.Angler, INDEX(_xlpm.Sorted, COLUMNS($F$3:F72), 0),
    _xlpm.Name, INDEX(_xlpm.Angler, 2),
    _xlpm.P, INDEX(_xlpm.Angler, 13),
    _xlpm.L, INDEX(_xlpm.Angler, 10),
    _xlpm.F, INDEX(_xlpm.Angler, 5) + INDEX(_xlpm.Angler, 7),
    _xlpm.Name &amp; " (" &amp; _xlpm.P &amp; " pts / " &amp; _xlpm.L &amp; "cm / " &amp; _xlpm.F &amp; " fish)"
), ""))</f>
        <v>#VALUE!</v>
      </c>
      <c r="G72" s="120"/>
      <c r="H72" s="119"/>
      <c r="I72" s="120"/>
    </row>
    <row r="73" spans="1:9" ht="27.75" hidden="1" customHeight="1">
      <c r="A73" s="64"/>
      <c r="B73" s="235" t="e" cm="1" vm="3">
        <f t="array" aca="1" ref="B73" ca="1">_xlfn._xlws.SORT(_xlfn.UNIQUE(REGISTRATION!C72:C171))</f>
        <v>#VALUE!</v>
      </c>
      <c r="C73" s="236" t="e" vm="4">
        <f ca="1">IF($B73="", "", SUMIFS('INDIVIDUAL RESULT'!$D:$D, 'INDIVIDUAL RESULT'!$C:$C, $B73))</f>
        <v>#VALUE!</v>
      </c>
      <c r="D73" s="237"/>
      <c r="E73" s="237"/>
      <c r="F73" s="119" t="e" cm="1" vm="4">
        <f t="array" aca="1" ref="F73" ca="1">IF($B73="", "", IFERROR(_xlfn.LET(
    _xlpm.Team, $B73,
    _xlpm.Data, 'MASTER DATABASE'!$AD$4:$AP$124,
    _xlpm.TData, _xlfn._xlws.FILTER(_xlpm.Data, INDEX(_xlpm.Data, 0, 3)=_xlpm.Team),
    _xlpm.Sorted, _xlfn.SORTBY(_xlpm.TData, INDEX(_xlpm.TData, 0, 13), 1, INDEX(_xlpm.TData, 0, 10), -1, (INDEX(_xlpm.TData, 0, 5) + INDEX(_xlpm.TData, 0, 7)), -1),
    _xlpm.Angler, INDEX(_xlpm.Sorted, COLUMNS($F$3:F73), 0),
    _xlpm.Name, INDEX(_xlpm.Angler, 2),
    _xlpm.P, INDEX(_xlpm.Angler, 13),
    _xlpm.L, INDEX(_xlpm.Angler, 10),
    _xlpm.F, INDEX(_xlpm.Angler, 5) + INDEX(_xlpm.Angler, 7),
    _xlpm.Name &amp; " (" &amp; _xlpm.P &amp; " pts / " &amp; _xlpm.L &amp; "cm / " &amp; _xlpm.F &amp; " fish)"
), ""))</f>
        <v>#VALUE!</v>
      </c>
      <c r="G73" s="120"/>
      <c r="H73" s="119"/>
      <c r="I73" s="120"/>
    </row>
    <row r="74" spans="1:9" ht="27.75" hidden="1" customHeight="1">
      <c r="A74" s="64"/>
      <c r="B74" s="235" t="e" cm="1" vm="3">
        <f t="array" aca="1" ref="B74" ca="1">_xlfn._xlws.SORT(_xlfn.UNIQUE(REGISTRATION!C73:C172))</f>
        <v>#VALUE!</v>
      </c>
      <c r="C74" s="236" t="e" vm="4">
        <f ca="1">IF($B74="", "", SUMIFS('INDIVIDUAL RESULT'!$D:$D, 'INDIVIDUAL RESULT'!$C:$C, $B74))</f>
        <v>#VALUE!</v>
      </c>
      <c r="D74" s="237"/>
      <c r="E74" s="237"/>
      <c r="F74" s="119" t="e" cm="1" vm="4">
        <f t="array" aca="1" ref="F74" ca="1">IF($B74="", "", IFERROR(_xlfn.LET(
    _xlpm.Team, $B74,
    _xlpm.Data, 'MASTER DATABASE'!$AD$4:$AP$124,
    _xlpm.TData, _xlfn._xlws.FILTER(_xlpm.Data, INDEX(_xlpm.Data, 0, 3)=_xlpm.Team),
    _xlpm.Sorted, _xlfn.SORTBY(_xlpm.TData, INDEX(_xlpm.TData, 0, 13), 1, INDEX(_xlpm.TData, 0, 10), -1, (INDEX(_xlpm.TData, 0, 5) + INDEX(_xlpm.TData, 0, 7)), -1),
    _xlpm.Angler, INDEX(_xlpm.Sorted, COLUMNS($F$3:F74), 0),
    _xlpm.Name, INDEX(_xlpm.Angler, 2),
    _xlpm.P, INDEX(_xlpm.Angler, 13),
    _xlpm.L, INDEX(_xlpm.Angler, 10),
    _xlpm.F, INDEX(_xlpm.Angler, 5) + INDEX(_xlpm.Angler, 7),
    _xlpm.Name &amp; " (" &amp; _xlpm.P &amp; " pts / " &amp; _xlpm.L &amp; "cm / " &amp; _xlpm.F &amp; " fish)"
), ""))</f>
        <v>#VALUE!</v>
      </c>
      <c r="G74" s="120"/>
      <c r="H74" s="119"/>
      <c r="I74" s="120"/>
    </row>
    <row r="75" spans="1:9" ht="27.75" hidden="1" customHeight="1">
      <c r="A75" s="53"/>
      <c r="B75" s="235" t="e" cm="1" vm="3">
        <f t="array" aca="1" ref="B75" ca="1">_xlfn._xlws.SORT(_xlfn.UNIQUE(REGISTRATION!C74:C173))</f>
        <v>#VALUE!</v>
      </c>
      <c r="C75" s="236" t="e" vm="4">
        <f ca="1">IF($B75="", "", SUMIFS('INDIVIDUAL RESULT'!$D:$D, 'INDIVIDUAL RESULT'!$C:$C, $B75))</f>
        <v>#VALUE!</v>
      </c>
      <c r="D75" s="86"/>
      <c r="E75" s="86"/>
    </row>
    <row r="76" spans="1:9" ht="27.75" hidden="1" customHeight="1">
      <c r="A76" s="53"/>
      <c r="B76" s="235" t="e" cm="1" vm="3">
        <f t="array" aca="1" ref="B76" ca="1">_xlfn._xlws.SORT(_xlfn.UNIQUE(REGISTRATION!C75:C174))</f>
        <v>#VALUE!</v>
      </c>
      <c r="C76" s="236" t="e" vm="4">
        <f ca="1">IF($B76="", "", SUMIFS('INDIVIDUAL RESULT'!$D:$D, 'INDIVIDUAL RESULT'!$C:$C, $B76))</f>
        <v>#VALUE!</v>
      </c>
      <c r="D76" s="86"/>
      <c r="E76" s="86"/>
    </row>
    <row r="77" spans="1:9" ht="27.75" hidden="1" customHeight="1">
      <c r="A77" s="53"/>
      <c r="B77" s="235" t="e" cm="1" vm="3">
        <f t="array" aca="1" ref="B77" ca="1">_xlfn._xlws.SORT(_xlfn.UNIQUE(REGISTRATION!C76:C175))</f>
        <v>#VALUE!</v>
      </c>
      <c r="C77" s="236" t="e" vm="4">
        <f ca="1">IF($B77="", "", SUMIFS('INDIVIDUAL RESULT'!$D:$D, 'INDIVIDUAL RESULT'!$C:$C, $B77))</f>
        <v>#VALUE!</v>
      </c>
      <c r="D77" s="86"/>
      <c r="E77" s="86"/>
    </row>
    <row r="78" spans="1:9" ht="27.75" hidden="1" customHeight="1">
      <c r="A78" s="53"/>
      <c r="B78" s="235" t="e" cm="1" vm="3">
        <f t="array" aca="1" ref="B78" ca="1">_xlfn._xlws.SORT(_xlfn.UNIQUE(REGISTRATION!C77:C176))</f>
        <v>#VALUE!</v>
      </c>
      <c r="C78" s="236" t="e" vm="4">
        <f ca="1">IF($B78="", "", SUMIFS('INDIVIDUAL RESULT'!$D:$D, 'INDIVIDUAL RESULT'!$C:$C, $B78))</f>
        <v>#VALUE!</v>
      </c>
      <c r="D78" s="86"/>
      <c r="E78" s="86"/>
    </row>
    <row r="79" spans="1:9" ht="27.75" hidden="1" customHeight="1">
      <c r="A79" s="53"/>
      <c r="B79" s="235" t="e" cm="1" vm="3">
        <f t="array" aca="1" ref="B79" ca="1">_xlfn._xlws.SORT(_xlfn.UNIQUE(REGISTRATION!C78:C177))</f>
        <v>#VALUE!</v>
      </c>
      <c r="C79" s="236" t="e" vm="4">
        <f ca="1">IF($B79="", "", SUMIFS('INDIVIDUAL RESULT'!$D:$D, 'INDIVIDUAL RESULT'!$C:$C, $B79))</f>
        <v>#VALUE!</v>
      </c>
      <c r="D79" s="86"/>
      <c r="E79" s="86"/>
    </row>
    <row r="80" spans="1:9" ht="27.75" hidden="1" customHeight="1">
      <c r="A80" s="53"/>
      <c r="B80" s="235" t="e" cm="1" vm="3">
        <f t="array" aca="1" ref="B80" ca="1">_xlfn._xlws.SORT(_xlfn.UNIQUE(REGISTRATION!C79:C178))</f>
        <v>#VALUE!</v>
      </c>
      <c r="C80" s="236" t="e" vm="4">
        <f ca="1">IF($B80="", "", SUMIFS('INDIVIDUAL RESULT'!$D:$D, 'INDIVIDUAL RESULT'!$C:$C, $B80))</f>
        <v>#VALUE!</v>
      </c>
      <c r="D80" s="86"/>
      <c r="E80" s="86"/>
    </row>
    <row r="81" spans="1:5" ht="27.75" hidden="1" customHeight="1">
      <c r="A81" s="53"/>
      <c r="B81" s="235" t="e" cm="1" vm="3">
        <f t="array" aca="1" ref="B81" ca="1">_xlfn._xlws.SORT(_xlfn.UNIQUE(REGISTRATION!C80:C179))</f>
        <v>#VALUE!</v>
      </c>
      <c r="C81" s="236" t="e" vm="4">
        <f ca="1">IF($B81="", "", SUMIFS('INDIVIDUAL RESULT'!$D:$D, 'INDIVIDUAL RESULT'!$C:$C, $B81))</f>
        <v>#VALUE!</v>
      </c>
      <c r="D81" s="86"/>
      <c r="E81" s="86"/>
    </row>
    <row r="82" spans="1:5" ht="27.75" hidden="1" customHeight="1">
      <c r="A82" s="53"/>
      <c r="B82" s="235" t="e" cm="1" vm="3">
        <f t="array" aca="1" ref="B82" ca="1">_xlfn._xlws.SORT(_xlfn.UNIQUE(REGISTRATION!C81:C180))</f>
        <v>#VALUE!</v>
      </c>
      <c r="C82" s="236" t="e" vm="4">
        <f ca="1">IF($B82="", "", SUMIFS('INDIVIDUAL RESULT'!$D:$D, 'INDIVIDUAL RESULT'!$C:$C, $B82))</f>
        <v>#VALUE!</v>
      </c>
      <c r="D82" s="86"/>
      <c r="E82" s="86"/>
    </row>
    <row r="83" spans="1:5" ht="27.75" hidden="1" customHeight="1">
      <c r="A83" s="53"/>
      <c r="B83" s="235" t="e" cm="1" vm="3">
        <f t="array" aca="1" ref="B83" ca="1">_xlfn._xlws.SORT(_xlfn.UNIQUE(REGISTRATION!C82:C181))</f>
        <v>#VALUE!</v>
      </c>
      <c r="C83" s="236" t="e" vm="4">
        <f ca="1">IF($B83="", "", SUMIFS('INDIVIDUAL RESULT'!$D:$D, 'INDIVIDUAL RESULT'!$C:$C, $B83))</f>
        <v>#VALUE!</v>
      </c>
      <c r="D83" s="86"/>
      <c r="E83" s="86"/>
    </row>
    <row r="84" spans="1:5" ht="27.75" hidden="1" customHeight="1">
      <c r="A84" s="53"/>
      <c r="B84" s="235" t="e" cm="1" vm="3">
        <f t="array" aca="1" ref="B84" ca="1">_xlfn._xlws.SORT(_xlfn.UNIQUE(REGISTRATION!C83:C182))</f>
        <v>#VALUE!</v>
      </c>
      <c r="C84" s="236" t="e" vm="4">
        <f ca="1">IF($B84="", "", SUMIFS('INDIVIDUAL RESULT'!$D:$D, 'INDIVIDUAL RESULT'!$C:$C, $B84))</f>
        <v>#VALUE!</v>
      </c>
      <c r="D84" s="86"/>
      <c r="E84" s="86"/>
    </row>
    <row r="85" spans="1:5" ht="27.75" hidden="1" customHeight="1">
      <c r="A85" s="53"/>
      <c r="B85" s="235" t="e" cm="1" vm="3">
        <f t="array" aca="1" ref="B85" ca="1">_xlfn._xlws.SORT(_xlfn.UNIQUE(REGISTRATION!C84:C183))</f>
        <v>#VALUE!</v>
      </c>
      <c r="C85" s="236" t="e" vm="4">
        <f ca="1">IF($B85="", "", SUMIFS('INDIVIDUAL RESULT'!$D:$D, 'INDIVIDUAL RESULT'!$C:$C, $B85))</f>
        <v>#VALUE!</v>
      </c>
      <c r="D85" s="86"/>
      <c r="E85" s="86"/>
    </row>
    <row r="86" spans="1:5" ht="27.75" hidden="1" customHeight="1">
      <c r="A86" s="53"/>
      <c r="B86" s="235" t="e" cm="1" vm="3">
        <f t="array" aca="1" ref="B86" ca="1">_xlfn._xlws.SORT(_xlfn.UNIQUE(REGISTRATION!C85:C184))</f>
        <v>#VALUE!</v>
      </c>
      <c r="C86" s="236" t="e" vm="4">
        <f ca="1">IF($B86="", "", SUMIFS('INDIVIDUAL RESULT'!$D:$D, 'INDIVIDUAL RESULT'!$C:$C, $B86))</f>
        <v>#VALUE!</v>
      </c>
      <c r="D86" s="86"/>
      <c r="E86" s="86"/>
    </row>
    <row r="87" spans="1:5" ht="27.75" hidden="1" customHeight="1">
      <c r="A87" s="53"/>
      <c r="B87" s="235" t="e" cm="1" vm="3">
        <f t="array" aca="1" ref="B87" ca="1">_xlfn._xlws.SORT(_xlfn.UNIQUE(REGISTRATION!C86:C185))</f>
        <v>#VALUE!</v>
      </c>
      <c r="C87" s="236" t="e" vm="4">
        <f ca="1">IF($B87="", "", SUMIFS('INDIVIDUAL RESULT'!$D:$D, 'INDIVIDUAL RESULT'!$C:$C, $B87))</f>
        <v>#VALUE!</v>
      </c>
      <c r="D87" s="86"/>
      <c r="E87" s="86"/>
    </row>
    <row r="88" spans="1:5" ht="27.75" hidden="1" customHeight="1">
      <c r="A88" s="53"/>
      <c r="B88" s="235" t="e" cm="1" vm="3">
        <f t="array" aca="1" ref="B88" ca="1">_xlfn._xlws.SORT(_xlfn.UNIQUE(REGISTRATION!C87:C186))</f>
        <v>#VALUE!</v>
      </c>
      <c r="C88" s="236" t="e" vm="4">
        <f ca="1">IF($B88="", "", SUMIFS('INDIVIDUAL RESULT'!$D:$D, 'INDIVIDUAL RESULT'!$C:$C, $B88))</f>
        <v>#VALUE!</v>
      </c>
      <c r="D88" s="86"/>
      <c r="E88" s="86"/>
    </row>
    <row r="89" spans="1:5" ht="27.75" hidden="1" customHeight="1">
      <c r="A89" s="53"/>
      <c r="B89" s="235" t="e" cm="1" vm="3">
        <f t="array" aca="1" ref="B89" ca="1">_xlfn._xlws.SORT(_xlfn.UNIQUE(REGISTRATION!C88:C187))</f>
        <v>#VALUE!</v>
      </c>
      <c r="C89" s="236" t="e" vm="4">
        <f ca="1">IF($B89="", "", SUMIFS('INDIVIDUAL RESULT'!$D:$D, 'INDIVIDUAL RESULT'!$C:$C, $B89))</f>
        <v>#VALUE!</v>
      </c>
      <c r="D89" s="86"/>
      <c r="E89" s="86"/>
    </row>
    <row r="90" spans="1:5" ht="27.75" hidden="1" customHeight="1">
      <c r="A90" s="53"/>
      <c r="B90" s="235" t="e" cm="1" vm="3">
        <f t="array" aca="1" ref="B90" ca="1">_xlfn._xlws.SORT(_xlfn.UNIQUE(REGISTRATION!C89:C188))</f>
        <v>#VALUE!</v>
      </c>
      <c r="C90" s="236" t="e" vm="4">
        <f ca="1">IF($B90="", "", SUMIFS('INDIVIDUAL RESULT'!$D:$D, 'INDIVIDUAL RESULT'!$C:$C, $B90))</f>
        <v>#VALUE!</v>
      </c>
      <c r="D90" s="86"/>
      <c r="E90" s="86"/>
    </row>
    <row r="91" spans="1:5" ht="27.75" hidden="1" customHeight="1">
      <c r="A91" s="53"/>
      <c r="B91" s="235" t="e" cm="1" vm="3">
        <f t="array" aca="1" ref="B91" ca="1">_xlfn._xlws.SORT(_xlfn.UNIQUE(REGISTRATION!C90:C189))</f>
        <v>#VALUE!</v>
      </c>
      <c r="C91" s="236" t="e" vm="4">
        <f ca="1">IF($B91="", "", SUMIFS('INDIVIDUAL RESULT'!$D:$D, 'INDIVIDUAL RESULT'!$C:$C, $B91))</f>
        <v>#VALUE!</v>
      </c>
      <c r="D91" s="86"/>
      <c r="E91" s="86"/>
    </row>
    <row r="92" spans="1:5" ht="27.75" hidden="1" customHeight="1">
      <c r="A92" s="53"/>
      <c r="B92" s="235" t="e" cm="1" vm="3">
        <f t="array" aca="1" ref="B92" ca="1">_xlfn._xlws.SORT(_xlfn.UNIQUE(REGISTRATION!C91:C190))</f>
        <v>#VALUE!</v>
      </c>
      <c r="C92" s="236" t="e" vm="4">
        <f ca="1">IF($B92="", "", SUMIFS('INDIVIDUAL RESULT'!$D:$D, 'INDIVIDUAL RESULT'!$C:$C, $B92))</f>
        <v>#VALUE!</v>
      </c>
      <c r="D92" s="86"/>
      <c r="E92" s="86"/>
    </row>
    <row r="93" spans="1:5" ht="27.75" hidden="1" customHeight="1">
      <c r="A93" s="53"/>
      <c r="B93" s="235" t="e" cm="1" vm="3">
        <f t="array" aca="1" ref="B93" ca="1">_xlfn._xlws.SORT(_xlfn.UNIQUE(REGISTRATION!C92:C191))</f>
        <v>#VALUE!</v>
      </c>
      <c r="C93" s="236" t="e" vm="4">
        <f ca="1">IF($B93="", "", SUMIFS('INDIVIDUAL RESULT'!$D:$D, 'INDIVIDUAL RESULT'!$C:$C, $B93))</f>
        <v>#VALUE!</v>
      </c>
      <c r="D93" s="86"/>
      <c r="E93" s="86"/>
    </row>
    <row r="94" spans="1:5" ht="27.75" hidden="1" customHeight="1">
      <c r="A94" s="53"/>
      <c r="B94" s="235" t="e" cm="1" vm="3">
        <f t="array" aca="1" ref="B94" ca="1">_xlfn._xlws.SORT(_xlfn.UNIQUE(REGISTRATION!C93:C192))</f>
        <v>#VALUE!</v>
      </c>
      <c r="C94" s="236" t="e" vm="4">
        <f ca="1">IF($B94="", "", SUMIFS('INDIVIDUAL RESULT'!$D:$D, 'INDIVIDUAL RESULT'!$C:$C, $B94))</f>
        <v>#VALUE!</v>
      </c>
      <c r="D94" s="86"/>
      <c r="E94" s="86"/>
    </row>
    <row r="95" spans="1:5" ht="27.75" hidden="1" customHeight="1">
      <c r="A95" s="53"/>
      <c r="B95" s="235" t="e" cm="1" vm="3">
        <f t="array" aca="1" ref="B95" ca="1">_xlfn._xlws.SORT(_xlfn.UNIQUE(REGISTRATION!C94:C193))</f>
        <v>#VALUE!</v>
      </c>
      <c r="C95" s="236" t="e" vm="4">
        <f ca="1">IF($B95="", "", SUMIFS('INDIVIDUAL RESULT'!$D:$D, 'INDIVIDUAL RESULT'!$C:$C, $B95))</f>
        <v>#VALUE!</v>
      </c>
      <c r="D95" s="86"/>
      <c r="E95" s="86"/>
    </row>
    <row r="96" spans="1:5" ht="27.75" hidden="1" customHeight="1">
      <c r="A96" s="53"/>
      <c r="B96" s="235" t="e" cm="1" vm="3">
        <f t="array" aca="1" ref="B96" ca="1">_xlfn._xlws.SORT(_xlfn.UNIQUE(REGISTRATION!C95:C194))</f>
        <v>#VALUE!</v>
      </c>
      <c r="C96" s="236" t="e" vm="4">
        <f ca="1">IF($B96="", "", SUMIFS('INDIVIDUAL RESULT'!$D:$D, 'INDIVIDUAL RESULT'!$C:$C, $B96))</f>
        <v>#VALUE!</v>
      </c>
      <c r="D96" s="86"/>
      <c r="E96" s="86"/>
    </row>
    <row r="97" spans="1:5" ht="27.75" hidden="1" customHeight="1">
      <c r="A97" s="53"/>
      <c r="B97" s="235" t="e" cm="1" vm="3">
        <f t="array" aca="1" ref="B97" ca="1">_xlfn._xlws.SORT(_xlfn.UNIQUE(REGISTRATION!C96:C195))</f>
        <v>#VALUE!</v>
      </c>
      <c r="C97" s="236" t="e" vm="4">
        <f ca="1">IF($B97="", "", SUMIFS('INDIVIDUAL RESULT'!$D:$D, 'INDIVIDUAL RESULT'!$C:$C, $B97))</f>
        <v>#VALUE!</v>
      </c>
      <c r="D97" s="86"/>
      <c r="E97" s="86"/>
    </row>
    <row r="98" spans="1:5" ht="27.75" hidden="1" customHeight="1">
      <c r="A98" s="53"/>
      <c r="B98" s="235" t="str" cm="1">
        <f t="array" ref="B98:B99">_xlfn._xlws.SORT(_xlfn.UNIQUE(REGISTRATION!C97:C196))</f>
        <v/>
      </c>
      <c r="C98" s="236" t="str">
        <f>IF($B98="", "", SUMIFS('INDIVIDUAL RESULT'!$D:$D, 'INDIVIDUAL RESULT'!$C:$C, $B98))</f>
        <v/>
      </c>
      <c r="D98" s="86"/>
      <c r="E98" s="86"/>
    </row>
    <row r="99" spans="1:5" ht="27.75" hidden="1" customHeight="1">
      <c r="A99" s="53"/>
      <c r="B99" s="86">
        <v>0</v>
      </c>
      <c r="C99" s="236">
        <f>IF($B99="", "", SUMIFS('INDIVIDUAL RESULT'!$D:$D, 'INDIVIDUAL RESULT'!$C:$C, $B99))</f>
        <v>0</v>
      </c>
      <c r="D99" s="86"/>
      <c r="E99" s="86"/>
    </row>
    <row r="100" spans="1:5" ht="27.75" hidden="1" customHeight="1">
      <c r="A100" s="53"/>
      <c r="C100" s="236" t="str">
        <f>IF($B100="", "", SUMIFS('INDIVIDUAL RESULT'!$D:$D, 'INDIVIDUAL RESULT'!$C:$C, $B100))</f>
        <v/>
      </c>
      <c r="D100" s="86"/>
      <c r="E100" s="86"/>
    </row>
    <row r="101" spans="1:5" ht="27.75" hidden="1" customHeight="1">
      <c r="A101" s="53"/>
      <c r="C101" s="236" t="str">
        <f>IF($B101="", "", SUMIFS('INDIVIDUAL RESULT'!$D:$D, 'INDIVIDUAL RESULT'!$C:$C, $B101))</f>
        <v/>
      </c>
      <c r="D101" s="86"/>
      <c r="E101" s="86"/>
    </row>
    <row r="102" spans="1:5" ht="27.75" hidden="1" customHeight="1">
      <c r="A102" s="53"/>
      <c r="C102" s="236" t="str">
        <f>IF($B102="", "", SUMIFS('INDIVIDUAL RESULT'!$D:$D, 'INDIVIDUAL RESULT'!$C:$C, $B102))</f>
        <v/>
      </c>
      <c r="D102" s="86"/>
      <c r="E102" s="86"/>
    </row>
    <row r="103" spans="1:5" ht="27.75" hidden="1" customHeight="1">
      <c r="A103" s="53"/>
      <c r="C103" s="236" t="str">
        <f>IF($B103="", "", SUMIFS('INDIVIDUAL RESULT'!$D:$D, 'INDIVIDUAL RESULT'!$C:$C, $B103))</f>
        <v/>
      </c>
      <c r="D103" s="86"/>
      <c r="E103" s="86"/>
    </row>
    <row r="104" spans="1:5" ht="27.75" hidden="1" customHeight="1">
      <c r="A104" s="53"/>
      <c r="C104" s="236" t="str">
        <f>IF($B104="", "", SUMIFS('INDIVIDUAL RESULT'!$D:$D, 'INDIVIDUAL RESULT'!$C:$C, $B104))</f>
        <v/>
      </c>
      <c r="D104" s="86"/>
      <c r="E104" s="86"/>
    </row>
    <row r="105" spans="1:5" ht="27.75" hidden="1" customHeight="1">
      <c r="A105" s="53"/>
      <c r="C105" s="236" t="str">
        <f>IF($B105="", "", SUMIFS('INDIVIDUAL RESULT'!$D:$D, 'INDIVIDUAL RESULT'!$C:$C, $B105))</f>
        <v/>
      </c>
      <c r="D105" s="86"/>
      <c r="E105" s="86"/>
    </row>
    <row r="106" spans="1:5" ht="27.75" hidden="1" customHeight="1">
      <c r="A106" s="53"/>
      <c r="C106" s="236" t="str">
        <f>IF($B106="", "", SUMIFS('INDIVIDUAL RESULT'!$D:$D, 'INDIVIDUAL RESULT'!$C:$C, $B106))</f>
        <v/>
      </c>
      <c r="D106" s="86"/>
      <c r="E106" s="86"/>
    </row>
    <row r="107" spans="1:5" ht="27.75" hidden="1" customHeight="1">
      <c r="A107" s="53"/>
      <c r="C107" s="236" t="str">
        <f>IF($B107="", "", SUMIFS('INDIVIDUAL RESULT'!$D:$D, 'INDIVIDUAL RESULT'!$C:$C, $B107))</f>
        <v/>
      </c>
      <c r="D107" s="86"/>
      <c r="E107" s="86"/>
    </row>
    <row r="108" spans="1:5" ht="27.75" hidden="1" customHeight="1">
      <c r="A108" s="53"/>
      <c r="C108" s="236" t="str">
        <f>IF($B108="", "", SUMIFS('INDIVIDUAL RESULT'!$D:$D, 'INDIVIDUAL RESULT'!$C:$C, $B108))</f>
        <v/>
      </c>
      <c r="D108" s="86"/>
      <c r="E108" s="86"/>
    </row>
    <row r="109" spans="1:5" ht="27.75" hidden="1" customHeight="1">
      <c r="A109" s="53"/>
      <c r="C109" s="236" t="str">
        <f>IF($B109="", "", SUMIFS('INDIVIDUAL RESULT'!$D:$D, 'INDIVIDUAL RESULT'!$C:$C, $B109))</f>
        <v/>
      </c>
      <c r="D109" s="86"/>
      <c r="E109" s="86"/>
    </row>
    <row r="110" spans="1:5" ht="27.75" hidden="1" customHeight="1">
      <c r="A110" s="53"/>
      <c r="C110" s="236" t="str">
        <f>IF($B110="", "", SUMIFS('INDIVIDUAL RESULT'!$D:$D, 'INDIVIDUAL RESULT'!$C:$C, $B110))</f>
        <v/>
      </c>
      <c r="D110" s="86"/>
      <c r="E110" s="86"/>
    </row>
    <row r="111" spans="1:5" ht="27.75" hidden="1" customHeight="1">
      <c r="A111" s="53"/>
      <c r="C111" s="236" t="str">
        <f>IF($B111="", "", SUMIFS('INDIVIDUAL RESULT'!$D:$D, 'INDIVIDUAL RESULT'!$C:$C, $B111))</f>
        <v/>
      </c>
      <c r="D111" s="86"/>
      <c r="E111" s="86"/>
    </row>
    <row r="112" spans="1:5" ht="27.75" hidden="1" customHeight="1">
      <c r="A112" s="53"/>
      <c r="C112" s="236" t="str">
        <f>IF($B112="", "", SUMIFS('INDIVIDUAL RESULT'!$D:$D, 'INDIVIDUAL RESULT'!$C:$C, $B112))</f>
        <v/>
      </c>
      <c r="D112" s="86"/>
      <c r="E112" s="86"/>
    </row>
    <row r="113" spans="1:5" ht="27.75" hidden="1" customHeight="1">
      <c r="A113" s="53"/>
      <c r="C113" s="236" t="str">
        <f>IF($B113="", "", SUMIFS('INDIVIDUAL RESULT'!$D:$D, 'INDIVIDUAL RESULT'!$C:$C, $B113))</f>
        <v/>
      </c>
      <c r="D113" s="86"/>
      <c r="E113" s="86"/>
    </row>
    <row r="114" spans="1:5" ht="27.75" hidden="1" customHeight="1">
      <c r="A114" s="53"/>
      <c r="C114" s="236" t="str">
        <f>IF($B114="", "", SUMIFS('INDIVIDUAL RESULT'!$D:$D, 'INDIVIDUAL RESULT'!$C:$C, $B114))</f>
        <v/>
      </c>
      <c r="D114" s="86"/>
      <c r="E114" s="86"/>
    </row>
    <row r="115" spans="1:5" ht="27.75" hidden="1" customHeight="1">
      <c r="A115" s="53"/>
      <c r="C115" s="236" t="str">
        <f>IF($B115="", "", SUMIFS('INDIVIDUAL RESULT'!$D:$D, 'INDIVIDUAL RESULT'!$C:$C, $B115))</f>
        <v/>
      </c>
      <c r="D115" s="86"/>
      <c r="E115" s="86"/>
    </row>
    <row r="116" spans="1:5" ht="27.75" hidden="1" customHeight="1">
      <c r="A116" s="53"/>
      <c r="C116" s="236" t="str">
        <f>IF($B116="", "", SUMIFS('INDIVIDUAL RESULT'!$D:$D, 'INDIVIDUAL RESULT'!$C:$C, $B116))</f>
        <v/>
      </c>
      <c r="D116" s="86"/>
      <c r="E116" s="86"/>
    </row>
    <row r="117" spans="1:5" ht="27.75" hidden="1" customHeight="1">
      <c r="A117" s="53"/>
      <c r="C117" s="236" t="str">
        <f>IF($B117="", "", SUMIFS('INDIVIDUAL RESULT'!$D:$D, 'INDIVIDUAL RESULT'!$C:$C, $B117))</f>
        <v/>
      </c>
      <c r="D117" s="86"/>
      <c r="E117" s="86"/>
    </row>
    <row r="118" spans="1:5" ht="27.75" hidden="1" customHeight="1">
      <c r="C118" s="236" t="str">
        <f>IF($B118="", "", SUMIFS('INDIVIDUAL RESULT'!$D:$D, 'INDIVIDUAL RESULT'!$C:$C, $B118))</f>
        <v/>
      </c>
      <c r="D118" s="40"/>
      <c r="E118" s="40"/>
    </row>
    <row r="119" spans="1:5" ht="27.75" hidden="1" customHeight="1">
      <c r="C119" s="236" t="str">
        <f>IF($B119="", "", SUMIFS('INDIVIDUAL RESULT'!$D:$D, 'INDIVIDUAL RESULT'!$C:$C, $B119))</f>
        <v/>
      </c>
      <c r="D119" s="40"/>
      <c r="E119" s="40"/>
    </row>
    <row r="120" spans="1:5" ht="27.75" hidden="1" customHeight="1">
      <c r="C120" s="236" t="str">
        <f>IF($B120="", "", SUMIFS('INDIVIDUAL RESULT'!$D:$D, 'INDIVIDUAL RESULT'!$C:$C, $B120))</f>
        <v/>
      </c>
      <c r="D120" s="40"/>
      <c r="E120" s="40"/>
    </row>
    <row r="121" spans="1:5" ht="27.75" hidden="1" customHeight="1">
      <c r="C121" s="236" t="str">
        <f>IF($B121="", "", SUMIFS('INDIVIDUAL RESULT'!$D:$D, 'INDIVIDUAL RESULT'!$C:$C, $B121))</f>
        <v/>
      </c>
      <c r="D121" s="40"/>
      <c r="E121" s="40"/>
    </row>
    <row r="122" spans="1:5" ht="27.75" hidden="1" customHeight="1">
      <c r="C122" s="236" t="str">
        <f>IF($B122="", "", SUMIFS('INDIVIDUAL RESULT'!$D:$D, 'INDIVIDUAL RESULT'!$C:$C, $B122))</f>
        <v/>
      </c>
      <c r="D122" s="40"/>
      <c r="E122" s="40"/>
    </row>
    <row r="123" spans="1:5" ht="27.75" hidden="1" customHeight="1">
      <c r="C123" s="236" t="str">
        <f>IF($B123="", "", SUMIFS('INDIVIDUAL RESULT'!$D:$D, 'INDIVIDUAL RESULT'!$C:$C, $B123))</f>
        <v/>
      </c>
      <c r="D123" s="40"/>
      <c r="E123" s="40"/>
    </row>
    <row r="124" spans="1:5" ht="27.75" hidden="1" customHeight="1">
      <c r="C124" s="236" t="str">
        <f>IF($B124="", "", SUMIFS('INDIVIDUAL RESULT'!$D:$D, 'INDIVIDUAL RESULT'!$C:$C, $B124))</f>
        <v/>
      </c>
      <c r="D124" s="40"/>
      <c r="E124" s="40"/>
    </row>
    <row r="125" spans="1:5" ht="27.75" hidden="1" customHeight="1">
      <c r="C125" s="236" t="str">
        <f>IF($B125="", "", SUMIFS('INDIVIDUAL RESULT'!$D:$D, 'INDIVIDUAL RESULT'!$C:$C, $B125))</f>
        <v/>
      </c>
      <c r="D125" s="40"/>
      <c r="E125" s="40"/>
    </row>
    <row r="126" spans="1:5" ht="27.75" hidden="1" customHeight="1">
      <c r="C126" s="236" t="str">
        <f>IF($B126="", "", SUMIFS('INDIVIDUAL RESULT'!$D:$D, 'INDIVIDUAL RESULT'!$C:$C, $B126))</f>
        <v/>
      </c>
      <c r="D126" s="40"/>
      <c r="E126" s="40"/>
    </row>
    <row r="127" spans="1:5" ht="27.75" hidden="1" customHeight="1">
      <c r="C127" s="40"/>
      <c r="D127" s="40"/>
      <c r="E127" s="40"/>
    </row>
    <row r="128" spans="1:5" ht="27.75" hidden="1" customHeight="1">
      <c r="C128" s="40"/>
      <c r="D128" s="40"/>
      <c r="E128" s="40"/>
    </row>
    <row r="129" spans="3:5" ht="27.75" hidden="1" customHeight="1">
      <c r="C129" s="40"/>
      <c r="D129" s="40"/>
      <c r="E129" s="40"/>
    </row>
    <row r="130" spans="3:5" ht="27.75" hidden="1" customHeight="1">
      <c r="C130" s="40"/>
      <c r="D130" s="40"/>
      <c r="E130" s="40"/>
    </row>
    <row r="131" spans="3:5" ht="27.75" hidden="1" customHeight="1">
      <c r="C131" s="40"/>
      <c r="D131" s="40"/>
      <c r="E131" s="40"/>
    </row>
    <row r="132" spans="3:5" ht="27.75" hidden="1" customHeight="1">
      <c r="C132" s="40"/>
      <c r="D132" s="40"/>
      <c r="E132" s="40"/>
    </row>
    <row r="133" spans="3:5" ht="27.75" hidden="1" customHeight="1">
      <c r="C133" s="40"/>
      <c r="D133" s="40"/>
      <c r="E133" s="40"/>
    </row>
    <row r="134" spans="3:5" ht="27.75" hidden="1" customHeight="1">
      <c r="C134" s="40"/>
      <c r="D134" s="40"/>
      <c r="E134" s="40"/>
    </row>
    <row r="135" spans="3:5" ht="27.75" hidden="1" customHeight="1">
      <c r="C135" s="40"/>
      <c r="D135" s="40"/>
      <c r="E135" s="40"/>
    </row>
    <row r="136" spans="3:5" ht="27.75" hidden="1" customHeight="1">
      <c r="C136" s="40"/>
      <c r="D136" s="40"/>
      <c r="E136" s="40"/>
    </row>
    <row r="137" spans="3:5" ht="27.75" hidden="1" customHeight="1">
      <c r="C137" s="40"/>
      <c r="D137" s="40"/>
      <c r="E137" s="40"/>
    </row>
    <row r="138" spans="3:5" ht="27.75" hidden="1" customHeight="1">
      <c r="C138" s="40"/>
      <c r="D138" s="40"/>
      <c r="E138" s="40"/>
    </row>
    <row r="139" spans="3:5" ht="27.75" hidden="1" customHeight="1">
      <c r="C139" s="40"/>
      <c r="D139" s="40"/>
      <c r="E139" s="40"/>
    </row>
    <row r="140" spans="3:5" ht="27.75" hidden="1" customHeight="1">
      <c r="C140" s="40"/>
      <c r="D140" s="40"/>
      <c r="E140" s="40"/>
    </row>
    <row r="141" spans="3:5" ht="27.75" hidden="1" customHeight="1">
      <c r="C141" s="40"/>
      <c r="D141" s="40"/>
      <c r="E141" s="40"/>
    </row>
    <row r="142" spans="3:5" ht="27.75" hidden="1" customHeight="1">
      <c r="C142" s="40"/>
      <c r="D142" s="40"/>
      <c r="E142" s="40"/>
    </row>
    <row r="143" spans="3:5" ht="27.75" hidden="1" customHeight="1">
      <c r="C143" s="40"/>
      <c r="D143" s="40"/>
      <c r="E143" s="40"/>
    </row>
    <row r="144" spans="3:5" ht="27.75" hidden="1" customHeight="1">
      <c r="C144" s="40"/>
      <c r="D144" s="40"/>
      <c r="E144" s="40"/>
    </row>
    <row r="145" spans="3:5" ht="27.75" hidden="1" customHeight="1">
      <c r="C145" s="40"/>
      <c r="D145" s="40"/>
      <c r="E145" s="40"/>
    </row>
    <row r="146" spans="3:5" ht="27.75" hidden="1" customHeight="1">
      <c r="C146" s="40"/>
      <c r="D146" s="40"/>
      <c r="E146" s="40"/>
    </row>
    <row r="147" spans="3:5" ht="27.75" hidden="1" customHeight="1">
      <c r="C147" s="40"/>
      <c r="D147" s="40"/>
      <c r="E147" s="40"/>
    </row>
    <row r="148" spans="3:5" ht="27.75" hidden="1" customHeight="1">
      <c r="C148" s="40"/>
      <c r="D148" s="40"/>
      <c r="E148" s="40"/>
    </row>
    <row r="149" spans="3:5" ht="27.75" hidden="1" customHeight="1">
      <c r="C149" s="40"/>
      <c r="D149" s="40"/>
      <c r="E149" s="40"/>
    </row>
    <row r="150" spans="3:5" ht="27.75" hidden="1" customHeight="1">
      <c r="C150" s="40"/>
      <c r="D150" s="40"/>
      <c r="E150" s="40"/>
    </row>
    <row r="151" spans="3:5" ht="27.75" hidden="1" customHeight="1">
      <c r="C151" s="40"/>
      <c r="D151" s="40"/>
      <c r="E151" s="40"/>
    </row>
    <row r="152" spans="3:5" ht="27.75" hidden="1" customHeight="1">
      <c r="C152" s="40"/>
      <c r="D152" s="40"/>
      <c r="E152" s="40"/>
    </row>
    <row r="153" spans="3:5" ht="27.75" hidden="1" customHeight="1">
      <c r="C153" s="40"/>
      <c r="D153" s="40"/>
      <c r="E153" s="40"/>
    </row>
    <row r="154" spans="3:5" ht="27.75" hidden="1" customHeight="1">
      <c r="C154" s="40"/>
      <c r="D154" s="40"/>
      <c r="E154" s="40"/>
    </row>
    <row r="155" spans="3:5" ht="27.75" hidden="1" customHeight="1">
      <c r="C155" s="40"/>
      <c r="D155" s="40"/>
      <c r="E155" s="40"/>
    </row>
    <row r="156" spans="3:5" ht="27.75" hidden="1" customHeight="1">
      <c r="C156" s="40"/>
      <c r="D156" s="40"/>
      <c r="E156" s="40"/>
    </row>
    <row r="157" spans="3:5" ht="27.75" hidden="1" customHeight="1">
      <c r="C157" s="40"/>
      <c r="D157" s="40"/>
      <c r="E157" s="40"/>
    </row>
    <row r="158" spans="3:5" ht="27.75" hidden="1" customHeight="1">
      <c r="C158" s="40"/>
      <c r="D158" s="40"/>
      <c r="E158" s="40"/>
    </row>
    <row r="159" spans="3:5" ht="27.75" hidden="1" customHeight="1">
      <c r="C159" s="40"/>
      <c r="D159" s="40"/>
      <c r="E159" s="40"/>
    </row>
    <row r="160" spans="3:5" ht="27.75" hidden="1" customHeight="1">
      <c r="C160" s="40"/>
      <c r="D160" s="40"/>
      <c r="E160" s="40"/>
    </row>
    <row r="161" spans="3:5" ht="27.75" hidden="1" customHeight="1">
      <c r="C161" s="40"/>
      <c r="D161" s="40"/>
      <c r="E161" s="40"/>
    </row>
    <row r="162" spans="3:5" ht="27.75" hidden="1" customHeight="1">
      <c r="C162" s="40"/>
      <c r="D162" s="40"/>
      <c r="E162" s="40"/>
    </row>
    <row r="163" spans="3:5" ht="27.75" hidden="1" customHeight="1">
      <c r="C163" s="40"/>
      <c r="D163" s="40"/>
      <c r="E163" s="40"/>
    </row>
    <row r="164" spans="3:5" ht="27.75" hidden="1" customHeight="1">
      <c r="C164" s="40"/>
      <c r="D164" s="40"/>
      <c r="E164" s="40"/>
    </row>
    <row r="165" spans="3:5" ht="27.75" hidden="1" customHeight="1">
      <c r="C165" s="40"/>
      <c r="D165" s="40"/>
      <c r="E165" s="40"/>
    </row>
    <row r="166" spans="3:5" ht="27.75" hidden="1" customHeight="1">
      <c r="C166" s="40"/>
      <c r="D166" s="40"/>
      <c r="E166" s="40"/>
    </row>
    <row r="167" spans="3:5" ht="27.75" hidden="1" customHeight="1">
      <c r="C167" s="40"/>
      <c r="D167" s="40"/>
      <c r="E167" s="40"/>
    </row>
    <row r="168" spans="3:5" ht="27.75" hidden="1" customHeight="1">
      <c r="C168" s="40"/>
      <c r="D168" s="40"/>
      <c r="E168" s="40"/>
    </row>
    <row r="169" spans="3:5" ht="27.75" hidden="1" customHeight="1">
      <c r="C169" s="40"/>
      <c r="D169" s="40"/>
      <c r="E169" s="40"/>
    </row>
  </sheetData>
  <sheetProtection sheet="1" objects="1" scenarios="1"/>
  <mergeCells count="2">
    <mergeCell ref="A1:D1"/>
    <mergeCell ref="F1:I1"/>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D557FCA-1D63-4A44-BF6E-26A8A3204CF5}">
  <sheetPr>
    <tabColor rgb="FF0070C0"/>
    <pageSetUpPr fitToPage="1"/>
  </sheetPr>
  <dimension ref="A1:AX135"/>
  <sheetViews>
    <sheetView showGridLines="0" showRowColHeaders="0" workbookViewId="0">
      <pane ySplit="2" topLeftCell="A3" activePane="bottomLeft" state="frozen"/>
      <selection pane="bottomLeft" activeCell="R12" sqref="R12"/>
    </sheetView>
  </sheetViews>
  <sheetFormatPr defaultColWidth="0" defaultRowHeight="24.75" customHeight="1"/>
  <cols>
    <col min="1" max="1" width="10.28515625" style="83" customWidth="1"/>
    <col min="2" max="2" width="37.7109375" style="83" customWidth="1"/>
    <col min="3" max="3" width="33.85546875" style="83" customWidth="1"/>
    <col min="4" max="4" width="6.42578125" style="278" customWidth="1"/>
    <col min="5" max="5" width="8.85546875" style="83" customWidth="1"/>
    <col min="6" max="6" width="13" style="83" customWidth="1"/>
    <col min="7" max="7" width="12" style="83" customWidth="1"/>
    <col min="8" max="8" width="11.42578125" style="83" customWidth="1"/>
    <col min="9" max="9" width="9.7109375" style="83" customWidth="1"/>
    <col min="10" max="10" width="5" style="278" customWidth="1"/>
    <col min="11" max="11" width="11.85546875" style="83" customWidth="1"/>
    <col min="12" max="12" width="12.85546875" style="83" customWidth="1"/>
    <col min="13" max="13" width="11.5703125" style="83" customWidth="1"/>
    <col min="14" max="15" width="9.5703125" style="83" customWidth="1"/>
    <col min="16" max="16" width="5.7109375" style="278" customWidth="1"/>
    <col min="17" max="17" width="10.7109375" style="83" customWidth="1"/>
    <col min="18" max="18" width="13.42578125" style="83" customWidth="1"/>
    <col min="19" max="19" width="13.28515625" style="83" customWidth="1"/>
    <col min="20" max="20" width="12.85546875" style="83" customWidth="1"/>
    <col min="21" max="22" width="10.28515625" style="83" customWidth="1"/>
    <col min="23" max="23" width="39.7109375" style="83" hidden="1" customWidth="1"/>
    <col min="24" max="24" width="32.140625" style="83" hidden="1" customWidth="1"/>
    <col min="25" max="29" width="9.140625" style="83" hidden="1" customWidth="1"/>
    <col min="30" max="31" width="36.5703125" style="83" hidden="1" customWidth="1"/>
    <col min="32" max="32" width="19" style="83" hidden="1" customWidth="1"/>
    <col min="33" max="33" width="15.85546875" style="83" hidden="1" customWidth="1"/>
    <col min="34" max="34" width="15.42578125" style="83" hidden="1" customWidth="1"/>
    <col min="35" max="35" width="13.85546875" style="83" hidden="1" customWidth="1"/>
    <col min="36" max="36" width="17.140625" style="83" hidden="1" customWidth="1"/>
    <col min="37" max="37" width="16.7109375" style="83" hidden="1" customWidth="1"/>
    <col min="38" max="38" width="16.85546875" style="83" hidden="1" customWidth="1"/>
    <col min="39" max="39" width="17.140625" style="83" hidden="1" customWidth="1"/>
    <col min="40" max="40" width="15.140625" style="83" hidden="1" customWidth="1"/>
    <col min="41" max="41" width="9.140625" style="83" hidden="1" customWidth="1"/>
    <col min="42" max="49" width="20" style="83" hidden="1" customWidth="1"/>
    <col min="50" max="50" width="9.140625" style="83" hidden="1" customWidth="1"/>
    <col min="51" max="16384" width="0" style="83" hidden="1"/>
  </cols>
  <sheetData>
    <row r="1" spans="1:42" ht="24.75" customHeight="1">
      <c r="A1" s="116" t="s">
        <v>91</v>
      </c>
      <c r="B1" s="337" t="s">
        <v>28</v>
      </c>
      <c r="C1" s="339" t="s">
        <v>29</v>
      </c>
      <c r="D1" s="274"/>
      <c r="E1" s="341" t="s">
        <v>92</v>
      </c>
      <c r="F1" s="342"/>
      <c r="G1" s="342"/>
      <c r="H1" s="342"/>
      <c r="I1" s="343"/>
      <c r="J1" s="279"/>
      <c r="K1" s="334" t="s">
        <v>93</v>
      </c>
      <c r="L1" s="335"/>
      <c r="M1" s="335"/>
      <c r="N1" s="336"/>
      <c r="O1" s="313"/>
      <c r="P1" s="281"/>
      <c r="Q1" s="258"/>
      <c r="R1" s="257" t="s">
        <v>94</v>
      </c>
      <c r="S1" s="286"/>
      <c r="T1" s="286"/>
      <c r="U1" s="286"/>
      <c r="AE1" s="83" t="s">
        <v>95</v>
      </c>
      <c r="AF1" s="83" t="s">
        <v>96</v>
      </c>
      <c r="AG1" s="83" t="s">
        <v>97</v>
      </c>
      <c r="AH1" s="83" t="s">
        <v>98</v>
      </c>
      <c r="AI1" s="83" t="s">
        <v>99</v>
      </c>
      <c r="AJ1" s="83" t="s">
        <v>100</v>
      </c>
      <c r="AK1" s="83" t="s">
        <v>101</v>
      </c>
      <c r="AL1" s="83" t="s">
        <v>102</v>
      </c>
      <c r="AM1" s="83" t="s">
        <v>103</v>
      </c>
      <c r="AN1" s="83" t="s">
        <v>104</v>
      </c>
      <c r="AO1" s="83" t="s">
        <v>105</v>
      </c>
      <c r="AP1" s="83" t="s">
        <v>106</v>
      </c>
    </row>
    <row r="2" spans="1:42" ht="41.25" customHeight="1">
      <c r="A2" s="118" t="s">
        <v>62</v>
      </c>
      <c r="B2" s="338"/>
      <c r="C2" s="340"/>
      <c r="D2" s="275"/>
      <c r="E2" s="255" t="s">
        <v>107</v>
      </c>
      <c r="F2" s="255" t="s">
        <v>47</v>
      </c>
      <c r="G2" s="117" t="s">
        <v>86</v>
      </c>
      <c r="H2" s="66" t="s">
        <v>108</v>
      </c>
      <c r="I2" s="117" t="s">
        <v>109</v>
      </c>
      <c r="J2" s="280"/>
      <c r="K2" s="256" t="s">
        <v>107</v>
      </c>
      <c r="L2" s="256" t="s">
        <v>47</v>
      </c>
      <c r="M2" s="256" t="s">
        <v>86</v>
      </c>
      <c r="N2" s="288" t="s">
        <v>108</v>
      </c>
      <c r="O2" s="288" t="s">
        <v>109</v>
      </c>
      <c r="P2" s="282"/>
      <c r="Q2" s="234" t="s">
        <v>110</v>
      </c>
      <c r="R2" s="234" t="s">
        <v>47</v>
      </c>
      <c r="S2" s="289" t="s">
        <v>86</v>
      </c>
      <c r="T2" s="289" t="s">
        <v>108</v>
      </c>
      <c r="U2" s="291" t="s">
        <v>109</v>
      </c>
      <c r="W2" s="83" t="s">
        <v>111</v>
      </c>
    </row>
    <row r="3" spans="1:42" ht="24.75" customHeight="1">
      <c r="A3" s="84" t="str">
        <f>IF(B3&lt;&gt;"", COUNTA($B$3:B3), "")</f>
        <v/>
      </c>
      <c r="B3" s="231" t="str">
        <f>AE4</f>
        <v/>
      </c>
      <c r="C3" s="231" t="str">
        <f>AF4</f>
        <v/>
      </c>
      <c r="D3" s="276"/>
      <c r="E3" s="283" cm="1">
        <f t="array" ref="E3">IFERROR(_xlfn.XLOOKUP(TRIM(B3), TRIM('DAY 1 SCORES'!$B$4:$B$152), 'DAY 1 SCORES'!$H$4:$H$152, 12), 12)</f>
        <v>120</v>
      </c>
      <c r="F3" s="283">
        <f>AK4</f>
        <v>0</v>
      </c>
      <c r="G3" s="284">
        <f>AH4</f>
        <v>0</v>
      </c>
      <c r="H3" s="237" t="str">
        <f>IF(B3="","", IFERROR(VLOOKUP(B3, 'DAY 1 SCORES'!B:G, 6, FALSE), 0))</f>
        <v/>
      </c>
      <c r="I3" s="290">
        <f>AG4</f>
        <v>0</v>
      </c>
      <c r="J3" s="276"/>
      <c r="K3" s="121" t="str" cm="1">
        <f t="array" ref="K3">IF(B3="", "", IFERROR(_xlfn.XLOOKUP(TRIM(B3), TRIM('DAY 2 SCORES'!$B$4:$B$152), 'DAY 2 SCORES'!$H$4:$H$152, 12), 12))</f>
        <v/>
      </c>
      <c r="L3" s="121">
        <f>AL4</f>
        <v>0</v>
      </c>
      <c r="M3" s="121">
        <f>AJ4</f>
        <v>0</v>
      </c>
      <c r="N3" s="84" t="str">
        <f>IF(B3="","", IFERROR(VLOOKUP(B3, 'DAY 2 SCORES'!B:G, 6, FALSE), 0))</f>
        <v/>
      </c>
      <c r="O3" s="84">
        <f>IFERROR(VLOOKUP($B3, 'DAY 2 SCORES'!$B:$H, 4, FALSE), 0)</f>
        <v>0</v>
      </c>
      <c r="Q3" s="233" t="str">
        <f>IF(B3="", "", E3+K3)</f>
        <v/>
      </c>
      <c r="R3" s="233" t="str">
        <f>IF(B3="","", F3+L3)</f>
        <v/>
      </c>
      <c r="S3" s="287" t="str">
        <f>IF(B3="","", G3+M3)</f>
        <v/>
      </c>
      <c r="T3" s="287" t="str">
        <f>IF(B3="","", MAX(H3, N3))</f>
        <v/>
      </c>
      <c r="U3" s="287" t="str">
        <f>IF(B3="", "", I3 + O3)</f>
        <v/>
      </c>
      <c r="W3" s="83">
        <f>IF(B3="", 999, Q3 - (R3/10000) - (S3/1000000) - (T3/100000000) - (U3/1000000000000))</f>
        <v>999</v>
      </c>
      <c r="AE3" s="85"/>
    </row>
    <row r="4" spans="1:42" ht="24.75" customHeight="1">
      <c r="A4" s="84" t="str">
        <f>IF(B4&lt;&gt;"", COUNTA($B$3:B4), "")</f>
        <v/>
      </c>
      <c r="B4" s="231" t="str">
        <f>AE5</f>
        <v/>
      </c>
      <c r="C4" s="231" t="str">
        <f>AF5</f>
        <v/>
      </c>
      <c r="D4" s="276"/>
      <c r="E4" s="283" cm="1">
        <f t="array" ref="E4">IFERROR(_xlfn.XLOOKUP(TRIM(B4), TRIM('DAY 1 SCORES'!$B$4:$B$152), 'DAY 1 SCORES'!$H$4:$H$152, 12), 12)</f>
        <v>120</v>
      </c>
      <c r="F4" s="283">
        <f>AK5</f>
        <v>0</v>
      </c>
      <c r="G4" s="284">
        <f>AH5</f>
        <v>0</v>
      </c>
      <c r="H4" s="237" t="str">
        <f>IF(B4="","", IFERROR(VLOOKUP(B4, 'DAY 1 SCORES'!B:G, 6, FALSE), 0))</f>
        <v/>
      </c>
      <c r="I4" s="284">
        <f>AG5</f>
        <v>0</v>
      </c>
      <c r="J4" s="276"/>
      <c r="K4" s="121" t="str" cm="1">
        <f t="array" ref="K4">IF(B4="", "", IFERROR(_xlfn.XLOOKUP(TRIM(B4), TRIM('DAY 2 SCORES'!$B$4:$B$152), 'DAY 2 SCORES'!$H$4:$H$152, 12), 12))</f>
        <v/>
      </c>
      <c r="L4" s="121">
        <f>AL5</f>
        <v>0</v>
      </c>
      <c r="M4" s="121">
        <f>AJ5</f>
        <v>0</v>
      </c>
      <c r="N4" s="84" t="str">
        <f>IF(B4="","", IFERROR(VLOOKUP(B4, 'DAY 2 SCORES'!B:G, 6, FALSE), 0))</f>
        <v/>
      </c>
      <c r="O4" s="84">
        <f>IFERROR(VLOOKUP($B4, 'DAY 2 SCORES'!$B:$H, 4, FALSE), 0)</f>
        <v>0</v>
      </c>
      <c r="Q4" s="233" t="str">
        <f>IF(B4="", "", E4+K4)</f>
        <v/>
      </c>
      <c r="R4" s="233" t="str">
        <f t="shared" ref="R4:R67" si="0">IF(B4="","", F4+L4)</f>
        <v/>
      </c>
      <c r="S4" s="287" t="str">
        <f>IF(B4="","", G4+M4)</f>
        <v/>
      </c>
      <c r="T4" s="287" t="str">
        <f>IF(B4="","", MAX(H4, N4))</f>
        <v/>
      </c>
      <c r="U4" s="287" t="str">
        <f t="shared" ref="U4:U67" si="1">IF(B4="", "", I4 + O4)</f>
        <v/>
      </c>
      <c r="W4" s="83">
        <f t="shared" ref="W4:W67" si="2">IF(B4="", 999, Q4 - (R4/10000) - (S4/1000000) - (T4/100000000) - (U4/1000000000000))</f>
        <v>999</v>
      </c>
      <c r="AE4" s="85" t="str" cm="1">
        <f t="array" ref="AE4:AP123">_xlfn.SORTBY(DATA!B3:M122, DATA!M3:M122, 1, DATA!J3:J122, -1)</f>
        <v/>
      </c>
      <c r="AF4" s="83" t="str">
        <v/>
      </c>
      <c r="AG4" s="83">
        <v>0</v>
      </c>
      <c r="AH4" s="83">
        <v>0</v>
      </c>
      <c r="AI4" s="83">
        <v>0</v>
      </c>
      <c r="AJ4" s="83">
        <v>0</v>
      </c>
      <c r="AK4" s="83">
        <v>0</v>
      </c>
      <c r="AL4" s="83">
        <v>0</v>
      </c>
      <c r="AM4" s="83">
        <v>0</v>
      </c>
      <c r="AN4" s="83">
        <v>14400</v>
      </c>
      <c r="AO4" s="83">
        <v>14400</v>
      </c>
      <c r="AP4" s="83">
        <v>999</v>
      </c>
    </row>
    <row r="5" spans="1:42" ht="24.75" customHeight="1">
      <c r="A5" s="84" t="str">
        <f>IF(B5&lt;&gt;"", COUNTA($B$3:B5), "")</f>
        <v/>
      </c>
      <c r="B5" s="231" t="str">
        <f>AE6</f>
        <v/>
      </c>
      <c r="C5" s="231" t="str">
        <f>AF6</f>
        <v/>
      </c>
      <c r="D5" s="276"/>
      <c r="E5" s="283" cm="1">
        <f t="array" ref="E5">IFERROR(_xlfn.XLOOKUP(TRIM(B5), TRIM('DAY 1 SCORES'!$B$4:$B$152), 'DAY 1 SCORES'!$H$4:$H$152, 12), 12)</f>
        <v>120</v>
      </c>
      <c r="F5" s="283">
        <f>AK6</f>
        <v>0</v>
      </c>
      <c r="G5" s="284">
        <f>AH6</f>
        <v>0</v>
      </c>
      <c r="H5" s="237" t="str">
        <f>IF(B5="","", IFERROR(VLOOKUP(B5, 'DAY 1 SCORES'!B:G, 6, FALSE), 0))</f>
        <v/>
      </c>
      <c r="I5" s="284">
        <f>AG6</f>
        <v>0</v>
      </c>
      <c r="J5" s="276"/>
      <c r="K5" s="121" t="str" cm="1">
        <f t="array" ref="K5">IF(B5="", "", IFERROR(_xlfn.XLOOKUP(TRIM(B5), TRIM('DAY 2 SCORES'!$B$4:$B$152), 'DAY 2 SCORES'!$H$4:$H$152, 12), 12))</f>
        <v/>
      </c>
      <c r="L5" s="121">
        <f>AL6</f>
        <v>0</v>
      </c>
      <c r="M5" s="121">
        <f>AJ6</f>
        <v>0</v>
      </c>
      <c r="N5" s="84" t="str">
        <f>IF(B5="","", IFERROR(VLOOKUP(B5, 'DAY 2 SCORES'!B:G, 6, FALSE), 0))</f>
        <v/>
      </c>
      <c r="O5" s="84">
        <f>IFERROR(VLOOKUP($B5, 'DAY 2 SCORES'!$B:$H, 4, FALSE), 0)</f>
        <v>0</v>
      </c>
      <c r="Q5" s="233" t="str">
        <f>IF(B5="", "", E5+K5)</f>
        <v/>
      </c>
      <c r="R5" s="233" t="str">
        <f t="shared" si="0"/>
        <v/>
      </c>
      <c r="S5" s="287" t="str">
        <f>IF(B5="","", G5+M5)</f>
        <v/>
      </c>
      <c r="T5" s="287" t="str">
        <f>IF(B5="","", MAX(H5, N5))</f>
        <v/>
      </c>
      <c r="U5" s="287" t="str">
        <f t="shared" si="1"/>
        <v/>
      </c>
      <c r="W5" s="83">
        <f t="shared" si="2"/>
        <v>999</v>
      </c>
      <c r="AE5" s="83" t="str">
        <v/>
      </c>
      <c r="AF5" s="83" t="str">
        <v/>
      </c>
      <c r="AG5" s="83">
        <v>0</v>
      </c>
      <c r="AH5" s="83">
        <v>0</v>
      </c>
      <c r="AI5" s="83">
        <v>0</v>
      </c>
      <c r="AJ5" s="83">
        <v>0</v>
      </c>
      <c r="AK5" s="83">
        <v>0</v>
      </c>
      <c r="AL5" s="83">
        <v>0</v>
      </c>
      <c r="AM5" s="83">
        <v>0</v>
      </c>
      <c r="AN5" s="83">
        <v>14400</v>
      </c>
      <c r="AO5" s="83">
        <v>14400</v>
      </c>
      <c r="AP5" s="83">
        <v>999</v>
      </c>
    </row>
    <row r="6" spans="1:42" ht="24.75" customHeight="1">
      <c r="A6" s="84" t="str">
        <f>IF(B6&lt;&gt;"", COUNTA($B$3:B6), "")</f>
        <v/>
      </c>
      <c r="B6" s="231" t="str">
        <f>AE7</f>
        <v/>
      </c>
      <c r="C6" s="231" t="str">
        <f>AF7</f>
        <v/>
      </c>
      <c r="D6" s="276"/>
      <c r="E6" s="283" cm="1">
        <f t="array" ref="E6">IFERROR(_xlfn.XLOOKUP(TRIM(B6), TRIM('DAY 1 SCORES'!$B$4:$B$152), 'DAY 1 SCORES'!$H$4:$H$152, 12), 12)</f>
        <v>120</v>
      </c>
      <c r="F6" s="283">
        <f>AK7</f>
        <v>0</v>
      </c>
      <c r="G6" s="284">
        <f>AH7</f>
        <v>0</v>
      </c>
      <c r="H6" s="237" t="str">
        <f>IF(B6="","", IFERROR(VLOOKUP(B6, 'DAY 1 SCORES'!B:G, 6, FALSE), 0))</f>
        <v/>
      </c>
      <c r="I6" s="284">
        <f>AG7</f>
        <v>0</v>
      </c>
      <c r="J6" s="276"/>
      <c r="K6" s="121" t="str" cm="1">
        <f t="array" ref="K6">IF(B6="", "", IFERROR(_xlfn.XLOOKUP(TRIM(B6), TRIM('DAY 2 SCORES'!$B$4:$B$152), 'DAY 2 SCORES'!$H$4:$H$152, 12), 12))</f>
        <v/>
      </c>
      <c r="L6" s="121">
        <f>AL7</f>
        <v>0</v>
      </c>
      <c r="M6" s="121">
        <f>AJ7</f>
        <v>0</v>
      </c>
      <c r="N6" s="84" t="str">
        <f>IF(B6="","", IFERROR(VLOOKUP(B6, 'DAY 2 SCORES'!B:G, 6, FALSE), 0))</f>
        <v/>
      </c>
      <c r="O6" s="84">
        <f>IFERROR(VLOOKUP($B6, 'DAY 2 SCORES'!$B:$H, 4, FALSE), 0)</f>
        <v>0</v>
      </c>
      <c r="Q6" s="233" t="str">
        <f>IF(B6="", "", E6+K6)</f>
        <v/>
      </c>
      <c r="R6" s="233" t="str">
        <f t="shared" si="0"/>
        <v/>
      </c>
      <c r="S6" s="287" t="str">
        <f>IF(B6="","", G6+M6)</f>
        <v/>
      </c>
      <c r="T6" s="287" t="str">
        <f>IF(B6="","", MAX(H6, N6))</f>
        <v/>
      </c>
      <c r="U6" s="287" t="str">
        <f t="shared" si="1"/>
        <v/>
      </c>
      <c r="W6" s="83">
        <f t="shared" si="2"/>
        <v>999</v>
      </c>
      <c r="AD6" s="85"/>
      <c r="AE6" s="83" t="str">
        <v/>
      </c>
      <c r="AF6" s="83" t="str">
        <v/>
      </c>
      <c r="AG6" s="83">
        <v>0</v>
      </c>
      <c r="AH6" s="83">
        <v>0</v>
      </c>
      <c r="AI6" s="83">
        <v>0</v>
      </c>
      <c r="AJ6" s="83">
        <v>0</v>
      </c>
      <c r="AK6" s="83">
        <v>0</v>
      </c>
      <c r="AL6" s="83">
        <v>0</v>
      </c>
      <c r="AM6" s="83">
        <v>0</v>
      </c>
      <c r="AN6" s="83">
        <v>14400</v>
      </c>
      <c r="AO6" s="83">
        <v>14400</v>
      </c>
      <c r="AP6" s="83">
        <v>999</v>
      </c>
    </row>
    <row r="7" spans="1:42" ht="24.75" customHeight="1">
      <c r="A7" s="84" t="str">
        <f>IF(B7&lt;&gt;"", COUNTA($B$3:B7), "")</f>
        <v/>
      </c>
      <c r="B7" s="231" t="str">
        <f>AE8</f>
        <v/>
      </c>
      <c r="C7" s="231" t="str">
        <f>AF8</f>
        <v/>
      </c>
      <c r="D7" s="276"/>
      <c r="E7" s="283" cm="1">
        <f t="array" ref="E7">IFERROR(_xlfn.XLOOKUP(TRIM(B7), TRIM('DAY 1 SCORES'!$B$4:$B$152), 'DAY 1 SCORES'!$H$4:$H$152, 12), 12)</f>
        <v>120</v>
      </c>
      <c r="F7" s="283">
        <f>AK8</f>
        <v>0</v>
      </c>
      <c r="G7" s="284">
        <f>AH8</f>
        <v>0</v>
      </c>
      <c r="H7" s="237" t="str">
        <f>IF(B7="","", IFERROR(VLOOKUP(B7, 'DAY 1 SCORES'!B:G, 6, FALSE), 0))</f>
        <v/>
      </c>
      <c r="I7" s="284">
        <f>AG8</f>
        <v>0</v>
      </c>
      <c r="J7" s="276"/>
      <c r="K7" s="121" t="str" cm="1">
        <f t="array" ref="K7">IF(B7="", "", IFERROR(_xlfn.XLOOKUP(TRIM(B7), TRIM('DAY 2 SCORES'!$B$4:$B$152), 'DAY 2 SCORES'!$H$4:$H$152, 12), 12))</f>
        <v/>
      </c>
      <c r="L7" s="121">
        <f>AL8</f>
        <v>0</v>
      </c>
      <c r="M7" s="121">
        <f>AJ8</f>
        <v>0</v>
      </c>
      <c r="N7" s="84" t="str">
        <f>IF(B7="","", IFERROR(VLOOKUP(B7, 'DAY 2 SCORES'!B:G, 6, FALSE), 0))</f>
        <v/>
      </c>
      <c r="O7" s="84">
        <f>IFERROR(VLOOKUP($B7, 'DAY 2 SCORES'!$B:$H, 4, FALSE), 0)</f>
        <v>0</v>
      </c>
      <c r="Q7" s="233" t="str">
        <f>IF(B7="", "", E7+K7)</f>
        <v/>
      </c>
      <c r="R7" s="233" t="str">
        <f t="shared" si="0"/>
        <v/>
      </c>
      <c r="S7" s="287" t="str">
        <f>IF(B7="","", G7+M7)</f>
        <v/>
      </c>
      <c r="T7" s="287" t="str">
        <f>IF(B7="","", MAX(H7, N7))</f>
        <v/>
      </c>
      <c r="U7" s="287" t="str">
        <f t="shared" si="1"/>
        <v/>
      </c>
      <c r="W7" s="83">
        <f t="shared" si="2"/>
        <v>999</v>
      </c>
      <c r="AE7" s="83" t="str">
        <v/>
      </c>
      <c r="AF7" s="83" t="str">
        <v/>
      </c>
      <c r="AG7" s="83">
        <v>0</v>
      </c>
      <c r="AH7" s="83">
        <v>0</v>
      </c>
      <c r="AI7" s="83">
        <v>0</v>
      </c>
      <c r="AJ7" s="83">
        <v>0</v>
      </c>
      <c r="AK7" s="83">
        <v>0</v>
      </c>
      <c r="AL7" s="83">
        <v>0</v>
      </c>
      <c r="AM7" s="83">
        <v>0</v>
      </c>
      <c r="AN7" s="83">
        <v>14400</v>
      </c>
      <c r="AO7" s="83">
        <v>14400</v>
      </c>
      <c r="AP7" s="83">
        <v>999</v>
      </c>
    </row>
    <row r="8" spans="1:42" ht="24.75" customHeight="1">
      <c r="A8" s="84" t="str">
        <f>IF(B8&lt;&gt;"", COUNTA($B$3:B8), "")</f>
        <v/>
      </c>
      <c r="B8" s="231" t="str">
        <f>AE9</f>
        <v/>
      </c>
      <c r="C8" s="231" t="str">
        <f>AF9</f>
        <v/>
      </c>
      <c r="D8" s="276"/>
      <c r="E8" s="283" cm="1">
        <f t="array" ref="E8">IFERROR(_xlfn.XLOOKUP(TRIM(B8), TRIM('DAY 1 SCORES'!$B$4:$B$152), 'DAY 1 SCORES'!$H$4:$H$152, 12), 12)</f>
        <v>120</v>
      </c>
      <c r="F8" s="283">
        <f>AK9</f>
        <v>0</v>
      </c>
      <c r="G8" s="284">
        <f>AH9</f>
        <v>0</v>
      </c>
      <c r="H8" s="237" t="str">
        <f>IF(B8="","", IFERROR(VLOOKUP(B8, 'DAY 1 SCORES'!B:G, 6, FALSE), 0))</f>
        <v/>
      </c>
      <c r="I8" s="284">
        <f>AG9</f>
        <v>0</v>
      </c>
      <c r="J8" s="276"/>
      <c r="K8" s="121" t="str" cm="1">
        <f t="array" ref="K8">IF(B8="", "", IFERROR(_xlfn.XLOOKUP(TRIM(B8), TRIM('DAY 2 SCORES'!$B$4:$B$152), 'DAY 2 SCORES'!$H$4:$H$152, 12), 12))</f>
        <v/>
      </c>
      <c r="L8" s="121">
        <f>AL9</f>
        <v>0</v>
      </c>
      <c r="M8" s="121">
        <f>AJ9</f>
        <v>0</v>
      </c>
      <c r="N8" s="84" t="str">
        <f>IF(B8="","", IFERROR(VLOOKUP(B8, 'DAY 2 SCORES'!B:G, 6, FALSE), 0))</f>
        <v/>
      </c>
      <c r="O8" s="84">
        <f>IFERROR(VLOOKUP($B8, 'DAY 2 SCORES'!$B:$H, 4, FALSE), 0)</f>
        <v>0</v>
      </c>
      <c r="Q8" s="233" t="str">
        <f>IF(B8="", "", E8+K8)</f>
        <v/>
      </c>
      <c r="R8" s="233" t="str">
        <f t="shared" si="0"/>
        <v/>
      </c>
      <c r="S8" s="287" t="str">
        <f>IF(B8="","", G8+M8)</f>
        <v/>
      </c>
      <c r="T8" s="287" t="str">
        <f>IF(B8="","", MAX(H8, N8))</f>
        <v/>
      </c>
      <c r="U8" s="287" t="str">
        <f t="shared" si="1"/>
        <v/>
      </c>
      <c r="W8" s="83">
        <f t="shared" si="2"/>
        <v>999</v>
      </c>
      <c r="AE8" s="83" t="str">
        <v/>
      </c>
      <c r="AF8" s="83" t="str">
        <v/>
      </c>
      <c r="AG8" s="83">
        <v>0</v>
      </c>
      <c r="AH8" s="83">
        <v>0</v>
      </c>
      <c r="AI8" s="83">
        <v>0</v>
      </c>
      <c r="AJ8" s="83">
        <v>0</v>
      </c>
      <c r="AK8" s="83">
        <v>0</v>
      </c>
      <c r="AL8" s="83">
        <v>0</v>
      </c>
      <c r="AM8" s="83">
        <v>0</v>
      </c>
      <c r="AN8" s="83">
        <v>14400</v>
      </c>
      <c r="AO8" s="83">
        <v>14400</v>
      </c>
      <c r="AP8" s="83">
        <v>999</v>
      </c>
    </row>
    <row r="9" spans="1:42" ht="24.75" customHeight="1">
      <c r="A9" s="84" t="str">
        <f>IF(B9&lt;&gt;"", COUNTA($B$3:B9), "")</f>
        <v/>
      </c>
      <c r="B9" s="231" t="str">
        <f>AE10</f>
        <v/>
      </c>
      <c r="C9" s="231" t="str">
        <f>AF10</f>
        <v/>
      </c>
      <c r="D9" s="276"/>
      <c r="E9" s="283" cm="1">
        <f t="array" ref="E9">IFERROR(_xlfn.XLOOKUP(TRIM(B9), TRIM('DAY 1 SCORES'!$B$4:$B$152), 'DAY 1 SCORES'!$H$4:$H$152, 12), 12)</f>
        <v>120</v>
      </c>
      <c r="F9" s="283">
        <f>AK10</f>
        <v>0</v>
      </c>
      <c r="G9" s="284">
        <f>AH10</f>
        <v>0</v>
      </c>
      <c r="H9" s="237" t="str">
        <f>IF(B9="","", IFERROR(VLOOKUP(B9, 'DAY 1 SCORES'!B:G, 6, FALSE), 0))</f>
        <v/>
      </c>
      <c r="I9" s="284">
        <f>AG10</f>
        <v>0</v>
      </c>
      <c r="J9" s="276"/>
      <c r="K9" s="121" t="str" cm="1">
        <f t="array" ref="K9">IF(B9="", "", IFERROR(_xlfn.XLOOKUP(TRIM(B9), TRIM('DAY 2 SCORES'!$B$4:$B$152), 'DAY 2 SCORES'!$H$4:$H$152, 12), 12))</f>
        <v/>
      </c>
      <c r="L9" s="121">
        <f>AL10</f>
        <v>0</v>
      </c>
      <c r="M9" s="121">
        <f>AJ10</f>
        <v>0</v>
      </c>
      <c r="N9" s="84" t="str">
        <f>IF(B9="","", IFERROR(VLOOKUP(B9, 'DAY 2 SCORES'!B:G, 6, FALSE), 0))</f>
        <v/>
      </c>
      <c r="O9" s="84">
        <f>IFERROR(VLOOKUP($B9, 'DAY 2 SCORES'!$B:$H, 4, FALSE), 0)</f>
        <v>0</v>
      </c>
      <c r="Q9" s="233" t="str">
        <f>IF(B9="", "", E9+K9)</f>
        <v/>
      </c>
      <c r="R9" s="233" t="str">
        <f t="shared" si="0"/>
        <v/>
      </c>
      <c r="S9" s="287" t="str">
        <f>IF(B9="","", G9+M9)</f>
        <v/>
      </c>
      <c r="T9" s="287" t="str">
        <f>IF(B9="","", MAX(H9, N9))</f>
        <v/>
      </c>
      <c r="U9" s="287" t="str">
        <f t="shared" si="1"/>
        <v/>
      </c>
      <c r="W9" s="83">
        <f t="shared" si="2"/>
        <v>999</v>
      </c>
      <c r="AE9" s="83" t="str">
        <v/>
      </c>
      <c r="AF9" s="83" t="str">
        <v/>
      </c>
      <c r="AG9" s="83">
        <v>0</v>
      </c>
      <c r="AH9" s="83">
        <v>0</v>
      </c>
      <c r="AI9" s="83">
        <v>0</v>
      </c>
      <c r="AJ9" s="83">
        <v>0</v>
      </c>
      <c r="AK9" s="83">
        <v>0</v>
      </c>
      <c r="AL9" s="83">
        <v>0</v>
      </c>
      <c r="AM9" s="83">
        <v>0</v>
      </c>
      <c r="AN9" s="83">
        <v>14400</v>
      </c>
      <c r="AO9" s="83">
        <v>14400</v>
      </c>
      <c r="AP9" s="83">
        <v>999</v>
      </c>
    </row>
    <row r="10" spans="1:42" ht="24.75" customHeight="1">
      <c r="A10" s="84" t="str">
        <f>IF(B10&lt;&gt;"", COUNTA($B$3:B10), "")</f>
        <v/>
      </c>
      <c r="B10" s="231" t="str">
        <f>AE11</f>
        <v/>
      </c>
      <c r="C10" s="231" t="str">
        <f>AF11</f>
        <v/>
      </c>
      <c r="D10" s="276"/>
      <c r="E10" s="283" cm="1">
        <f t="array" ref="E10">IFERROR(_xlfn.XLOOKUP(TRIM(B10), TRIM('DAY 1 SCORES'!$B$4:$B$152), 'DAY 1 SCORES'!$H$4:$H$152, 12), 12)</f>
        <v>120</v>
      </c>
      <c r="F10" s="283">
        <f>AK11</f>
        <v>0</v>
      </c>
      <c r="G10" s="284">
        <f>AH11</f>
        <v>0</v>
      </c>
      <c r="H10" s="237" t="str">
        <f>IF(B10="","", IFERROR(VLOOKUP(B10, 'DAY 1 SCORES'!B:G, 6, FALSE), 0))</f>
        <v/>
      </c>
      <c r="I10" s="284">
        <f>AG11</f>
        <v>0</v>
      </c>
      <c r="J10" s="276"/>
      <c r="K10" s="121" t="str" cm="1">
        <f t="array" ref="K10">IF(B10="", "", IFERROR(_xlfn.XLOOKUP(TRIM(B10), TRIM('DAY 2 SCORES'!$B$4:$B$152), 'DAY 2 SCORES'!$H$4:$H$152, 12), 12))</f>
        <v/>
      </c>
      <c r="L10" s="121">
        <f>AL11</f>
        <v>0</v>
      </c>
      <c r="M10" s="121">
        <f>AJ11</f>
        <v>0</v>
      </c>
      <c r="N10" s="84" t="str">
        <f>IF(B10="","", IFERROR(VLOOKUP(B10, 'DAY 2 SCORES'!B:G, 6, FALSE), 0))</f>
        <v/>
      </c>
      <c r="O10" s="84">
        <f>IFERROR(VLOOKUP($B10, 'DAY 2 SCORES'!$B:$H, 4, FALSE), 0)</f>
        <v>0</v>
      </c>
      <c r="Q10" s="233" t="str">
        <f>IF(B10="", "", E10+K10)</f>
        <v/>
      </c>
      <c r="R10" s="233" t="str">
        <f t="shared" si="0"/>
        <v/>
      </c>
      <c r="S10" s="287" t="str">
        <f>IF(B10="","", G10+M10)</f>
        <v/>
      </c>
      <c r="T10" s="287" t="str">
        <f>IF(B10="","", MAX(H10, N10))</f>
        <v/>
      </c>
      <c r="U10" s="287" t="str">
        <f t="shared" si="1"/>
        <v/>
      </c>
      <c r="W10" s="83">
        <f t="shared" si="2"/>
        <v>999</v>
      </c>
      <c r="AE10" s="83" t="str">
        <v/>
      </c>
      <c r="AF10" s="83" t="str">
        <v/>
      </c>
      <c r="AG10" s="83">
        <v>0</v>
      </c>
      <c r="AH10" s="83">
        <v>0</v>
      </c>
      <c r="AI10" s="83">
        <v>0</v>
      </c>
      <c r="AJ10" s="83">
        <v>0</v>
      </c>
      <c r="AK10" s="83">
        <v>0</v>
      </c>
      <c r="AL10" s="83">
        <v>0</v>
      </c>
      <c r="AM10" s="83">
        <v>0</v>
      </c>
      <c r="AN10" s="83">
        <v>14400</v>
      </c>
      <c r="AO10" s="83">
        <v>14400</v>
      </c>
      <c r="AP10" s="83">
        <v>999</v>
      </c>
    </row>
    <row r="11" spans="1:42" ht="24.75" customHeight="1">
      <c r="A11" s="84" t="str">
        <f>IF(B11&lt;&gt;"", COUNTA($B$3:B11), "")</f>
        <v/>
      </c>
      <c r="B11" s="231" t="str">
        <f>AE12</f>
        <v/>
      </c>
      <c r="C11" s="231" t="str">
        <f>AF12</f>
        <v/>
      </c>
      <c r="D11" s="276"/>
      <c r="E11" s="283" cm="1">
        <f t="array" ref="E11">IFERROR(_xlfn.XLOOKUP(TRIM(B11), TRIM('DAY 1 SCORES'!$B$4:$B$152), 'DAY 1 SCORES'!$H$4:$H$152, 12), 12)</f>
        <v>120</v>
      </c>
      <c r="F11" s="283">
        <f>AK12</f>
        <v>0</v>
      </c>
      <c r="G11" s="284">
        <f>AH12</f>
        <v>0</v>
      </c>
      <c r="H11" s="237" t="str">
        <f>IF(B11="","", IFERROR(VLOOKUP(B11, 'DAY 1 SCORES'!B:G, 6, FALSE), 0))</f>
        <v/>
      </c>
      <c r="I11" s="284">
        <f>AG12</f>
        <v>0</v>
      </c>
      <c r="J11" s="276"/>
      <c r="K11" s="121" t="str" cm="1">
        <f t="array" ref="K11">IF(B11="", "", IFERROR(_xlfn.XLOOKUP(TRIM(B11), TRIM('DAY 2 SCORES'!$B$4:$B$152), 'DAY 2 SCORES'!$H$4:$H$152, 12), 12))</f>
        <v/>
      </c>
      <c r="L11" s="121">
        <f>AL12</f>
        <v>0</v>
      </c>
      <c r="M11" s="121">
        <f>AJ12</f>
        <v>0</v>
      </c>
      <c r="N11" s="84" t="str">
        <f>IF(B11="","", IFERROR(VLOOKUP(B11, 'DAY 2 SCORES'!B:G, 6, FALSE), 0))</f>
        <v/>
      </c>
      <c r="O11" s="84">
        <f>IFERROR(VLOOKUP($B11, 'DAY 2 SCORES'!$B:$H, 4, FALSE), 0)</f>
        <v>0</v>
      </c>
      <c r="Q11" s="233" t="str">
        <f>IF(B11="", "", E11+K11)</f>
        <v/>
      </c>
      <c r="R11" s="233" t="str">
        <f t="shared" si="0"/>
        <v/>
      </c>
      <c r="S11" s="287" t="str">
        <f>IF(B11="","", G11+M11)</f>
        <v/>
      </c>
      <c r="T11" s="287" t="str">
        <f>IF(B11="","", MAX(H11, N11))</f>
        <v/>
      </c>
      <c r="U11" s="287" t="str">
        <f t="shared" si="1"/>
        <v/>
      </c>
      <c r="W11" s="83">
        <f t="shared" si="2"/>
        <v>999</v>
      </c>
      <c r="AE11" s="83" t="str">
        <v/>
      </c>
      <c r="AF11" s="83" t="str">
        <v/>
      </c>
      <c r="AG11" s="83">
        <v>0</v>
      </c>
      <c r="AH11" s="83">
        <v>0</v>
      </c>
      <c r="AI11" s="83">
        <v>0</v>
      </c>
      <c r="AJ11" s="83">
        <v>0</v>
      </c>
      <c r="AK11" s="83">
        <v>0</v>
      </c>
      <c r="AL11" s="83">
        <v>0</v>
      </c>
      <c r="AM11" s="83">
        <v>0</v>
      </c>
      <c r="AN11" s="83">
        <v>14400</v>
      </c>
      <c r="AO11" s="83">
        <v>14400</v>
      </c>
      <c r="AP11" s="83">
        <v>999</v>
      </c>
    </row>
    <row r="12" spans="1:42" ht="24.75" customHeight="1">
      <c r="A12" s="84" t="str">
        <f>IF(B12&lt;&gt;"", COUNTA($B$3:B12), "")</f>
        <v/>
      </c>
      <c r="B12" s="231" t="str">
        <f>AE13</f>
        <v/>
      </c>
      <c r="C12" s="231" t="str">
        <f>AF13</f>
        <v/>
      </c>
      <c r="D12" s="276"/>
      <c r="E12" s="283" cm="1">
        <f t="array" ref="E12">IFERROR(_xlfn.XLOOKUP(TRIM(B12), TRIM('DAY 1 SCORES'!$B$4:$B$152), 'DAY 1 SCORES'!$H$4:$H$152, 12), 12)</f>
        <v>120</v>
      </c>
      <c r="F12" s="283">
        <f>AK13</f>
        <v>0</v>
      </c>
      <c r="G12" s="284">
        <f>AH13</f>
        <v>0</v>
      </c>
      <c r="H12" s="237" t="str">
        <f>IF(B12="","", IFERROR(VLOOKUP(B12, 'DAY 1 SCORES'!B:G, 6, FALSE), 0))</f>
        <v/>
      </c>
      <c r="I12" s="284">
        <f>AG13</f>
        <v>0</v>
      </c>
      <c r="J12" s="276"/>
      <c r="K12" s="121" t="str" cm="1">
        <f t="array" ref="K12">IF(B12="", "", IFERROR(_xlfn.XLOOKUP(TRIM(B12), TRIM('DAY 2 SCORES'!$B$4:$B$152), 'DAY 2 SCORES'!$H$4:$H$152, 12), 12))</f>
        <v/>
      </c>
      <c r="L12" s="121">
        <f>AL13</f>
        <v>0</v>
      </c>
      <c r="M12" s="121">
        <f>AJ13</f>
        <v>0</v>
      </c>
      <c r="N12" s="84" t="str">
        <f>IF(B12="","", IFERROR(VLOOKUP(B12, 'DAY 2 SCORES'!B:G, 6, FALSE), 0))</f>
        <v/>
      </c>
      <c r="O12" s="84">
        <f>IFERROR(VLOOKUP($B12, 'DAY 2 SCORES'!$B:$H, 4, FALSE), 0)</f>
        <v>0</v>
      </c>
      <c r="Q12" s="233" t="str">
        <f>IF(B12="", "", E12+K12)</f>
        <v/>
      </c>
      <c r="R12" s="233" t="str">
        <f t="shared" si="0"/>
        <v/>
      </c>
      <c r="S12" s="287" t="str">
        <f>IF(B12="","", G12+M12)</f>
        <v/>
      </c>
      <c r="T12" s="287" t="str">
        <f>IF(B12="","", MAX(H12, N12))</f>
        <v/>
      </c>
      <c r="U12" s="287" t="str">
        <f t="shared" si="1"/>
        <v/>
      </c>
      <c r="W12" s="83">
        <f t="shared" si="2"/>
        <v>999</v>
      </c>
      <c r="AE12" s="83" t="str">
        <v/>
      </c>
      <c r="AF12" s="83" t="str">
        <v/>
      </c>
      <c r="AG12" s="83">
        <v>0</v>
      </c>
      <c r="AH12" s="83">
        <v>0</v>
      </c>
      <c r="AI12" s="83">
        <v>0</v>
      </c>
      <c r="AJ12" s="83">
        <v>0</v>
      </c>
      <c r="AK12" s="83">
        <v>0</v>
      </c>
      <c r="AL12" s="83">
        <v>0</v>
      </c>
      <c r="AM12" s="83">
        <v>0</v>
      </c>
      <c r="AN12" s="83">
        <v>14400</v>
      </c>
      <c r="AO12" s="83">
        <v>14400</v>
      </c>
      <c r="AP12" s="83">
        <v>999</v>
      </c>
    </row>
    <row r="13" spans="1:42" ht="24.75" customHeight="1">
      <c r="A13" s="84" t="str">
        <f>IF(B13&lt;&gt;"", COUNTA($B$3:B13), "")</f>
        <v/>
      </c>
      <c r="B13" s="231" t="str">
        <f>AE14</f>
        <v/>
      </c>
      <c r="C13" s="231" t="str">
        <f>AF14</f>
        <v/>
      </c>
      <c r="D13" s="276"/>
      <c r="E13" s="283" cm="1">
        <f t="array" ref="E13">IFERROR(_xlfn.XLOOKUP(TRIM(B13), TRIM('DAY 1 SCORES'!$B$4:$B$152), 'DAY 1 SCORES'!$H$4:$H$152, 12), 12)</f>
        <v>120</v>
      </c>
      <c r="F13" s="283">
        <f>AK14</f>
        <v>0</v>
      </c>
      <c r="G13" s="284">
        <f>AH14</f>
        <v>0</v>
      </c>
      <c r="H13" s="237" t="str">
        <f>IF(B13="","", IFERROR(VLOOKUP(B13, 'DAY 1 SCORES'!B:G, 6, FALSE), 0))</f>
        <v/>
      </c>
      <c r="I13" s="284">
        <f>AG14</f>
        <v>0</v>
      </c>
      <c r="J13" s="276"/>
      <c r="K13" s="121" t="str" cm="1">
        <f t="array" ref="K13">IF(B13="", "", IFERROR(_xlfn.XLOOKUP(TRIM(B13), TRIM('DAY 2 SCORES'!$B$4:$B$152), 'DAY 2 SCORES'!$H$4:$H$152, 12), 12))</f>
        <v/>
      </c>
      <c r="L13" s="121">
        <f>AL14</f>
        <v>0</v>
      </c>
      <c r="M13" s="121">
        <f>AJ14</f>
        <v>0</v>
      </c>
      <c r="N13" s="84" t="str">
        <f>IF(B13="","", IFERROR(VLOOKUP(B13, 'DAY 2 SCORES'!B:G, 6, FALSE), 0))</f>
        <v/>
      </c>
      <c r="O13" s="84">
        <f>IFERROR(VLOOKUP($B13, 'DAY 2 SCORES'!$B:$H, 4, FALSE), 0)</f>
        <v>0</v>
      </c>
      <c r="Q13" s="233" t="str">
        <f>IF(B13="", "", E13+K13)</f>
        <v/>
      </c>
      <c r="R13" s="233" t="str">
        <f t="shared" si="0"/>
        <v/>
      </c>
      <c r="S13" s="287" t="str">
        <f>IF(B13="","", G13+M13)</f>
        <v/>
      </c>
      <c r="T13" s="287" t="str">
        <f>IF(B13="","", MAX(H13, N13))</f>
        <v/>
      </c>
      <c r="U13" s="287" t="str">
        <f t="shared" si="1"/>
        <v/>
      </c>
      <c r="W13" s="83">
        <f t="shared" si="2"/>
        <v>999</v>
      </c>
      <c r="AE13" s="83" t="str">
        <v/>
      </c>
      <c r="AF13" s="83" t="str">
        <v/>
      </c>
      <c r="AG13" s="83">
        <v>0</v>
      </c>
      <c r="AH13" s="83">
        <v>0</v>
      </c>
      <c r="AI13" s="83">
        <v>0</v>
      </c>
      <c r="AJ13" s="83">
        <v>0</v>
      </c>
      <c r="AK13" s="83">
        <v>0</v>
      </c>
      <c r="AL13" s="83">
        <v>0</v>
      </c>
      <c r="AM13" s="83">
        <v>0</v>
      </c>
      <c r="AN13" s="83">
        <v>14400</v>
      </c>
      <c r="AO13" s="83">
        <v>14400</v>
      </c>
      <c r="AP13" s="83">
        <v>999</v>
      </c>
    </row>
    <row r="14" spans="1:42" ht="24.75" customHeight="1">
      <c r="A14" s="84" t="str">
        <f>IF(B14&lt;&gt;"", COUNTA($B$3:B14), "")</f>
        <v/>
      </c>
      <c r="B14" s="231" t="str">
        <f>AE15</f>
        <v/>
      </c>
      <c r="C14" s="231" t="str">
        <f>AF15</f>
        <v/>
      </c>
      <c r="D14" s="276"/>
      <c r="E14" s="283" cm="1">
        <f t="array" ref="E14">IFERROR(_xlfn.XLOOKUP(TRIM(B14), TRIM('DAY 1 SCORES'!$B$4:$B$152), 'DAY 1 SCORES'!$H$4:$H$152, 12), 12)</f>
        <v>120</v>
      </c>
      <c r="F14" s="283">
        <f>AK15</f>
        <v>0</v>
      </c>
      <c r="G14" s="284">
        <f>AH15</f>
        <v>0</v>
      </c>
      <c r="H14" s="237" t="str">
        <f>IF(B14="","", IFERROR(VLOOKUP(B14, 'DAY 1 SCORES'!B:G, 6, FALSE), 0))</f>
        <v/>
      </c>
      <c r="I14" s="284">
        <f>AG15</f>
        <v>0</v>
      </c>
      <c r="J14" s="276"/>
      <c r="K14" s="121" t="str" cm="1">
        <f t="array" ref="K14">IF(B14="", "", IFERROR(_xlfn.XLOOKUP(TRIM(B14), TRIM('DAY 2 SCORES'!$B$4:$B$152), 'DAY 2 SCORES'!$H$4:$H$152, 12), 12))</f>
        <v/>
      </c>
      <c r="L14" s="121">
        <f>AL15</f>
        <v>0</v>
      </c>
      <c r="M14" s="121">
        <f>AJ15</f>
        <v>0</v>
      </c>
      <c r="N14" s="84" t="str">
        <f>IF(B14="","", IFERROR(VLOOKUP(B14, 'DAY 2 SCORES'!B:G, 6, FALSE), 0))</f>
        <v/>
      </c>
      <c r="O14" s="84">
        <f>IFERROR(VLOOKUP($B14, 'DAY 2 SCORES'!$B:$H, 4, FALSE), 0)</f>
        <v>0</v>
      </c>
      <c r="Q14" s="233" t="str">
        <f>IF(B14="", "", E14+K14)</f>
        <v/>
      </c>
      <c r="R14" s="233" t="str">
        <f t="shared" si="0"/>
        <v/>
      </c>
      <c r="S14" s="287" t="str">
        <f>IF(B14="","", G14+M14)</f>
        <v/>
      </c>
      <c r="T14" s="287" t="str">
        <f>IF(B14="","", MAX(H14, N14))</f>
        <v/>
      </c>
      <c r="U14" s="287" t="str">
        <f t="shared" si="1"/>
        <v/>
      </c>
      <c r="W14" s="83">
        <f t="shared" si="2"/>
        <v>999</v>
      </c>
      <c r="AE14" s="83" t="str">
        <v/>
      </c>
      <c r="AF14" s="83" t="str">
        <v/>
      </c>
      <c r="AG14" s="83">
        <v>0</v>
      </c>
      <c r="AH14" s="83">
        <v>0</v>
      </c>
      <c r="AI14" s="83">
        <v>0</v>
      </c>
      <c r="AJ14" s="83">
        <v>0</v>
      </c>
      <c r="AK14" s="83">
        <v>0</v>
      </c>
      <c r="AL14" s="83">
        <v>0</v>
      </c>
      <c r="AM14" s="83">
        <v>0</v>
      </c>
      <c r="AN14" s="83">
        <v>14400</v>
      </c>
      <c r="AO14" s="83">
        <v>14400</v>
      </c>
      <c r="AP14" s="83">
        <v>999</v>
      </c>
    </row>
    <row r="15" spans="1:42" ht="24.75" customHeight="1">
      <c r="A15" s="84" t="str">
        <f>IF(B15&lt;&gt;"", COUNTA($B$3:B15), "")</f>
        <v/>
      </c>
      <c r="B15" s="231" t="str">
        <f>AE16</f>
        <v/>
      </c>
      <c r="C15" s="231" t="str">
        <f>AF16</f>
        <v/>
      </c>
      <c r="D15" s="276"/>
      <c r="E15" s="283" cm="1">
        <f t="array" ref="E15">IFERROR(_xlfn.XLOOKUP(TRIM(B15), TRIM('DAY 1 SCORES'!$B$4:$B$152), 'DAY 1 SCORES'!$H$4:$H$152, 12), 12)</f>
        <v>120</v>
      </c>
      <c r="F15" s="283">
        <f>AK16</f>
        <v>0</v>
      </c>
      <c r="G15" s="284">
        <f>AH16</f>
        <v>0</v>
      </c>
      <c r="H15" s="237" t="str">
        <f>IF(B15="","", IFERROR(VLOOKUP(B15, 'DAY 1 SCORES'!B:G, 6, FALSE), 0))</f>
        <v/>
      </c>
      <c r="I15" s="284">
        <f>AG16</f>
        <v>0</v>
      </c>
      <c r="J15" s="276"/>
      <c r="K15" s="121" t="str" cm="1">
        <f t="array" ref="K15">IF(B15="", "", IFERROR(_xlfn.XLOOKUP(TRIM(B15), TRIM('DAY 2 SCORES'!$B$4:$B$152), 'DAY 2 SCORES'!$H$4:$H$152, 12), 12))</f>
        <v/>
      </c>
      <c r="L15" s="121">
        <f>AL16</f>
        <v>0</v>
      </c>
      <c r="M15" s="121">
        <f>AJ16</f>
        <v>0</v>
      </c>
      <c r="N15" s="84" t="str">
        <f>IF(B15="","", IFERROR(VLOOKUP(B15, 'DAY 2 SCORES'!B:G, 6, FALSE), 0))</f>
        <v/>
      </c>
      <c r="O15" s="84">
        <f>IFERROR(VLOOKUP($B15, 'DAY 2 SCORES'!$B:$H, 4, FALSE), 0)</f>
        <v>0</v>
      </c>
      <c r="Q15" s="233" t="str">
        <f>IF(B15="", "", E15+K15)</f>
        <v/>
      </c>
      <c r="R15" s="233" t="str">
        <f t="shared" si="0"/>
        <v/>
      </c>
      <c r="S15" s="287" t="str">
        <f>IF(B15="","", G15+M15)</f>
        <v/>
      </c>
      <c r="T15" s="287" t="str">
        <f>IF(B15="","", MAX(H15, N15))</f>
        <v/>
      </c>
      <c r="U15" s="287" t="str">
        <f t="shared" si="1"/>
        <v/>
      </c>
      <c r="W15" s="83">
        <f t="shared" si="2"/>
        <v>999</v>
      </c>
      <c r="AE15" s="83" t="str">
        <v/>
      </c>
      <c r="AF15" s="83" t="str">
        <v/>
      </c>
      <c r="AG15" s="83">
        <v>0</v>
      </c>
      <c r="AH15" s="83">
        <v>0</v>
      </c>
      <c r="AI15" s="83">
        <v>0</v>
      </c>
      <c r="AJ15" s="83">
        <v>0</v>
      </c>
      <c r="AK15" s="83">
        <v>0</v>
      </c>
      <c r="AL15" s="83">
        <v>0</v>
      </c>
      <c r="AM15" s="83">
        <v>0</v>
      </c>
      <c r="AN15" s="83">
        <v>14400</v>
      </c>
      <c r="AO15" s="83">
        <v>14400</v>
      </c>
      <c r="AP15" s="83">
        <v>999</v>
      </c>
    </row>
    <row r="16" spans="1:42" ht="24.75" customHeight="1">
      <c r="A16" s="84" t="str">
        <f>IF(B16&lt;&gt;"", COUNTA($B$3:B16), "")</f>
        <v/>
      </c>
      <c r="B16" s="231" t="str">
        <f>AE17</f>
        <v/>
      </c>
      <c r="C16" s="231" t="str">
        <f>AF17</f>
        <v/>
      </c>
      <c r="D16" s="276"/>
      <c r="E16" s="283" cm="1">
        <f t="array" ref="E16">IFERROR(_xlfn.XLOOKUP(TRIM(B16), TRIM('DAY 1 SCORES'!$B$4:$B$152), 'DAY 1 SCORES'!$H$4:$H$152, 12), 12)</f>
        <v>120</v>
      </c>
      <c r="F16" s="283">
        <f>AK17</f>
        <v>0</v>
      </c>
      <c r="G16" s="284">
        <f>AH17</f>
        <v>0</v>
      </c>
      <c r="H16" s="237" t="str">
        <f>IF(B16="","", IFERROR(VLOOKUP(B16, 'DAY 1 SCORES'!B:G, 6, FALSE), 0))</f>
        <v/>
      </c>
      <c r="I16" s="284">
        <f>AG17</f>
        <v>0</v>
      </c>
      <c r="J16" s="276"/>
      <c r="K16" s="121" t="str" cm="1">
        <f t="array" ref="K16">IF(B16="", "", IFERROR(_xlfn.XLOOKUP(TRIM(B16), TRIM('DAY 2 SCORES'!$B$4:$B$152), 'DAY 2 SCORES'!$H$4:$H$152, 12), 12))</f>
        <v/>
      </c>
      <c r="L16" s="121">
        <f>AL17</f>
        <v>0</v>
      </c>
      <c r="M16" s="121">
        <f>AJ17</f>
        <v>0</v>
      </c>
      <c r="N16" s="84" t="str">
        <f>IF(B16="","", IFERROR(VLOOKUP(B16, 'DAY 2 SCORES'!B:G, 6, FALSE), 0))</f>
        <v/>
      </c>
      <c r="O16" s="84">
        <f>IFERROR(VLOOKUP($B16, 'DAY 2 SCORES'!$B:$H, 4, FALSE), 0)</f>
        <v>0</v>
      </c>
      <c r="Q16" s="233" t="str">
        <f>IF(B16="", "", E16+K16)</f>
        <v/>
      </c>
      <c r="R16" s="233" t="str">
        <f t="shared" si="0"/>
        <v/>
      </c>
      <c r="S16" s="287" t="str">
        <f>IF(B16="","", G16+M16)</f>
        <v/>
      </c>
      <c r="T16" s="287" t="str">
        <f>IF(B16="","", MAX(H16, N16))</f>
        <v/>
      </c>
      <c r="U16" s="287" t="str">
        <f t="shared" si="1"/>
        <v/>
      </c>
      <c r="W16" s="83">
        <f t="shared" si="2"/>
        <v>999</v>
      </c>
      <c r="AE16" s="83" t="str">
        <v/>
      </c>
      <c r="AF16" s="83" t="str">
        <v/>
      </c>
      <c r="AG16" s="83">
        <v>0</v>
      </c>
      <c r="AH16" s="83">
        <v>0</v>
      </c>
      <c r="AI16" s="83">
        <v>0</v>
      </c>
      <c r="AJ16" s="83">
        <v>0</v>
      </c>
      <c r="AK16" s="83">
        <v>0</v>
      </c>
      <c r="AL16" s="83">
        <v>0</v>
      </c>
      <c r="AM16" s="83">
        <v>0</v>
      </c>
      <c r="AN16" s="83">
        <v>14400</v>
      </c>
      <c r="AO16" s="83">
        <v>14400</v>
      </c>
      <c r="AP16" s="83">
        <v>999</v>
      </c>
    </row>
    <row r="17" spans="1:42" ht="24.75" customHeight="1">
      <c r="A17" s="84" t="str">
        <f>IF(B17&lt;&gt;"", COUNTA($B$3:B17), "")</f>
        <v/>
      </c>
      <c r="B17" s="231" t="str">
        <f>AE18</f>
        <v/>
      </c>
      <c r="C17" s="231" t="str">
        <f>AF18</f>
        <v/>
      </c>
      <c r="D17" s="276"/>
      <c r="E17" s="283" cm="1">
        <f t="array" ref="E17">IFERROR(_xlfn.XLOOKUP(TRIM(B17), TRIM('DAY 1 SCORES'!$B$4:$B$152), 'DAY 1 SCORES'!$H$4:$H$152, 12), 12)</f>
        <v>120</v>
      </c>
      <c r="F17" s="283">
        <f>AK18</f>
        <v>0</v>
      </c>
      <c r="G17" s="284">
        <f>AH18</f>
        <v>0</v>
      </c>
      <c r="H17" s="237" t="str">
        <f>IF(B17="","", IFERROR(VLOOKUP(B17, 'DAY 1 SCORES'!B:G, 6, FALSE), 0))</f>
        <v/>
      </c>
      <c r="I17" s="284">
        <f>AG18</f>
        <v>0</v>
      </c>
      <c r="J17" s="276"/>
      <c r="K17" s="121" t="str" cm="1">
        <f t="array" ref="K17">IF(B17="", "", IFERROR(_xlfn.XLOOKUP(TRIM(B17), TRIM('DAY 2 SCORES'!$B$4:$B$152), 'DAY 2 SCORES'!$H$4:$H$152, 12), 12))</f>
        <v/>
      </c>
      <c r="L17" s="121">
        <f>AL18</f>
        <v>0</v>
      </c>
      <c r="M17" s="121">
        <f>AJ18</f>
        <v>0</v>
      </c>
      <c r="N17" s="84" t="str">
        <f>IF(B17="","", IFERROR(VLOOKUP(B17, 'DAY 2 SCORES'!B:G, 6, FALSE), 0))</f>
        <v/>
      </c>
      <c r="O17" s="84">
        <f>IFERROR(VLOOKUP($B17, 'DAY 2 SCORES'!$B:$H, 4, FALSE), 0)</f>
        <v>0</v>
      </c>
      <c r="Q17" s="233" t="str">
        <f>IF(B17="", "", E17+K17)</f>
        <v/>
      </c>
      <c r="R17" s="233" t="str">
        <f t="shared" si="0"/>
        <v/>
      </c>
      <c r="S17" s="287" t="str">
        <f>IF(B17="","", G17+M17)</f>
        <v/>
      </c>
      <c r="T17" s="287" t="str">
        <f>IF(B17="","", MAX(H17, N17))</f>
        <v/>
      </c>
      <c r="U17" s="287" t="str">
        <f t="shared" si="1"/>
        <v/>
      </c>
      <c r="W17" s="83">
        <f t="shared" si="2"/>
        <v>999</v>
      </c>
      <c r="AE17" s="83" t="str">
        <v/>
      </c>
      <c r="AF17" s="83" t="str">
        <v/>
      </c>
      <c r="AG17" s="83">
        <v>0</v>
      </c>
      <c r="AH17" s="83">
        <v>0</v>
      </c>
      <c r="AI17" s="83">
        <v>0</v>
      </c>
      <c r="AJ17" s="83">
        <v>0</v>
      </c>
      <c r="AK17" s="83">
        <v>0</v>
      </c>
      <c r="AL17" s="83">
        <v>0</v>
      </c>
      <c r="AM17" s="83">
        <v>0</v>
      </c>
      <c r="AN17" s="83">
        <v>14400</v>
      </c>
      <c r="AO17" s="83">
        <v>14400</v>
      </c>
      <c r="AP17" s="83">
        <v>999</v>
      </c>
    </row>
    <row r="18" spans="1:42" ht="24.75" customHeight="1">
      <c r="A18" s="84" t="str">
        <f>IF(B18&lt;&gt;"", COUNTA($B$3:B18), "")</f>
        <v/>
      </c>
      <c r="B18" s="231" t="str">
        <f>AE19</f>
        <v/>
      </c>
      <c r="C18" s="231" t="str">
        <f>AF19</f>
        <v/>
      </c>
      <c r="D18" s="276"/>
      <c r="E18" s="283" cm="1">
        <f t="array" ref="E18">IFERROR(_xlfn.XLOOKUP(TRIM(B18), TRIM('DAY 1 SCORES'!$B$4:$B$152), 'DAY 1 SCORES'!$H$4:$H$152, 12), 12)</f>
        <v>120</v>
      </c>
      <c r="F18" s="283">
        <f>AK19</f>
        <v>0</v>
      </c>
      <c r="G18" s="284">
        <f>AH19</f>
        <v>0</v>
      </c>
      <c r="H18" s="237" t="str">
        <f>IF(B18="","", IFERROR(VLOOKUP(B18, 'DAY 1 SCORES'!B:G, 6, FALSE), 0))</f>
        <v/>
      </c>
      <c r="I18" s="284">
        <f>AG19</f>
        <v>0</v>
      </c>
      <c r="J18" s="276"/>
      <c r="K18" s="121" t="str" cm="1">
        <f t="array" ref="K18">IF(B18="", "", IFERROR(_xlfn.XLOOKUP(TRIM(B18), TRIM('DAY 2 SCORES'!$B$4:$B$152), 'DAY 2 SCORES'!$H$4:$H$152, 12), 12))</f>
        <v/>
      </c>
      <c r="L18" s="121">
        <f>AL19</f>
        <v>0</v>
      </c>
      <c r="M18" s="121">
        <f>AJ19</f>
        <v>0</v>
      </c>
      <c r="N18" s="84" t="str">
        <f>IF(B18="","", IFERROR(VLOOKUP(B18, 'DAY 2 SCORES'!B:G, 6, FALSE), 0))</f>
        <v/>
      </c>
      <c r="O18" s="84">
        <f>IFERROR(VLOOKUP($B18, 'DAY 2 SCORES'!$B:$H, 4, FALSE), 0)</f>
        <v>0</v>
      </c>
      <c r="Q18" s="233" t="str">
        <f>IF(B18="", "", E18+K18)</f>
        <v/>
      </c>
      <c r="R18" s="233" t="str">
        <f t="shared" si="0"/>
        <v/>
      </c>
      <c r="S18" s="287" t="str">
        <f>IF(B18="","", G18+M18)</f>
        <v/>
      </c>
      <c r="T18" s="287" t="str">
        <f>IF(B18="","", MAX(H18, N18))</f>
        <v/>
      </c>
      <c r="U18" s="287" t="str">
        <f t="shared" si="1"/>
        <v/>
      </c>
      <c r="W18" s="83">
        <f t="shared" si="2"/>
        <v>999</v>
      </c>
      <c r="AE18" s="83" t="str">
        <v/>
      </c>
      <c r="AF18" s="83" t="str">
        <v/>
      </c>
      <c r="AG18" s="83">
        <v>0</v>
      </c>
      <c r="AH18" s="83">
        <v>0</v>
      </c>
      <c r="AI18" s="83">
        <v>0</v>
      </c>
      <c r="AJ18" s="83">
        <v>0</v>
      </c>
      <c r="AK18" s="83">
        <v>0</v>
      </c>
      <c r="AL18" s="83">
        <v>0</v>
      </c>
      <c r="AM18" s="83">
        <v>0</v>
      </c>
      <c r="AN18" s="83">
        <v>14400</v>
      </c>
      <c r="AO18" s="83">
        <v>14400</v>
      </c>
      <c r="AP18" s="83">
        <v>999</v>
      </c>
    </row>
    <row r="19" spans="1:42" ht="24.75" customHeight="1">
      <c r="A19" s="84" t="str">
        <f>IF(B19&lt;&gt;"", COUNTA($B$3:B19), "")</f>
        <v/>
      </c>
      <c r="B19" s="231" t="str">
        <f>AE20</f>
        <v/>
      </c>
      <c r="C19" s="231" t="str">
        <f>AF20</f>
        <v/>
      </c>
      <c r="D19" s="276"/>
      <c r="E19" s="283" cm="1">
        <f t="array" ref="E19">IFERROR(_xlfn.XLOOKUP(TRIM(B19), TRIM('DAY 1 SCORES'!$B$4:$B$152), 'DAY 1 SCORES'!$H$4:$H$152, 12), 12)</f>
        <v>120</v>
      </c>
      <c r="F19" s="283">
        <f>AK20</f>
        <v>0</v>
      </c>
      <c r="G19" s="284">
        <f>AH20</f>
        <v>0</v>
      </c>
      <c r="H19" s="237" t="str">
        <f>IF(B19="","", IFERROR(VLOOKUP(B19, 'DAY 1 SCORES'!B:G, 6, FALSE), 0))</f>
        <v/>
      </c>
      <c r="I19" s="284">
        <f>AG20</f>
        <v>0</v>
      </c>
      <c r="J19" s="276"/>
      <c r="K19" s="121" t="str" cm="1">
        <f t="array" ref="K19">IF(B19="", "", IFERROR(_xlfn.XLOOKUP(TRIM(B19), TRIM('DAY 2 SCORES'!$B$4:$B$152), 'DAY 2 SCORES'!$H$4:$H$152, 12), 12))</f>
        <v/>
      </c>
      <c r="L19" s="121">
        <f>AL20</f>
        <v>0</v>
      </c>
      <c r="M19" s="121">
        <f>AJ20</f>
        <v>0</v>
      </c>
      <c r="N19" s="84" t="str">
        <f>IF(B19="","", IFERROR(VLOOKUP(B19, 'DAY 2 SCORES'!B:G, 6, FALSE), 0))</f>
        <v/>
      </c>
      <c r="O19" s="84">
        <f>IFERROR(VLOOKUP($B19, 'DAY 2 SCORES'!$B:$H, 4, FALSE), 0)</f>
        <v>0</v>
      </c>
      <c r="Q19" s="233" t="str">
        <f>IF(B19="", "", E19+K19)</f>
        <v/>
      </c>
      <c r="R19" s="233" t="str">
        <f t="shared" si="0"/>
        <v/>
      </c>
      <c r="S19" s="287" t="str">
        <f>IF(B19="","", G19+M19)</f>
        <v/>
      </c>
      <c r="T19" s="287" t="str">
        <f>IF(B19="","", MAX(H19, N19))</f>
        <v/>
      </c>
      <c r="U19" s="287" t="str">
        <f t="shared" si="1"/>
        <v/>
      </c>
      <c r="W19" s="83">
        <f t="shared" si="2"/>
        <v>999</v>
      </c>
      <c r="AE19" s="83" t="str">
        <v/>
      </c>
      <c r="AF19" s="83" t="str">
        <v/>
      </c>
      <c r="AG19" s="83">
        <v>0</v>
      </c>
      <c r="AH19" s="83">
        <v>0</v>
      </c>
      <c r="AI19" s="83">
        <v>0</v>
      </c>
      <c r="AJ19" s="83">
        <v>0</v>
      </c>
      <c r="AK19" s="83">
        <v>0</v>
      </c>
      <c r="AL19" s="83">
        <v>0</v>
      </c>
      <c r="AM19" s="83">
        <v>0</v>
      </c>
      <c r="AN19" s="83">
        <v>14400</v>
      </c>
      <c r="AO19" s="83">
        <v>14400</v>
      </c>
      <c r="AP19" s="83">
        <v>999</v>
      </c>
    </row>
    <row r="20" spans="1:42" ht="24.75" customHeight="1">
      <c r="A20" s="84" t="str">
        <f>IF(B20&lt;&gt;"", COUNTA($B$3:B20), "")</f>
        <v/>
      </c>
      <c r="B20" s="231" t="str">
        <f>AE21</f>
        <v/>
      </c>
      <c r="C20" s="231" t="str">
        <f>AF21</f>
        <v/>
      </c>
      <c r="D20" s="276"/>
      <c r="E20" s="283" cm="1">
        <f t="array" ref="E20">IFERROR(_xlfn.XLOOKUP(TRIM(B20), TRIM('DAY 1 SCORES'!$B$4:$B$152), 'DAY 1 SCORES'!$H$4:$H$152, 12), 12)</f>
        <v>120</v>
      </c>
      <c r="F20" s="283">
        <f>AK21</f>
        <v>0</v>
      </c>
      <c r="G20" s="284">
        <f>AH21</f>
        <v>0</v>
      </c>
      <c r="H20" s="237" t="str">
        <f>IF(B20="","", IFERROR(VLOOKUP(B20, 'DAY 1 SCORES'!B:G, 6, FALSE), 0))</f>
        <v/>
      </c>
      <c r="I20" s="284">
        <f>AG21</f>
        <v>0</v>
      </c>
      <c r="J20" s="276"/>
      <c r="K20" s="121" t="str" cm="1">
        <f t="array" ref="K20">IF(B20="", "", IFERROR(_xlfn.XLOOKUP(TRIM(B20), TRIM('DAY 2 SCORES'!$B$4:$B$152), 'DAY 2 SCORES'!$H$4:$H$152, 12), 12))</f>
        <v/>
      </c>
      <c r="L20" s="121">
        <f>AL21</f>
        <v>0</v>
      </c>
      <c r="M20" s="121">
        <f>AJ21</f>
        <v>0</v>
      </c>
      <c r="N20" s="84" t="str">
        <f>IF(B20="","", IFERROR(VLOOKUP(B20, 'DAY 2 SCORES'!B:G, 6, FALSE), 0))</f>
        <v/>
      </c>
      <c r="O20" s="84">
        <f>IFERROR(VLOOKUP($B20, 'DAY 2 SCORES'!$B:$H, 4, FALSE), 0)</f>
        <v>0</v>
      </c>
      <c r="Q20" s="233" t="str">
        <f>IF(B20="", "", E20+K20)</f>
        <v/>
      </c>
      <c r="R20" s="233" t="str">
        <f t="shared" si="0"/>
        <v/>
      </c>
      <c r="S20" s="287" t="str">
        <f>IF(B20="","", G20+M20)</f>
        <v/>
      </c>
      <c r="T20" s="287" t="str">
        <f>IF(B20="","", MAX(H20, N20))</f>
        <v/>
      </c>
      <c r="U20" s="287" t="str">
        <f t="shared" si="1"/>
        <v/>
      </c>
      <c r="W20" s="83">
        <f t="shared" si="2"/>
        <v>999</v>
      </c>
      <c r="AE20" s="83" t="str">
        <v/>
      </c>
      <c r="AF20" s="83" t="str">
        <v/>
      </c>
      <c r="AG20" s="83">
        <v>0</v>
      </c>
      <c r="AH20" s="83">
        <v>0</v>
      </c>
      <c r="AI20" s="83">
        <v>0</v>
      </c>
      <c r="AJ20" s="83">
        <v>0</v>
      </c>
      <c r="AK20" s="83">
        <v>0</v>
      </c>
      <c r="AL20" s="83">
        <v>0</v>
      </c>
      <c r="AM20" s="83">
        <v>0</v>
      </c>
      <c r="AN20" s="83">
        <v>14400</v>
      </c>
      <c r="AO20" s="83">
        <v>14400</v>
      </c>
      <c r="AP20" s="83">
        <v>999</v>
      </c>
    </row>
    <row r="21" spans="1:42" ht="24.75" customHeight="1">
      <c r="A21" s="84" t="str">
        <f>IF(B21&lt;&gt;"", COUNTA($B$3:B21), "")</f>
        <v/>
      </c>
      <c r="B21" s="231" t="str">
        <f>AE22</f>
        <v/>
      </c>
      <c r="C21" s="231" t="str">
        <f>AF22</f>
        <v/>
      </c>
      <c r="D21" s="276"/>
      <c r="E21" s="283" cm="1">
        <f t="array" ref="E21">IFERROR(_xlfn.XLOOKUP(TRIM(B21), TRIM('DAY 1 SCORES'!$B$4:$B$152), 'DAY 1 SCORES'!$H$4:$H$152, 12), 12)</f>
        <v>120</v>
      </c>
      <c r="F21" s="283">
        <f>AK22</f>
        <v>0</v>
      </c>
      <c r="G21" s="284">
        <f>AH22</f>
        <v>0</v>
      </c>
      <c r="H21" s="237" t="str">
        <f>IF(B21="","", IFERROR(VLOOKUP(B21, 'DAY 1 SCORES'!B:G, 6, FALSE), 0))</f>
        <v/>
      </c>
      <c r="I21" s="284">
        <f>AG22</f>
        <v>0</v>
      </c>
      <c r="J21" s="276"/>
      <c r="K21" s="121" t="str" cm="1">
        <f t="array" ref="K21">IF(B21="", "", IFERROR(_xlfn.XLOOKUP(TRIM(B21), TRIM('DAY 2 SCORES'!$B$4:$B$152), 'DAY 2 SCORES'!$H$4:$H$152, 12), 12))</f>
        <v/>
      </c>
      <c r="L21" s="121">
        <f>AL22</f>
        <v>0</v>
      </c>
      <c r="M21" s="121">
        <f>AJ22</f>
        <v>0</v>
      </c>
      <c r="N21" s="84" t="str">
        <f>IF(B21="","", IFERROR(VLOOKUP(B21, 'DAY 2 SCORES'!B:G, 6, FALSE), 0))</f>
        <v/>
      </c>
      <c r="O21" s="84">
        <f>IFERROR(VLOOKUP($B21, 'DAY 2 SCORES'!$B:$H, 4, FALSE), 0)</f>
        <v>0</v>
      </c>
      <c r="Q21" s="233" t="str">
        <f>IF(B21="", "", E21+K21)</f>
        <v/>
      </c>
      <c r="R21" s="233" t="str">
        <f t="shared" si="0"/>
        <v/>
      </c>
      <c r="S21" s="287" t="str">
        <f>IF(B21="","", G21+M21)</f>
        <v/>
      </c>
      <c r="T21" s="287" t="str">
        <f>IF(B21="","", MAX(H21, N21))</f>
        <v/>
      </c>
      <c r="U21" s="287" t="str">
        <f t="shared" si="1"/>
        <v/>
      </c>
      <c r="W21" s="83">
        <f t="shared" si="2"/>
        <v>999</v>
      </c>
      <c r="AE21" s="83" t="str">
        <v/>
      </c>
      <c r="AF21" s="83" t="str">
        <v/>
      </c>
      <c r="AG21" s="83">
        <v>0</v>
      </c>
      <c r="AH21" s="83">
        <v>0</v>
      </c>
      <c r="AI21" s="83">
        <v>0</v>
      </c>
      <c r="AJ21" s="83">
        <v>0</v>
      </c>
      <c r="AK21" s="83">
        <v>0</v>
      </c>
      <c r="AL21" s="83">
        <v>0</v>
      </c>
      <c r="AM21" s="83">
        <v>0</v>
      </c>
      <c r="AN21" s="83">
        <v>14400</v>
      </c>
      <c r="AO21" s="83">
        <v>14400</v>
      </c>
      <c r="AP21" s="83">
        <v>999</v>
      </c>
    </row>
    <row r="22" spans="1:42" ht="24.75" customHeight="1">
      <c r="A22" s="84" t="str">
        <f>IF(B22&lt;&gt;"", COUNTA($B$3:B22), "")</f>
        <v/>
      </c>
      <c r="B22" s="231" t="str">
        <f>AE23</f>
        <v/>
      </c>
      <c r="C22" s="231" t="str">
        <f>AF23</f>
        <v/>
      </c>
      <c r="D22" s="276"/>
      <c r="E22" s="283" cm="1">
        <f t="array" ref="E22">IFERROR(_xlfn.XLOOKUP(TRIM(B22), TRIM('DAY 1 SCORES'!$B$4:$B$152), 'DAY 1 SCORES'!$H$4:$H$152, 12), 12)</f>
        <v>120</v>
      </c>
      <c r="F22" s="283">
        <f>AK23</f>
        <v>0</v>
      </c>
      <c r="G22" s="284">
        <f>AH23</f>
        <v>0</v>
      </c>
      <c r="H22" s="237" t="str">
        <f>IF(B22="","", IFERROR(VLOOKUP(B22, 'DAY 1 SCORES'!B:G, 6, FALSE), 0))</f>
        <v/>
      </c>
      <c r="I22" s="284">
        <f>AG23</f>
        <v>0</v>
      </c>
      <c r="J22" s="276"/>
      <c r="K22" s="121" t="str" cm="1">
        <f t="array" ref="K22">IF(B22="", "", IFERROR(_xlfn.XLOOKUP(TRIM(B22), TRIM('DAY 2 SCORES'!$B$4:$B$152), 'DAY 2 SCORES'!$H$4:$H$152, 12), 12))</f>
        <v/>
      </c>
      <c r="L22" s="121">
        <f>AL23</f>
        <v>0</v>
      </c>
      <c r="M22" s="121">
        <f>AJ23</f>
        <v>0</v>
      </c>
      <c r="N22" s="84" t="str">
        <f>IF(B22="","", IFERROR(VLOOKUP(B22, 'DAY 2 SCORES'!B:G, 6, FALSE), 0))</f>
        <v/>
      </c>
      <c r="O22" s="84">
        <f>IFERROR(VLOOKUP($B22, 'DAY 2 SCORES'!$B:$H, 4, FALSE), 0)</f>
        <v>0</v>
      </c>
      <c r="Q22" s="233" t="str">
        <f>IF(B22="", "", E22+K22)</f>
        <v/>
      </c>
      <c r="R22" s="233" t="str">
        <f t="shared" si="0"/>
        <v/>
      </c>
      <c r="S22" s="287" t="str">
        <f>IF(B22="","", G22+M22)</f>
        <v/>
      </c>
      <c r="T22" s="287" t="str">
        <f>IF(B22="","", MAX(H22, N22))</f>
        <v/>
      </c>
      <c r="U22" s="287" t="str">
        <f t="shared" si="1"/>
        <v/>
      </c>
      <c r="W22" s="83">
        <f t="shared" si="2"/>
        <v>999</v>
      </c>
      <c r="AE22" s="83" t="str">
        <v/>
      </c>
      <c r="AF22" s="83" t="str">
        <v/>
      </c>
      <c r="AG22" s="83">
        <v>0</v>
      </c>
      <c r="AH22" s="83">
        <v>0</v>
      </c>
      <c r="AI22" s="83">
        <v>0</v>
      </c>
      <c r="AJ22" s="83">
        <v>0</v>
      </c>
      <c r="AK22" s="83">
        <v>0</v>
      </c>
      <c r="AL22" s="83">
        <v>0</v>
      </c>
      <c r="AM22" s="83">
        <v>0</v>
      </c>
      <c r="AN22" s="83">
        <v>14400</v>
      </c>
      <c r="AO22" s="83">
        <v>14400</v>
      </c>
      <c r="AP22" s="83">
        <v>999</v>
      </c>
    </row>
    <row r="23" spans="1:42" ht="24.75" customHeight="1">
      <c r="A23" s="84" t="str">
        <f>IF(B23&lt;&gt;"", COUNTA($B$3:B23), "")</f>
        <v/>
      </c>
      <c r="B23" s="231" t="str">
        <f>AE24</f>
        <v/>
      </c>
      <c r="C23" s="231" t="str">
        <f>AF24</f>
        <v/>
      </c>
      <c r="D23" s="276"/>
      <c r="E23" s="283" cm="1">
        <f t="array" ref="E23">IFERROR(_xlfn.XLOOKUP(TRIM(B23), TRIM('DAY 1 SCORES'!$B$4:$B$152), 'DAY 1 SCORES'!$H$4:$H$152, 12), 12)</f>
        <v>120</v>
      </c>
      <c r="F23" s="283">
        <f>AK24</f>
        <v>0</v>
      </c>
      <c r="G23" s="284">
        <f>AH24</f>
        <v>0</v>
      </c>
      <c r="H23" s="237" t="str">
        <f>IF(B23="","", IFERROR(VLOOKUP(B23, 'DAY 1 SCORES'!B:G, 6, FALSE), 0))</f>
        <v/>
      </c>
      <c r="I23" s="284">
        <f>AG24</f>
        <v>0</v>
      </c>
      <c r="J23" s="276"/>
      <c r="K23" s="121" t="str" cm="1">
        <f t="array" ref="K23">IF(B23="", "", IFERROR(_xlfn.XLOOKUP(TRIM(B23), TRIM('DAY 2 SCORES'!$B$4:$B$152), 'DAY 2 SCORES'!$H$4:$H$152, 12), 12))</f>
        <v/>
      </c>
      <c r="L23" s="121">
        <f>AL24</f>
        <v>0</v>
      </c>
      <c r="M23" s="121">
        <f>AJ24</f>
        <v>0</v>
      </c>
      <c r="N23" s="84" t="str">
        <f>IF(B23="","", IFERROR(VLOOKUP(B23, 'DAY 2 SCORES'!B:G, 6, FALSE), 0))</f>
        <v/>
      </c>
      <c r="O23" s="84">
        <f>IFERROR(VLOOKUP($B23, 'DAY 2 SCORES'!$B:$H, 4, FALSE), 0)</f>
        <v>0</v>
      </c>
      <c r="Q23" s="233" t="str">
        <f>IF(B23="", "", E23+K23)</f>
        <v/>
      </c>
      <c r="R23" s="233" t="str">
        <f t="shared" si="0"/>
        <v/>
      </c>
      <c r="S23" s="287" t="str">
        <f>IF(B23="","", G23+M23)</f>
        <v/>
      </c>
      <c r="T23" s="287" t="str">
        <f>IF(B23="","", MAX(H23, N23))</f>
        <v/>
      </c>
      <c r="U23" s="287" t="str">
        <f t="shared" si="1"/>
        <v/>
      </c>
      <c r="W23" s="83">
        <f t="shared" si="2"/>
        <v>999</v>
      </c>
      <c r="AE23" s="83" t="str">
        <v/>
      </c>
      <c r="AF23" s="83" t="str">
        <v/>
      </c>
      <c r="AG23" s="83">
        <v>0</v>
      </c>
      <c r="AH23" s="83">
        <v>0</v>
      </c>
      <c r="AI23" s="83">
        <v>0</v>
      </c>
      <c r="AJ23" s="83">
        <v>0</v>
      </c>
      <c r="AK23" s="83">
        <v>0</v>
      </c>
      <c r="AL23" s="83">
        <v>0</v>
      </c>
      <c r="AM23" s="83">
        <v>0</v>
      </c>
      <c r="AN23" s="83">
        <v>14400</v>
      </c>
      <c r="AO23" s="83">
        <v>14400</v>
      </c>
      <c r="AP23" s="83">
        <v>999</v>
      </c>
    </row>
    <row r="24" spans="1:42" ht="24.75" customHeight="1">
      <c r="A24" s="84" t="str">
        <f>IF(B24&lt;&gt;"", COUNTA($B$3:B24), "")</f>
        <v/>
      </c>
      <c r="B24" s="231" t="str">
        <f>AE25</f>
        <v/>
      </c>
      <c r="C24" s="231" t="str">
        <f>AF25</f>
        <v/>
      </c>
      <c r="D24" s="276"/>
      <c r="E24" s="283" cm="1">
        <f t="array" ref="E24">IFERROR(_xlfn.XLOOKUP(TRIM(B24), TRIM('DAY 1 SCORES'!$B$4:$B$152), 'DAY 1 SCORES'!$H$4:$H$152, 12), 12)</f>
        <v>120</v>
      </c>
      <c r="F24" s="283">
        <f>AK25</f>
        <v>0</v>
      </c>
      <c r="G24" s="284">
        <f>AH25</f>
        <v>0</v>
      </c>
      <c r="H24" s="237" t="str">
        <f>IF(B24="","", IFERROR(VLOOKUP(B24, 'DAY 1 SCORES'!B:G, 6, FALSE), 0))</f>
        <v/>
      </c>
      <c r="I24" s="284">
        <f>AG25</f>
        <v>0</v>
      </c>
      <c r="J24" s="276"/>
      <c r="K24" s="121" t="str" cm="1">
        <f t="array" ref="K24">IF(B24="", "", IFERROR(_xlfn.XLOOKUP(TRIM(B24), TRIM('DAY 2 SCORES'!$B$4:$B$152), 'DAY 2 SCORES'!$H$4:$H$152, 12), 12))</f>
        <v/>
      </c>
      <c r="L24" s="121">
        <f>AL25</f>
        <v>0</v>
      </c>
      <c r="M24" s="121">
        <f>AJ25</f>
        <v>0</v>
      </c>
      <c r="N24" s="84" t="str">
        <f>IF(B24="","", IFERROR(VLOOKUP(B24, 'DAY 2 SCORES'!B:G, 6, FALSE), 0))</f>
        <v/>
      </c>
      <c r="O24" s="84">
        <f>IFERROR(VLOOKUP($B24, 'DAY 2 SCORES'!$B:$H, 4, FALSE), 0)</f>
        <v>0</v>
      </c>
      <c r="Q24" s="233" t="str">
        <f>IF(B24="", "", E24+K24)</f>
        <v/>
      </c>
      <c r="R24" s="233" t="str">
        <f t="shared" si="0"/>
        <v/>
      </c>
      <c r="S24" s="287" t="str">
        <f>IF(B24="","", G24+M24)</f>
        <v/>
      </c>
      <c r="T24" s="287" t="str">
        <f>IF(B24="","", MAX(H24, N24))</f>
        <v/>
      </c>
      <c r="U24" s="287" t="str">
        <f t="shared" si="1"/>
        <v/>
      </c>
      <c r="W24" s="83">
        <f t="shared" si="2"/>
        <v>999</v>
      </c>
      <c r="AE24" s="83" t="str">
        <v/>
      </c>
      <c r="AF24" s="83" t="str">
        <v/>
      </c>
      <c r="AG24" s="83">
        <v>0</v>
      </c>
      <c r="AH24" s="83">
        <v>0</v>
      </c>
      <c r="AI24" s="83">
        <v>0</v>
      </c>
      <c r="AJ24" s="83">
        <v>0</v>
      </c>
      <c r="AK24" s="83">
        <v>0</v>
      </c>
      <c r="AL24" s="83">
        <v>0</v>
      </c>
      <c r="AM24" s="83">
        <v>0</v>
      </c>
      <c r="AN24" s="83">
        <v>14400</v>
      </c>
      <c r="AO24" s="83">
        <v>14400</v>
      </c>
      <c r="AP24" s="83">
        <v>999</v>
      </c>
    </row>
    <row r="25" spans="1:42" ht="24.75" customHeight="1">
      <c r="A25" s="84" t="str">
        <f>IF(B25&lt;&gt;"", COUNTA($B$3:B25), "")</f>
        <v/>
      </c>
      <c r="B25" s="231" t="str">
        <f>AE26</f>
        <v/>
      </c>
      <c r="C25" s="231" t="str">
        <f>AF26</f>
        <v/>
      </c>
      <c r="D25" s="276"/>
      <c r="E25" s="283" cm="1">
        <f t="array" ref="E25">IFERROR(_xlfn.XLOOKUP(TRIM(B25), TRIM('DAY 1 SCORES'!$B$4:$B$152), 'DAY 1 SCORES'!$H$4:$H$152, 12), 12)</f>
        <v>120</v>
      </c>
      <c r="F25" s="283">
        <f>AK26</f>
        <v>0</v>
      </c>
      <c r="G25" s="284">
        <f>AH26</f>
        <v>0</v>
      </c>
      <c r="H25" s="237" t="str">
        <f>IF(B25="","", IFERROR(VLOOKUP(B25, 'DAY 1 SCORES'!B:G, 6, FALSE), 0))</f>
        <v/>
      </c>
      <c r="I25" s="284">
        <f>AG26</f>
        <v>0</v>
      </c>
      <c r="J25" s="276"/>
      <c r="K25" s="121" t="str" cm="1">
        <f t="array" ref="K25">IF(B25="", "", IFERROR(_xlfn.XLOOKUP(TRIM(B25), TRIM('DAY 2 SCORES'!$B$4:$B$152), 'DAY 2 SCORES'!$H$4:$H$152, 12), 12))</f>
        <v/>
      </c>
      <c r="L25" s="121">
        <f>AL26</f>
        <v>0</v>
      </c>
      <c r="M25" s="121">
        <f>AJ26</f>
        <v>0</v>
      </c>
      <c r="N25" s="84" t="str">
        <f>IF(B25="","", IFERROR(VLOOKUP(B25, 'DAY 2 SCORES'!B:G, 6, FALSE), 0))</f>
        <v/>
      </c>
      <c r="O25" s="84">
        <f>IFERROR(VLOOKUP($B25, 'DAY 2 SCORES'!$B:$H, 4, FALSE), 0)</f>
        <v>0</v>
      </c>
      <c r="Q25" s="233" t="str">
        <f>IF(B25="", "", E25+K25)</f>
        <v/>
      </c>
      <c r="R25" s="233" t="str">
        <f t="shared" si="0"/>
        <v/>
      </c>
      <c r="S25" s="287" t="str">
        <f>IF(B25="","", G25+M25)</f>
        <v/>
      </c>
      <c r="T25" s="287" t="str">
        <f>IF(B25="","", MAX(H25, N25))</f>
        <v/>
      </c>
      <c r="U25" s="287" t="str">
        <f t="shared" si="1"/>
        <v/>
      </c>
      <c r="W25" s="83">
        <f t="shared" si="2"/>
        <v>999</v>
      </c>
      <c r="AE25" s="83" t="str">
        <v/>
      </c>
      <c r="AF25" s="83" t="str">
        <v/>
      </c>
      <c r="AG25" s="83">
        <v>0</v>
      </c>
      <c r="AH25" s="83">
        <v>0</v>
      </c>
      <c r="AI25" s="83">
        <v>0</v>
      </c>
      <c r="AJ25" s="83">
        <v>0</v>
      </c>
      <c r="AK25" s="83">
        <v>0</v>
      </c>
      <c r="AL25" s="83">
        <v>0</v>
      </c>
      <c r="AM25" s="83">
        <v>0</v>
      </c>
      <c r="AN25" s="83">
        <v>14400</v>
      </c>
      <c r="AO25" s="83">
        <v>14400</v>
      </c>
      <c r="AP25" s="83">
        <v>999</v>
      </c>
    </row>
    <row r="26" spans="1:42" ht="24.75" customHeight="1">
      <c r="A26" s="84" t="str">
        <f>IF(B26&lt;&gt;"", COUNTA($B$3:B26), "")</f>
        <v/>
      </c>
      <c r="B26" s="231" t="str">
        <f>AE27</f>
        <v/>
      </c>
      <c r="C26" s="231" t="str">
        <f>AF27</f>
        <v/>
      </c>
      <c r="D26" s="276"/>
      <c r="E26" s="283" cm="1">
        <f t="array" ref="E26">IFERROR(_xlfn.XLOOKUP(TRIM(B26), TRIM('DAY 1 SCORES'!$B$4:$B$152), 'DAY 1 SCORES'!$H$4:$H$152, 12), 12)</f>
        <v>120</v>
      </c>
      <c r="F26" s="283">
        <f>AK27</f>
        <v>0</v>
      </c>
      <c r="G26" s="284">
        <f>AH27</f>
        <v>0</v>
      </c>
      <c r="H26" s="237" t="str">
        <f>IF(B26="","", IFERROR(VLOOKUP(B26, 'DAY 1 SCORES'!B:G, 6, FALSE), 0))</f>
        <v/>
      </c>
      <c r="I26" s="284">
        <f>AG27</f>
        <v>0</v>
      </c>
      <c r="J26" s="276"/>
      <c r="K26" s="121" t="str" cm="1">
        <f t="array" ref="K26">IF(B26="", "", IFERROR(_xlfn.XLOOKUP(TRIM(B26), TRIM('DAY 2 SCORES'!$B$4:$B$152), 'DAY 2 SCORES'!$H$4:$H$152, 12), 12))</f>
        <v/>
      </c>
      <c r="L26" s="121">
        <f>AL27</f>
        <v>0</v>
      </c>
      <c r="M26" s="121">
        <f>AJ27</f>
        <v>0</v>
      </c>
      <c r="N26" s="84" t="str">
        <f>IF(B26="","", IFERROR(VLOOKUP(B26, 'DAY 2 SCORES'!B:G, 6, FALSE), 0))</f>
        <v/>
      </c>
      <c r="O26" s="84">
        <f>IFERROR(VLOOKUP($B26, 'DAY 2 SCORES'!$B:$H, 4, FALSE), 0)</f>
        <v>0</v>
      </c>
      <c r="Q26" s="233" t="str">
        <f>IF(B26="", "", E26+K26)</f>
        <v/>
      </c>
      <c r="R26" s="233" t="str">
        <f t="shared" si="0"/>
        <v/>
      </c>
      <c r="S26" s="287" t="str">
        <f>IF(B26="","", G26+M26)</f>
        <v/>
      </c>
      <c r="T26" s="287" t="str">
        <f>IF(B26="","", MAX(H26, N26))</f>
        <v/>
      </c>
      <c r="U26" s="287" t="str">
        <f t="shared" si="1"/>
        <v/>
      </c>
      <c r="W26" s="83">
        <f t="shared" si="2"/>
        <v>999</v>
      </c>
      <c r="AE26" s="83" t="str">
        <v/>
      </c>
      <c r="AF26" s="83" t="str">
        <v/>
      </c>
      <c r="AG26" s="83">
        <v>0</v>
      </c>
      <c r="AH26" s="83">
        <v>0</v>
      </c>
      <c r="AI26" s="83">
        <v>0</v>
      </c>
      <c r="AJ26" s="83">
        <v>0</v>
      </c>
      <c r="AK26" s="83">
        <v>0</v>
      </c>
      <c r="AL26" s="83">
        <v>0</v>
      </c>
      <c r="AM26" s="83">
        <v>0</v>
      </c>
      <c r="AN26" s="83">
        <v>14400</v>
      </c>
      <c r="AO26" s="83">
        <v>14400</v>
      </c>
      <c r="AP26" s="83">
        <v>999</v>
      </c>
    </row>
    <row r="27" spans="1:42" ht="24.75" customHeight="1">
      <c r="A27" s="84" t="str">
        <f>IF(B27&lt;&gt;"", COUNTA($B$3:B27), "")</f>
        <v/>
      </c>
      <c r="B27" s="231" t="str">
        <f>AE28</f>
        <v/>
      </c>
      <c r="C27" s="231" t="str">
        <f>AF28</f>
        <v/>
      </c>
      <c r="D27" s="276"/>
      <c r="E27" s="283" cm="1">
        <f t="array" ref="E27">IFERROR(_xlfn.XLOOKUP(TRIM(B27), TRIM('DAY 1 SCORES'!$B$4:$B$152), 'DAY 1 SCORES'!$H$4:$H$152, 12), 12)</f>
        <v>120</v>
      </c>
      <c r="F27" s="283">
        <f>AK28</f>
        <v>0</v>
      </c>
      <c r="G27" s="284">
        <f>AH28</f>
        <v>0</v>
      </c>
      <c r="H27" s="237" t="str">
        <f>IF(B27="","", IFERROR(VLOOKUP(B27, 'DAY 1 SCORES'!B:G, 6, FALSE), 0))</f>
        <v/>
      </c>
      <c r="I27" s="284">
        <f>AG28</f>
        <v>0</v>
      </c>
      <c r="J27" s="276"/>
      <c r="K27" s="121" t="str" cm="1">
        <f t="array" ref="K27">IF(B27="", "", IFERROR(_xlfn.XLOOKUP(TRIM(B27), TRIM('DAY 2 SCORES'!$B$4:$B$152), 'DAY 2 SCORES'!$H$4:$H$152, 12), 12))</f>
        <v/>
      </c>
      <c r="L27" s="121">
        <f>AL28</f>
        <v>0</v>
      </c>
      <c r="M27" s="121">
        <f>AJ28</f>
        <v>0</v>
      </c>
      <c r="N27" s="84" t="str">
        <f>IF(B27="","", IFERROR(VLOOKUP(B27, 'DAY 2 SCORES'!B:G, 6, FALSE), 0))</f>
        <v/>
      </c>
      <c r="O27" s="84">
        <f>IFERROR(VLOOKUP($B27, 'DAY 2 SCORES'!$B:$H, 4, FALSE), 0)</f>
        <v>0</v>
      </c>
      <c r="Q27" s="233" t="str">
        <f>IF(B27="", "", E27+K27)</f>
        <v/>
      </c>
      <c r="R27" s="233" t="str">
        <f t="shared" si="0"/>
        <v/>
      </c>
      <c r="S27" s="287" t="str">
        <f>IF(B27="","", G27+M27)</f>
        <v/>
      </c>
      <c r="T27" s="287" t="str">
        <f>IF(B27="","", MAX(H27, N27))</f>
        <v/>
      </c>
      <c r="U27" s="287" t="str">
        <f t="shared" si="1"/>
        <v/>
      </c>
      <c r="W27" s="83">
        <f t="shared" si="2"/>
        <v>999</v>
      </c>
      <c r="AE27" s="83" t="str">
        <v/>
      </c>
      <c r="AF27" s="83" t="str">
        <v/>
      </c>
      <c r="AG27" s="83">
        <v>0</v>
      </c>
      <c r="AH27" s="83">
        <v>0</v>
      </c>
      <c r="AI27" s="83">
        <v>0</v>
      </c>
      <c r="AJ27" s="83">
        <v>0</v>
      </c>
      <c r="AK27" s="83">
        <v>0</v>
      </c>
      <c r="AL27" s="83">
        <v>0</v>
      </c>
      <c r="AM27" s="83">
        <v>0</v>
      </c>
      <c r="AN27" s="83">
        <v>14400</v>
      </c>
      <c r="AO27" s="83">
        <v>14400</v>
      </c>
      <c r="AP27" s="83">
        <v>999</v>
      </c>
    </row>
    <row r="28" spans="1:42" ht="24.75" customHeight="1">
      <c r="A28" s="84" t="str">
        <f>IF(B28&lt;&gt;"", COUNTA($B$3:B28), "")</f>
        <v/>
      </c>
      <c r="B28" s="231" t="str">
        <f>AE29</f>
        <v/>
      </c>
      <c r="C28" s="231" t="str">
        <f>AF29</f>
        <v/>
      </c>
      <c r="D28" s="276"/>
      <c r="E28" s="283" cm="1">
        <f t="array" ref="E28">IFERROR(_xlfn.XLOOKUP(TRIM(B28), TRIM('DAY 1 SCORES'!$B$4:$B$152), 'DAY 1 SCORES'!$H$4:$H$152, 12), 12)</f>
        <v>120</v>
      </c>
      <c r="F28" s="283">
        <f>AK29</f>
        <v>0</v>
      </c>
      <c r="G28" s="284">
        <f>AH29</f>
        <v>0</v>
      </c>
      <c r="H28" s="237" t="str">
        <f>IF(B28="","", IFERROR(VLOOKUP(B28, 'DAY 1 SCORES'!B:G, 6, FALSE), 0))</f>
        <v/>
      </c>
      <c r="I28" s="284">
        <f>AG29</f>
        <v>0</v>
      </c>
      <c r="J28" s="276"/>
      <c r="K28" s="121" t="str" cm="1">
        <f t="array" ref="K28">IF(B28="", "", IFERROR(_xlfn.XLOOKUP(TRIM(B28), TRIM('DAY 2 SCORES'!$B$4:$B$152), 'DAY 2 SCORES'!$H$4:$H$152, 12), 12))</f>
        <v/>
      </c>
      <c r="L28" s="121">
        <f>AL29</f>
        <v>0</v>
      </c>
      <c r="M28" s="121">
        <f>AJ29</f>
        <v>0</v>
      </c>
      <c r="N28" s="84" t="str">
        <f>IF(B28="","", IFERROR(VLOOKUP(B28, 'DAY 2 SCORES'!B:G, 6, FALSE), 0))</f>
        <v/>
      </c>
      <c r="O28" s="84">
        <f>IFERROR(VLOOKUP($B28, 'DAY 2 SCORES'!$B:$H, 4, FALSE), 0)</f>
        <v>0</v>
      </c>
      <c r="Q28" s="233" t="str">
        <f>IF(B28="", "", E28+K28)</f>
        <v/>
      </c>
      <c r="R28" s="233" t="str">
        <f t="shared" si="0"/>
        <v/>
      </c>
      <c r="S28" s="287" t="str">
        <f>IF(B28="","", G28+M28)</f>
        <v/>
      </c>
      <c r="T28" s="287" t="str">
        <f>IF(B28="","", MAX(H28, N28))</f>
        <v/>
      </c>
      <c r="U28" s="287" t="str">
        <f t="shared" si="1"/>
        <v/>
      </c>
      <c r="W28" s="83">
        <f t="shared" si="2"/>
        <v>999</v>
      </c>
      <c r="AE28" s="83" t="str">
        <v/>
      </c>
      <c r="AF28" s="83" t="str">
        <v/>
      </c>
      <c r="AG28" s="83">
        <v>0</v>
      </c>
      <c r="AH28" s="83">
        <v>0</v>
      </c>
      <c r="AI28" s="83">
        <v>0</v>
      </c>
      <c r="AJ28" s="83">
        <v>0</v>
      </c>
      <c r="AK28" s="83">
        <v>0</v>
      </c>
      <c r="AL28" s="83">
        <v>0</v>
      </c>
      <c r="AM28" s="83">
        <v>0</v>
      </c>
      <c r="AN28" s="83">
        <v>14400</v>
      </c>
      <c r="AO28" s="83">
        <v>14400</v>
      </c>
      <c r="AP28" s="83">
        <v>999</v>
      </c>
    </row>
    <row r="29" spans="1:42" ht="24.75" customHeight="1">
      <c r="A29" s="84" t="str">
        <f>IF(B29&lt;&gt;"", COUNTA($B$3:B29), "")</f>
        <v/>
      </c>
      <c r="B29" s="231" t="str">
        <f>AE30</f>
        <v/>
      </c>
      <c r="C29" s="231" t="str">
        <f>AF30</f>
        <v/>
      </c>
      <c r="D29" s="276"/>
      <c r="E29" s="283" cm="1">
        <f t="array" ref="E29">IFERROR(_xlfn.XLOOKUP(TRIM(B29), TRIM('DAY 1 SCORES'!$B$4:$B$152), 'DAY 1 SCORES'!$H$4:$H$152, 12), 12)</f>
        <v>120</v>
      </c>
      <c r="F29" s="283">
        <f>AK30</f>
        <v>0</v>
      </c>
      <c r="G29" s="284">
        <f>AH30</f>
        <v>0</v>
      </c>
      <c r="H29" s="237" t="str">
        <f>IF(B29="","", IFERROR(VLOOKUP(B29, 'DAY 1 SCORES'!B:G, 6, FALSE), 0))</f>
        <v/>
      </c>
      <c r="I29" s="284">
        <f>AG30</f>
        <v>0</v>
      </c>
      <c r="J29" s="276"/>
      <c r="K29" s="121" t="str" cm="1">
        <f t="array" ref="K29">IF(B29="", "", IFERROR(_xlfn.XLOOKUP(TRIM(B29), TRIM('DAY 2 SCORES'!$B$4:$B$152), 'DAY 2 SCORES'!$H$4:$H$152, 12), 12))</f>
        <v/>
      </c>
      <c r="L29" s="121">
        <f>AL30</f>
        <v>0</v>
      </c>
      <c r="M29" s="121">
        <f>AJ30</f>
        <v>0</v>
      </c>
      <c r="N29" s="84" t="str">
        <f>IF(B29="","", IFERROR(VLOOKUP(B29, 'DAY 2 SCORES'!B:G, 6, FALSE), 0))</f>
        <v/>
      </c>
      <c r="O29" s="84">
        <f>IFERROR(VLOOKUP($B29, 'DAY 2 SCORES'!$B:$H, 4, FALSE), 0)</f>
        <v>0</v>
      </c>
      <c r="Q29" s="233" t="str">
        <f>IF(B29="", "", E29+K29)</f>
        <v/>
      </c>
      <c r="R29" s="233" t="str">
        <f t="shared" si="0"/>
        <v/>
      </c>
      <c r="S29" s="287" t="str">
        <f>IF(B29="","", G29+M29)</f>
        <v/>
      </c>
      <c r="T29" s="287" t="str">
        <f>IF(B29="","", MAX(H29, N29))</f>
        <v/>
      </c>
      <c r="U29" s="287" t="str">
        <f t="shared" si="1"/>
        <v/>
      </c>
      <c r="W29" s="83">
        <f t="shared" si="2"/>
        <v>999</v>
      </c>
      <c r="AE29" s="83" t="str">
        <v/>
      </c>
      <c r="AF29" s="83" t="str">
        <v/>
      </c>
      <c r="AG29" s="83">
        <v>0</v>
      </c>
      <c r="AH29" s="83">
        <v>0</v>
      </c>
      <c r="AI29" s="83">
        <v>0</v>
      </c>
      <c r="AJ29" s="83">
        <v>0</v>
      </c>
      <c r="AK29" s="83">
        <v>0</v>
      </c>
      <c r="AL29" s="83">
        <v>0</v>
      </c>
      <c r="AM29" s="83">
        <v>0</v>
      </c>
      <c r="AN29" s="83">
        <v>14400</v>
      </c>
      <c r="AO29" s="83">
        <v>14400</v>
      </c>
      <c r="AP29" s="83">
        <v>999</v>
      </c>
    </row>
    <row r="30" spans="1:42" ht="24.75" customHeight="1">
      <c r="A30" s="84" t="str">
        <f>IF(B30&lt;&gt;"", COUNTA($B$3:B30), "")</f>
        <v/>
      </c>
      <c r="B30" s="231" t="str">
        <f>AE31</f>
        <v/>
      </c>
      <c r="C30" s="231" t="str">
        <f>AF31</f>
        <v/>
      </c>
      <c r="D30" s="276"/>
      <c r="E30" s="283" cm="1">
        <f t="array" ref="E30">IFERROR(_xlfn.XLOOKUP(TRIM(B30), TRIM('DAY 1 SCORES'!$B$4:$B$152), 'DAY 1 SCORES'!$H$4:$H$152, 12), 12)</f>
        <v>120</v>
      </c>
      <c r="F30" s="283">
        <f>AK31</f>
        <v>0</v>
      </c>
      <c r="G30" s="284">
        <f>AH31</f>
        <v>0</v>
      </c>
      <c r="H30" s="237" t="str">
        <f>IF(B30="","", IFERROR(VLOOKUP(B30, 'DAY 1 SCORES'!B:G, 6, FALSE), 0))</f>
        <v/>
      </c>
      <c r="I30" s="284">
        <f>AG31</f>
        <v>0</v>
      </c>
      <c r="J30" s="276"/>
      <c r="K30" s="121" t="str" cm="1">
        <f t="array" ref="K30">IF(B30="", "", IFERROR(_xlfn.XLOOKUP(TRIM(B30), TRIM('DAY 2 SCORES'!$B$4:$B$152), 'DAY 2 SCORES'!$H$4:$H$152, 12), 12))</f>
        <v/>
      </c>
      <c r="L30" s="121">
        <f>AL31</f>
        <v>0</v>
      </c>
      <c r="M30" s="121">
        <f>AJ31</f>
        <v>0</v>
      </c>
      <c r="N30" s="84" t="str">
        <f>IF(B30="","", IFERROR(VLOOKUP(B30, 'DAY 2 SCORES'!B:G, 6, FALSE), 0))</f>
        <v/>
      </c>
      <c r="O30" s="84">
        <f>IFERROR(VLOOKUP($B30, 'DAY 2 SCORES'!$B:$H, 4, FALSE), 0)</f>
        <v>0</v>
      </c>
      <c r="Q30" s="233" t="str">
        <f>IF(B30="", "", E30+K30)</f>
        <v/>
      </c>
      <c r="R30" s="233" t="str">
        <f t="shared" si="0"/>
        <v/>
      </c>
      <c r="S30" s="287" t="str">
        <f>IF(B30="","", G30+M30)</f>
        <v/>
      </c>
      <c r="T30" s="287" t="str">
        <f>IF(B30="","", MAX(H30, N30))</f>
        <v/>
      </c>
      <c r="U30" s="287" t="str">
        <f t="shared" si="1"/>
        <v/>
      </c>
      <c r="W30" s="83">
        <f t="shared" si="2"/>
        <v>999</v>
      </c>
      <c r="AE30" s="83" t="str">
        <v/>
      </c>
      <c r="AF30" s="83" t="str">
        <v/>
      </c>
      <c r="AG30" s="83">
        <v>0</v>
      </c>
      <c r="AH30" s="83">
        <v>0</v>
      </c>
      <c r="AI30" s="83">
        <v>0</v>
      </c>
      <c r="AJ30" s="83">
        <v>0</v>
      </c>
      <c r="AK30" s="83">
        <v>0</v>
      </c>
      <c r="AL30" s="83">
        <v>0</v>
      </c>
      <c r="AM30" s="83">
        <v>0</v>
      </c>
      <c r="AN30" s="83">
        <v>14400</v>
      </c>
      <c r="AO30" s="83">
        <v>14400</v>
      </c>
      <c r="AP30" s="83">
        <v>999</v>
      </c>
    </row>
    <row r="31" spans="1:42" ht="24.75" customHeight="1">
      <c r="A31" s="84" t="str">
        <f>IF(B31&lt;&gt;"", COUNTA($B$3:B31), "")</f>
        <v/>
      </c>
      <c r="B31" s="231" t="str">
        <f>AE32</f>
        <v/>
      </c>
      <c r="C31" s="231" t="str">
        <f>AF32</f>
        <v/>
      </c>
      <c r="D31" s="276"/>
      <c r="E31" s="283" cm="1">
        <f t="array" ref="E31">IFERROR(_xlfn.XLOOKUP(TRIM(B31), TRIM('DAY 1 SCORES'!$B$4:$B$152), 'DAY 1 SCORES'!$H$4:$H$152, 12), 12)</f>
        <v>120</v>
      </c>
      <c r="F31" s="283">
        <f>AK32</f>
        <v>0</v>
      </c>
      <c r="G31" s="284">
        <f>AH32</f>
        <v>0</v>
      </c>
      <c r="H31" s="237" t="str">
        <f>IF(B31="","", IFERROR(VLOOKUP(B31, 'DAY 1 SCORES'!B:G, 6, FALSE), 0))</f>
        <v/>
      </c>
      <c r="I31" s="284">
        <f>AG32</f>
        <v>0</v>
      </c>
      <c r="J31" s="276"/>
      <c r="K31" s="121" t="str" cm="1">
        <f t="array" ref="K31">IF(B31="", "", IFERROR(_xlfn.XLOOKUP(TRIM(B31), TRIM('DAY 2 SCORES'!$B$4:$B$152), 'DAY 2 SCORES'!$H$4:$H$152, 12), 12))</f>
        <v/>
      </c>
      <c r="L31" s="121">
        <f>AL32</f>
        <v>0</v>
      </c>
      <c r="M31" s="121">
        <f>AJ32</f>
        <v>0</v>
      </c>
      <c r="N31" s="84" t="str">
        <f>IF(B31="","", IFERROR(VLOOKUP(B31, 'DAY 2 SCORES'!B:G, 6, FALSE), 0))</f>
        <v/>
      </c>
      <c r="O31" s="84">
        <f>IFERROR(VLOOKUP($B31, 'DAY 2 SCORES'!$B:$H, 4, FALSE), 0)</f>
        <v>0</v>
      </c>
      <c r="Q31" s="233" t="str">
        <f>IF(B31="", "", E31+K31)</f>
        <v/>
      </c>
      <c r="R31" s="233" t="str">
        <f t="shared" si="0"/>
        <v/>
      </c>
      <c r="S31" s="287" t="str">
        <f>IF(B31="","", G31+M31)</f>
        <v/>
      </c>
      <c r="T31" s="287" t="str">
        <f>IF(B31="","", MAX(H31, N31))</f>
        <v/>
      </c>
      <c r="U31" s="287" t="str">
        <f t="shared" si="1"/>
        <v/>
      </c>
      <c r="W31" s="83">
        <f t="shared" si="2"/>
        <v>999</v>
      </c>
      <c r="AE31" s="83" t="str">
        <v/>
      </c>
      <c r="AF31" s="83" t="str">
        <v/>
      </c>
      <c r="AG31" s="83">
        <v>0</v>
      </c>
      <c r="AH31" s="83">
        <v>0</v>
      </c>
      <c r="AI31" s="83">
        <v>0</v>
      </c>
      <c r="AJ31" s="83">
        <v>0</v>
      </c>
      <c r="AK31" s="83">
        <v>0</v>
      </c>
      <c r="AL31" s="83">
        <v>0</v>
      </c>
      <c r="AM31" s="83">
        <v>0</v>
      </c>
      <c r="AN31" s="83">
        <v>14400</v>
      </c>
      <c r="AO31" s="83">
        <v>14400</v>
      </c>
      <c r="AP31" s="83">
        <v>999</v>
      </c>
    </row>
    <row r="32" spans="1:42" ht="24.75" customHeight="1">
      <c r="A32" s="84" t="str">
        <f>IF(B32&lt;&gt;"", COUNTA($B$3:B32), "")</f>
        <v/>
      </c>
      <c r="B32" s="231" t="str">
        <f>AE33</f>
        <v/>
      </c>
      <c r="C32" s="231" t="str">
        <f>AF33</f>
        <v/>
      </c>
      <c r="D32" s="276"/>
      <c r="E32" s="283" cm="1">
        <f t="array" ref="E32">IFERROR(_xlfn.XLOOKUP(TRIM(B32), TRIM('DAY 1 SCORES'!$B$4:$B$152), 'DAY 1 SCORES'!$H$4:$H$152, 12), 12)</f>
        <v>120</v>
      </c>
      <c r="F32" s="283">
        <f>AK33</f>
        <v>0</v>
      </c>
      <c r="G32" s="284">
        <f>AH33</f>
        <v>0</v>
      </c>
      <c r="H32" s="237" t="str">
        <f>IF(B32="","", IFERROR(VLOOKUP(B32, 'DAY 1 SCORES'!B:G, 6, FALSE), 0))</f>
        <v/>
      </c>
      <c r="I32" s="284">
        <f>AG33</f>
        <v>0</v>
      </c>
      <c r="J32" s="276"/>
      <c r="K32" s="121" t="str" cm="1">
        <f t="array" ref="K32">IF(B32="", "", IFERROR(_xlfn.XLOOKUP(TRIM(B32), TRIM('DAY 2 SCORES'!$B$4:$B$152), 'DAY 2 SCORES'!$H$4:$H$152, 12), 12))</f>
        <v/>
      </c>
      <c r="L32" s="121">
        <f>AL33</f>
        <v>0</v>
      </c>
      <c r="M32" s="121">
        <f>AJ33</f>
        <v>0</v>
      </c>
      <c r="N32" s="84" t="str">
        <f>IF(B32="","", IFERROR(VLOOKUP(B32, 'DAY 2 SCORES'!B:G, 6, FALSE), 0))</f>
        <v/>
      </c>
      <c r="O32" s="84">
        <f>IFERROR(VLOOKUP($B32, 'DAY 2 SCORES'!$B:$H, 4, FALSE), 0)</f>
        <v>0</v>
      </c>
      <c r="Q32" s="233" t="str">
        <f>IF(B32="", "", E32+K32)</f>
        <v/>
      </c>
      <c r="R32" s="233" t="str">
        <f t="shared" si="0"/>
        <v/>
      </c>
      <c r="S32" s="287" t="str">
        <f>IF(B32="","", G32+M32)</f>
        <v/>
      </c>
      <c r="T32" s="287" t="str">
        <f>IF(B32="","", MAX(H32, N32))</f>
        <v/>
      </c>
      <c r="U32" s="287" t="str">
        <f t="shared" si="1"/>
        <v/>
      </c>
      <c r="W32" s="83">
        <f t="shared" si="2"/>
        <v>999</v>
      </c>
      <c r="AE32" s="83" t="str">
        <v/>
      </c>
      <c r="AF32" s="83" t="str">
        <v/>
      </c>
      <c r="AG32" s="83">
        <v>0</v>
      </c>
      <c r="AH32" s="83">
        <v>0</v>
      </c>
      <c r="AI32" s="83">
        <v>0</v>
      </c>
      <c r="AJ32" s="83">
        <v>0</v>
      </c>
      <c r="AK32" s="83">
        <v>0</v>
      </c>
      <c r="AL32" s="83">
        <v>0</v>
      </c>
      <c r="AM32" s="83">
        <v>0</v>
      </c>
      <c r="AN32" s="83">
        <v>14400</v>
      </c>
      <c r="AO32" s="83">
        <v>14400</v>
      </c>
      <c r="AP32" s="83">
        <v>999</v>
      </c>
    </row>
    <row r="33" spans="1:42" ht="24.75" customHeight="1">
      <c r="A33" s="84" t="str">
        <f>IF(B33&lt;&gt;"", COUNTA($B$3:B33), "")</f>
        <v/>
      </c>
      <c r="B33" s="231" t="str">
        <f>AE34</f>
        <v/>
      </c>
      <c r="C33" s="231" t="str">
        <f>AF34</f>
        <v/>
      </c>
      <c r="D33" s="276"/>
      <c r="E33" s="283" cm="1">
        <f t="array" ref="E33">IFERROR(_xlfn.XLOOKUP(TRIM(B33), TRIM('DAY 1 SCORES'!$B$4:$B$152), 'DAY 1 SCORES'!$H$4:$H$152, 12), 12)</f>
        <v>120</v>
      </c>
      <c r="F33" s="283">
        <f>AK34</f>
        <v>0</v>
      </c>
      <c r="G33" s="284">
        <f>AH34</f>
        <v>0</v>
      </c>
      <c r="H33" s="237" t="str">
        <f>IF(B33="","", IFERROR(VLOOKUP(B33, 'DAY 1 SCORES'!B:G, 6, FALSE), 0))</f>
        <v/>
      </c>
      <c r="I33" s="284">
        <f>AG34</f>
        <v>0</v>
      </c>
      <c r="J33" s="276"/>
      <c r="K33" s="121" t="str" cm="1">
        <f t="array" ref="K33">IF(B33="", "", IFERROR(_xlfn.XLOOKUP(TRIM(B33), TRIM('DAY 2 SCORES'!$B$4:$B$152), 'DAY 2 SCORES'!$H$4:$H$152, 12), 12))</f>
        <v/>
      </c>
      <c r="L33" s="121">
        <f>AL34</f>
        <v>0</v>
      </c>
      <c r="M33" s="121">
        <f>AJ34</f>
        <v>0</v>
      </c>
      <c r="N33" s="84" t="str">
        <f>IF(B33="","", IFERROR(VLOOKUP(B33, 'DAY 2 SCORES'!B:G, 6, FALSE), 0))</f>
        <v/>
      </c>
      <c r="O33" s="84">
        <f>IFERROR(VLOOKUP($B33, 'DAY 2 SCORES'!$B:$H, 4, FALSE), 0)</f>
        <v>0</v>
      </c>
      <c r="Q33" s="233" t="str">
        <f>IF(B33="", "", E33+K33)</f>
        <v/>
      </c>
      <c r="R33" s="233" t="str">
        <f t="shared" si="0"/>
        <v/>
      </c>
      <c r="S33" s="287" t="str">
        <f>IF(B33="","", G33+M33)</f>
        <v/>
      </c>
      <c r="T33" s="287" t="str">
        <f>IF(B33="","", MAX(H33, N33))</f>
        <v/>
      </c>
      <c r="U33" s="287" t="str">
        <f t="shared" si="1"/>
        <v/>
      </c>
      <c r="W33" s="83">
        <f t="shared" si="2"/>
        <v>999</v>
      </c>
      <c r="AE33" s="83" t="str">
        <v/>
      </c>
      <c r="AF33" s="83" t="str">
        <v/>
      </c>
      <c r="AG33" s="83">
        <v>0</v>
      </c>
      <c r="AH33" s="83">
        <v>0</v>
      </c>
      <c r="AI33" s="83">
        <v>0</v>
      </c>
      <c r="AJ33" s="83">
        <v>0</v>
      </c>
      <c r="AK33" s="83">
        <v>0</v>
      </c>
      <c r="AL33" s="83">
        <v>0</v>
      </c>
      <c r="AM33" s="83">
        <v>0</v>
      </c>
      <c r="AN33" s="83">
        <v>14400</v>
      </c>
      <c r="AO33" s="83">
        <v>14400</v>
      </c>
      <c r="AP33" s="83">
        <v>999</v>
      </c>
    </row>
    <row r="34" spans="1:42" ht="24.75" customHeight="1">
      <c r="A34" s="84" t="str">
        <f>IF(B34&lt;&gt;"", COUNTA($B$3:B34), "")</f>
        <v/>
      </c>
      <c r="B34" s="231" t="str">
        <f>AE35</f>
        <v/>
      </c>
      <c r="C34" s="231" t="str">
        <f>AF35</f>
        <v/>
      </c>
      <c r="D34" s="276"/>
      <c r="E34" s="283" cm="1">
        <f t="array" ref="E34">IFERROR(_xlfn.XLOOKUP(TRIM(B34), TRIM('DAY 1 SCORES'!$B$4:$B$152), 'DAY 1 SCORES'!$H$4:$H$152, 12), 12)</f>
        <v>120</v>
      </c>
      <c r="F34" s="283">
        <f>AK35</f>
        <v>0</v>
      </c>
      <c r="G34" s="284">
        <f>AH35</f>
        <v>0</v>
      </c>
      <c r="H34" s="237" t="str">
        <f>IF(B34="","", IFERROR(VLOOKUP(B34, 'DAY 1 SCORES'!B:G, 6, FALSE), 0))</f>
        <v/>
      </c>
      <c r="I34" s="284">
        <f>AG35</f>
        <v>0</v>
      </c>
      <c r="J34" s="276"/>
      <c r="K34" s="121" t="str" cm="1">
        <f t="array" ref="K34">IF(B34="", "", IFERROR(_xlfn.XLOOKUP(TRIM(B34), TRIM('DAY 2 SCORES'!$B$4:$B$152), 'DAY 2 SCORES'!$H$4:$H$152, 12), 12))</f>
        <v/>
      </c>
      <c r="L34" s="121">
        <f>AL35</f>
        <v>0</v>
      </c>
      <c r="M34" s="121">
        <f>AJ35</f>
        <v>0</v>
      </c>
      <c r="N34" s="84" t="str">
        <f>IF(B34="","", IFERROR(VLOOKUP(B34, 'DAY 2 SCORES'!B:G, 6, FALSE), 0))</f>
        <v/>
      </c>
      <c r="O34" s="84">
        <f>IFERROR(VLOOKUP($B34, 'DAY 2 SCORES'!$B:$H, 4, FALSE), 0)</f>
        <v>0</v>
      </c>
      <c r="Q34" s="233" t="str">
        <f>IF(B34="", "", E34+K34)</f>
        <v/>
      </c>
      <c r="R34" s="233" t="str">
        <f t="shared" si="0"/>
        <v/>
      </c>
      <c r="S34" s="287" t="str">
        <f>IF(B34="","", G34+M34)</f>
        <v/>
      </c>
      <c r="T34" s="287" t="str">
        <f>IF(B34="","", MAX(H34, N34))</f>
        <v/>
      </c>
      <c r="U34" s="287" t="str">
        <f t="shared" si="1"/>
        <v/>
      </c>
      <c r="W34" s="83">
        <f t="shared" si="2"/>
        <v>999</v>
      </c>
      <c r="AE34" s="83" t="str">
        <v/>
      </c>
      <c r="AF34" s="83" t="str">
        <v/>
      </c>
      <c r="AG34" s="83">
        <v>0</v>
      </c>
      <c r="AH34" s="83">
        <v>0</v>
      </c>
      <c r="AI34" s="83">
        <v>0</v>
      </c>
      <c r="AJ34" s="83">
        <v>0</v>
      </c>
      <c r="AK34" s="83">
        <v>0</v>
      </c>
      <c r="AL34" s="83">
        <v>0</v>
      </c>
      <c r="AM34" s="83">
        <v>0</v>
      </c>
      <c r="AN34" s="83">
        <v>14400</v>
      </c>
      <c r="AO34" s="83">
        <v>14400</v>
      </c>
      <c r="AP34" s="83">
        <v>999</v>
      </c>
    </row>
    <row r="35" spans="1:42" ht="24.75" customHeight="1">
      <c r="A35" s="84" t="str">
        <f>IF(B35&lt;&gt;"", COUNTA($B$3:B35), "")</f>
        <v/>
      </c>
      <c r="B35" s="231" t="str">
        <f>AE36</f>
        <v/>
      </c>
      <c r="C35" s="231" t="str">
        <f>AF36</f>
        <v/>
      </c>
      <c r="D35" s="276"/>
      <c r="E35" s="283" cm="1">
        <f t="array" ref="E35">IFERROR(_xlfn.XLOOKUP(TRIM(B35), TRIM('DAY 1 SCORES'!$B$4:$B$152), 'DAY 1 SCORES'!$H$4:$H$152, 12), 12)</f>
        <v>120</v>
      </c>
      <c r="F35" s="283">
        <f>AK36</f>
        <v>0</v>
      </c>
      <c r="G35" s="284">
        <f>AH36</f>
        <v>0</v>
      </c>
      <c r="H35" s="237" t="str">
        <f>IF(B35="","", IFERROR(VLOOKUP(B35, 'DAY 1 SCORES'!B:G, 6, FALSE), 0))</f>
        <v/>
      </c>
      <c r="I35" s="284">
        <f>AG36</f>
        <v>0</v>
      </c>
      <c r="J35" s="276"/>
      <c r="K35" s="121" t="str" cm="1">
        <f t="array" ref="K35">IF(B35="", "", IFERROR(_xlfn.XLOOKUP(TRIM(B35), TRIM('DAY 2 SCORES'!$B$4:$B$152), 'DAY 2 SCORES'!$H$4:$H$152, 12), 12))</f>
        <v/>
      </c>
      <c r="L35" s="121">
        <f>AL36</f>
        <v>0</v>
      </c>
      <c r="M35" s="121">
        <f>AJ36</f>
        <v>0</v>
      </c>
      <c r="N35" s="84" t="str">
        <f>IF(B35="","", IFERROR(VLOOKUP(B35, 'DAY 2 SCORES'!B:G, 6, FALSE), 0))</f>
        <v/>
      </c>
      <c r="O35" s="84">
        <f>IFERROR(VLOOKUP($B35, 'DAY 2 SCORES'!$B:$H, 4, FALSE), 0)</f>
        <v>0</v>
      </c>
      <c r="Q35" s="233" t="str">
        <f>IF(B35="", "", E35+K35)</f>
        <v/>
      </c>
      <c r="R35" s="233" t="str">
        <f t="shared" si="0"/>
        <v/>
      </c>
      <c r="S35" s="287" t="str">
        <f>IF(B35="","", G35+M35)</f>
        <v/>
      </c>
      <c r="T35" s="287" t="str">
        <f>IF(B35="","", MAX(H35, N35))</f>
        <v/>
      </c>
      <c r="U35" s="287" t="str">
        <f t="shared" si="1"/>
        <v/>
      </c>
      <c r="W35" s="83">
        <f t="shared" si="2"/>
        <v>999</v>
      </c>
      <c r="AE35" s="83" t="str">
        <v/>
      </c>
      <c r="AF35" s="83" t="str">
        <v/>
      </c>
      <c r="AG35" s="83">
        <v>0</v>
      </c>
      <c r="AH35" s="83">
        <v>0</v>
      </c>
      <c r="AI35" s="83">
        <v>0</v>
      </c>
      <c r="AJ35" s="83">
        <v>0</v>
      </c>
      <c r="AK35" s="83">
        <v>0</v>
      </c>
      <c r="AL35" s="83">
        <v>0</v>
      </c>
      <c r="AM35" s="83">
        <v>0</v>
      </c>
      <c r="AN35" s="83">
        <v>14400</v>
      </c>
      <c r="AO35" s="83">
        <v>14400</v>
      </c>
      <c r="AP35" s="83">
        <v>999</v>
      </c>
    </row>
    <row r="36" spans="1:42" ht="24.75" customHeight="1">
      <c r="A36" s="84" t="str">
        <f>IF(B36&lt;&gt;"", COUNTA($B$3:B36), "")</f>
        <v/>
      </c>
      <c r="B36" s="231" t="str">
        <f>AE37</f>
        <v/>
      </c>
      <c r="C36" s="231" t="str">
        <f>AF37</f>
        <v/>
      </c>
      <c r="D36" s="276"/>
      <c r="E36" s="283" cm="1">
        <f t="array" ref="E36">IFERROR(_xlfn.XLOOKUP(TRIM(B36), TRIM('DAY 1 SCORES'!$B$4:$B$152), 'DAY 1 SCORES'!$H$4:$H$152, 12), 12)</f>
        <v>120</v>
      </c>
      <c r="F36" s="283">
        <f>AK37</f>
        <v>0</v>
      </c>
      <c r="G36" s="284">
        <f>AH37</f>
        <v>0</v>
      </c>
      <c r="H36" s="237" t="str">
        <f>IF(B36="","", IFERROR(VLOOKUP(B36, 'DAY 1 SCORES'!B:G, 6, FALSE), 0))</f>
        <v/>
      </c>
      <c r="I36" s="284">
        <f>AG37</f>
        <v>0</v>
      </c>
      <c r="J36" s="276"/>
      <c r="K36" s="121" t="str" cm="1">
        <f t="array" ref="K36">IF(B36="", "", IFERROR(_xlfn.XLOOKUP(TRIM(B36), TRIM('DAY 2 SCORES'!$B$4:$B$152), 'DAY 2 SCORES'!$H$4:$H$152, 12), 12))</f>
        <v/>
      </c>
      <c r="L36" s="121">
        <f>AL37</f>
        <v>0</v>
      </c>
      <c r="M36" s="121">
        <f>AJ37</f>
        <v>0</v>
      </c>
      <c r="N36" s="84" t="str">
        <f>IF(B36="","", IFERROR(VLOOKUP(B36, 'DAY 2 SCORES'!B:G, 6, FALSE), 0))</f>
        <v/>
      </c>
      <c r="O36" s="84">
        <f>IFERROR(VLOOKUP($B36, 'DAY 2 SCORES'!$B:$H, 4, FALSE), 0)</f>
        <v>0</v>
      </c>
      <c r="Q36" s="233" t="str">
        <f>IF(B36="", "", E36+K36)</f>
        <v/>
      </c>
      <c r="R36" s="233" t="str">
        <f t="shared" si="0"/>
        <v/>
      </c>
      <c r="S36" s="287" t="str">
        <f>IF(B36="","", G36+M36)</f>
        <v/>
      </c>
      <c r="T36" s="287" t="str">
        <f>IF(B36="","", MAX(H36, N36))</f>
        <v/>
      </c>
      <c r="U36" s="287" t="str">
        <f t="shared" si="1"/>
        <v/>
      </c>
      <c r="W36" s="83">
        <f t="shared" si="2"/>
        <v>999</v>
      </c>
      <c r="AE36" s="83" t="str">
        <v/>
      </c>
      <c r="AF36" s="83" t="str">
        <v/>
      </c>
      <c r="AG36" s="83">
        <v>0</v>
      </c>
      <c r="AH36" s="83">
        <v>0</v>
      </c>
      <c r="AI36" s="83">
        <v>0</v>
      </c>
      <c r="AJ36" s="83">
        <v>0</v>
      </c>
      <c r="AK36" s="83">
        <v>0</v>
      </c>
      <c r="AL36" s="83">
        <v>0</v>
      </c>
      <c r="AM36" s="83">
        <v>0</v>
      </c>
      <c r="AN36" s="83">
        <v>14400</v>
      </c>
      <c r="AO36" s="83">
        <v>14400</v>
      </c>
      <c r="AP36" s="83">
        <v>999</v>
      </c>
    </row>
    <row r="37" spans="1:42" ht="24.75" customHeight="1">
      <c r="A37" s="84" t="str">
        <f>IF(B37&lt;&gt;"", COUNTA($B$3:B37), "")</f>
        <v/>
      </c>
      <c r="B37" s="231" t="str">
        <f>AE38</f>
        <v/>
      </c>
      <c r="C37" s="231" t="str">
        <f>AF38</f>
        <v/>
      </c>
      <c r="D37" s="276"/>
      <c r="E37" s="283" cm="1">
        <f t="array" ref="E37">IFERROR(_xlfn.XLOOKUP(TRIM(B37), TRIM('DAY 1 SCORES'!$B$4:$B$152), 'DAY 1 SCORES'!$H$4:$H$152, 12), 12)</f>
        <v>120</v>
      </c>
      <c r="F37" s="283">
        <f>AK38</f>
        <v>0</v>
      </c>
      <c r="G37" s="284">
        <f>AH38</f>
        <v>0</v>
      </c>
      <c r="H37" s="237" t="str">
        <f>IF(B37="","", IFERROR(VLOOKUP(B37, 'DAY 1 SCORES'!B:G, 6, FALSE), 0))</f>
        <v/>
      </c>
      <c r="I37" s="284">
        <f>AG38</f>
        <v>0</v>
      </c>
      <c r="J37" s="276"/>
      <c r="K37" s="121" t="str" cm="1">
        <f t="array" ref="K37">IF(B37="", "", IFERROR(_xlfn.XLOOKUP(TRIM(B37), TRIM('DAY 2 SCORES'!$B$4:$B$152), 'DAY 2 SCORES'!$H$4:$H$152, 12), 12))</f>
        <v/>
      </c>
      <c r="L37" s="121">
        <f>AL38</f>
        <v>0</v>
      </c>
      <c r="M37" s="121">
        <f>AJ38</f>
        <v>0</v>
      </c>
      <c r="N37" s="84" t="str">
        <f>IF(B37="","", IFERROR(VLOOKUP(B37, 'DAY 2 SCORES'!B:G, 6, FALSE), 0))</f>
        <v/>
      </c>
      <c r="O37" s="84">
        <f>IFERROR(VLOOKUP($B37, 'DAY 2 SCORES'!$B:$H, 4, FALSE), 0)</f>
        <v>0</v>
      </c>
      <c r="Q37" s="233" t="str">
        <f>IF(B37="", "", E37+K37)</f>
        <v/>
      </c>
      <c r="R37" s="233" t="str">
        <f t="shared" si="0"/>
        <v/>
      </c>
      <c r="S37" s="287" t="str">
        <f>IF(B37="","", G37+M37)</f>
        <v/>
      </c>
      <c r="T37" s="287" t="str">
        <f>IF(B37="","", MAX(H37, N37))</f>
        <v/>
      </c>
      <c r="U37" s="287" t="str">
        <f t="shared" si="1"/>
        <v/>
      </c>
      <c r="W37" s="83">
        <f t="shared" si="2"/>
        <v>999</v>
      </c>
      <c r="AE37" s="83" t="str">
        <v/>
      </c>
      <c r="AF37" s="83" t="str">
        <v/>
      </c>
      <c r="AG37" s="83">
        <v>0</v>
      </c>
      <c r="AH37" s="83">
        <v>0</v>
      </c>
      <c r="AI37" s="83">
        <v>0</v>
      </c>
      <c r="AJ37" s="83">
        <v>0</v>
      </c>
      <c r="AK37" s="83">
        <v>0</v>
      </c>
      <c r="AL37" s="83">
        <v>0</v>
      </c>
      <c r="AM37" s="83">
        <v>0</v>
      </c>
      <c r="AN37" s="83">
        <v>14400</v>
      </c>
      <c r="AO37" s="83">
        <v>14400</v>
      </c>
      <c r="AP37" s="83">
        <v>999</v>
      </c>
    </row>
    <row r="38" spans="1:42" ht="24.75" customHeight="1">
      <c r="A38" s="84" t="str">
        <f>IF(B38&lt;&gt;"", COUNTA($B$3:B38), "")</f>
        <v/>
      </c>
      <c r="B38" s="231" t="str">
        <f>AE39</f>
        <v/>
      </c>
      <c r="C38" s="231" t="str">
        <f>AF39</f>
        <v/>
      </c>
      <c r="D38" s="276"/>
      <c r="E38" s="283" cm="1">
        <f t="array" ref="E38">IFERROR(_xlfn.XLOOKUP(TRIM(B38), TRIM('DAY 1 SCORES'!$B$4:$B$152), 'DAY 1 SCORES'!$H$4:$H$152, 12), 12)</f>
        <v>120</v>
      </c>
      <c r="F38" s="283">
        <f>AK39</f>
        <v>0</v>
      </c>
      <c r="G38" s="284">
        <f>AH39</f>
        <v>0</v>
      </c>
      <c r="H38" s="237" t="str">
        <f>IF(B38="","", IFERROR(VLOOKUP(B38, 'DAY 1 SCORES'!B:G, 6, FALSE), 0))</f>
        <v/>
      </c>
      <c r="I38" s="284">
        <f>AG39</f>
        <v>0</v>
      </c>
      <c r="J38" s="276"/>
      <c r="K38" s="121" t="str" cm="1">
        <f t="array" ref="K38">IF(B38="", "", IFERROR(_xlfn.XLOOKUP(TRIM(B38), TRIM('DAY 2 SCORES'!$B$4:$B$152), 'DAY 2 SCORES'!$H$4:$H$152, 12), 12))</f>
        <v/>
      </c>
      <c r="L38" s="121">
        <f>AL39</f>
        <v>0</v>
      </c>
      <c r="M38" s="121">
        <f>AJ39</f>
        <v>0</v>
      </c>
      <c r="N38" s="84" t="str">
        <f>IF(B38="","", IFERROR(VLOOKUP(B38, 'DAY 2 SCORES'!B:G, 6, FALSE), 0))</f>
        <v/>
      </c>
      <c r="O38" s="84">
        <f>IFERROR(VLOOKUP($B38, 'DAY 2 SCORES'!$B:$H, 4, FALSE), 0)</f>
        <v>0</v>
      </c>
      <c r="Q38" s="233" t="str">
        <f>IF(B38="", "", E38+K38)</f>
        <v/>
      </c>
      <c r="R38" s="233" t="str">
        <f t="shared" si="0"/>
        <v/>
      </c>
      <c r="S38" s="287" t="str">
        <f>IF(B38="","", G38+M38)</f>
        <v/>
      </c>
      <c r="T38" s="287" t="str">
        <f>IF(B38="","", MAX(H38, N38))</f>
        <v/>
      </c>
      <c r="U38" s="287" t="str">
        <f t="shared" si="1"/>
        <v/>
      </c>
      <c r="W38" s="83">
        <f t="shared" si="2"/>
        <v>999</v>
      </c>
      <c r="AE38" s="83" t="str">
        <v/>
      </c>
      <c r="AF38" s="83" t="str">
        <v/>
      </c>
      <c r="AG38" s="83">
        <v>0</v>
      </c>
      <c r="AH38" s="83">
        <v>0</v>
      </c>
      <c r="AI38" s="83">
        <v>0</v>
      </c>
      <c r="AJ38" s="83">
        <v>0</v>
      </c>
      <c r="AK38" s="83">
        <v>0</v>
      </c>
      <c r="AL38" s="83">
        <v>0</v>
      </c>
      <c r="AM38" s="83">
        <v>0</v>
      </c>
      <c r="AN38" s="83">
        <v>14400</v>
      </c>
      <c r="AO38" s="83">
        <v>14400</v>
      </c>
      <c r="AP38" s="83">
        <v>999</v>
      </c>
    </row>
    <row r="39" spans="1:42" ht="24.75" customHeight="1">
      <c r="A39" s="84" t="str">
        <f>IF(B39&lt;&gt;"", COUNTA($B$3:B39), "")</f>
        <v/>
      </c>
      <c r="B39" s="231" t="str">
        <f>AE40</f>
        <v/>
      </c>
      <c r="C39" s="231" t="str">
        <f>AF40</f>
        <v/>
      </c>
      <c r="D39" s="276"/>
      <c r="E39" s="283" cm="1">
        <f t="array" ref="E39">IFERROR(_xlfn.XLOOKUP(TRIM(B39), TRIM('DAY 1 SCORES'!$B$4:$B$152), 'DAY 1 SCORES'!$H$4:$H$152, 12), 12)</f>
        <v>120</v>
      </c>
      <c r="F39" s="283">
        <f>AK40</f>
        <v>0</v>
      </c>
      <c r="G39" s="284">
        <f>AH40</f>
        <v>0</v>
      </c>
      <c r="H39" s="237" t="str">
        <f>IF(B39="","", IFERROR(VLOOKUP(B39, 'DAY 1 SCORES'!B:G, 6, FALSE), 0))</f>
        <v/>
      </c>
      <c r="I39" s="284">
        <f>AG40</f>
        <v>0</v>
      </c>
      <c r="J39" s="276"/>
      <c r="K39" s="121" t="str" cm="1">
        <f t="array" ref="K39">IF(B39="", "", IFERROR(_xlfn.XLOOKUP(TRIM(B39), TRIM('DAY 2 SCORES'!$B$4:$B$152), 'DAY 2 SCORES'!$H$4:$H$152, 12), 12))</f>
        <v/>
      </c>
      <c r="L39" s="121">
        <f>AL40</f>
        <v>0</v>
      </c>
      <c r="M39" s="121">
        <f>AJ40</f>
        <v>0</v>
      </c>
      <c r="N39" s="84" t="str">
        <f>IF(B39="","", IFERROR(VLOOKUP(B39, 'DAY 2 SCORES'!B:G, 6, FALSE), 0))</f>
        <v/>
      </c>
      <c r="O39" s="84">
        <f>IFERROR(VLOOKUP($B39, 'DAY 2 SCORES'!$B:$H, 4, FALSE), 0)</f>
        <v>0</v>
      </c>
      <c r="Q39" s="233" t="str">
        <f>IF(B39="", "", E39+K39)</f>
        <v/>
      </c>
      <c r="R39" s="233" t="str">
        <f t="shared" si="0"/>
        <v/>
      </c>
      <c r="S39" s="287" t="str">
        <f>IF(B39="","", G39+M39)</f>
        <v/>
      </c>
      <c r="T39" s="287" t="str">
        <f>IF(B39="","", MAX(H39, N39))</f>
        <v/>
      </c>
      <c r="U39" s="287" t="str">
        <f t="shared" si="1"/>
        <v/>
      </c>
      <c r="W39" s="83">
        <f t="shared" si="2"/>
        <v>999</v>
      </c>
      <c r="AE39" s="83" t="str">
        <v/>
      </c>
      <c r="AF39" s="83" t="str">
        <v/>
      </c>
      <c r="AG39" s="83">
        <v>0</v>
      </c>
      <c r="AH39" s="83">
        <v>0</v>
      </c>
      <c r="AI39" s="83">
        <v>0</v>
      </c>
      <c r="AJ39" s="83">
        <v>0</v>
      </c>
      <c r="AK39" s="83">
        <v>0</v>
      </c>
      <c r="AL39" s="83">
        <v>0</v>
      </c>
      <c r="AM39" s="83">
        <v>0</v>
      </c>
      <c r="AN39" s="83">
        <v>14400</v>
      </c>
      <c r="AO39" s="83">
        <v>14400</v>
      </c>
      <c r="AP39" s="83">
        <v>999</v>
      </c>
    </row>
    <row r="40" spans="1:42" ht="24.75" customHeight="1">
      <c r="A40" s="84" t="str">
        <f>IF(B40&lt;&gt;"", COUNTA($B$3:B40), "")</f>
        <v/>
      </c>
      <c r="B40" s="231" t="str">
        <f>AE41</f>
        <v/>
      </c>
      <c r="C40" s="231" t="str">
        <f>AF41</f>
        <v/>
      </c>
      <c r="D40" s="276"/>
      <c r="E40" s="283" cm="1">
        <f t="array" ref="E40">IFERROR(_xlfn.XLOOKUP(TRIM(B40), TRIM('DAY 1 SCORES'!$B$4:$B$152), 'DAY 1 SCORES'!$H$4:$H$152, 12), 12)</f>
        <v>120</v>
      </c>
      <c r="F40" s="283">
        <f>AK41</f>
        <v>0</v>
      </c>
      <c r="G40" s="284">
        <f>AH41</f>
        <v>0</v>
      </c>
      <c r="H40" s="237" t="str">
        <f>IF(B40="","", IFERROR(VLOOKUP(B40, 'DAY 1 SCORES'!B:G, 6, FALSE), 0))</f>
        <v/>
      </c>
      <c r="I40" s="284">
        <f>AG41</f>
        <v>0</v>
      </c>
      <c r="J40" s="276"/>
      <c r="K40" s="121" t="str" cm="1">
        <f t="array" ref="K40">IF(B40="", "", IFERROR(_xlfn.XLOOKUP(TRIM(B40), TRIM('DAY 2 SCORES'!$B$4:$B$152), 'DAY 2 SCORES'!$H$4:$H$152, 12), 12))</f>
        <v/>
      </c>
      <c r="L40" s="121">
        <f>AL41</f>
        <v>0</v>
      </c>
      <c r="M40" s="121">
        <f>AJ41</f>
        <v>0</v>
      </c>
      <c r="N40" s="84" t="str">
        <f>IF(B40="","", IFERROR(VLOOKUP(B40, 'DAY 2 SCORES'!B:G, 6, FALSE), 0))</f>
        <v/>
      </c>
      <c r="O40" s="84">
        <f>IFERROR(VLOOKUP($B40, 'DAY 2 SCORES'!$B:$H, 4, FALSE), 0)</f>
        <v>0</v>
      </c>
      <c r="Q40" s="233" t="str">
        <f>IF(B40="", "", E40+K40)</f>
        <v/>
      </c>
      <c r="R40" s="233" t="str">
        <f t="shared" si="0"/>
        <v/>
      </c>
      <c r="S40" s="287" t="str">
        <f>IF(B40="","", G40+M40)</f>
        <v/>
      </c>
      <c r="T40" s="287" t="str">
        <f>IF(B40="","", MAX(H40, N40))</f>
        <v/>
      </c>
      <c r="U40" s="287" t="str">
        <f t="shared" si="1"/>
        <v/>
      </c>
      <c r="W40" s="83">
        <f t="shared" si="2"/>
        <v>999</v>
      </c>
      <c r="AE40" s="83" t="str">
        <v/>
      </c>
      <c r="AF40" s="83" t="str">
        <v/>
      </c>
      <c r="AG40" s="83">
        <v>0</v>
      </c>
      <c r="AH40" s="83">
        <v>0</v>
      </c>
      <c r="AI40" s="83">
        <v>0</v>
      </c>
      <c r="AJ40" s="83">
        <v>0</v>
      </c>
      <c r="AK40" s="83">
        <v>0</v>
      </c>
      <c r="AL40" s="83">
        <v>0</v>
      </c>
      <c r="AM40" s="83">
        <v>0</v>
      </c>
      <c r="AN40" s="83">
        <v>14400</v>
      </c>
      <c r="AO40" s="83">
        <v>14400</v>
      </c>
      <c r="AP40" s="83">
        <v>999</v>
      </c>
    </row>
    <row r="41" spans="1:42" ht="24.75" customHeight="1">
      <c r="A41" s="84" t="str">
        <f>IF(B41&lt;&gt;"", COUNTA($B$3:B41), "")</f>
        <v/>
      </c>
      <c r="B41" s="231" t="str">
        <f>AE42</f>
        <v/>
      </c>
      <c r="C41" s="231" t="str">
        <f>AF42</f>
        <v/>
      </c>
      <c r="D41" s="276"/>
      <c r="E41" s="283" cm="1">
        <f t="array" ref="E41">IFERROR(_xlfn.XLOOKUP(TRIM(B41), TRIM('DAY 1 SCORES'!$B$4:$B$152), 'DAY 1 SCORES'!$H$4:$H$152, 12), 12)</f>
        <v>120</v>
      </c>
      <c r="F41" s="283">
        <f>AK42</f>
        <v>0</v>
      </c>
      <c r="G41" s="284">
        <f>AH42</f>
        <v>0</v>
      </c>
      <c r="H41" s="237" t="str">
        <f>IF(B41="","", IFERROR(VLOOKUP(B41, 'DAY 1 SCORES'!B:G, 6, FALSE), 0))</f>
        <v/>
      </c>
      <c r="I41" s="284">
        <f>AG42</f>
        <v>0</v>
      </c>
      <c r="J41" s="276"/>
      <c r="K41" s="121" t="str" cm="1">
        <f t="array" ref="K41">IF(B41="", "", IFERROR(_xlfn.XLOOKUP(TRIM(B41), TRIM('DAY 2 SCORES'!$B$4:$B$152), 'DAY 2 SCORES'!$H$4:$H$152, 12), 12))</f>
        <v/>
      </c>
      <c r="L41" s="121">
        <f>AL42</f>
        <v>0</v>
      </c>
      <c r="M41" s="121">
        <f>AJ42</f>
        <v>0</v>
      </c>
      <c r="N41" s="84" t="str">
        <f>IF(B41="","", IFERROR(VLOOKUP(B41, 'DAY 2 SCORES'!B:G, 6, FALSE), 0))</f>
        <v/>
      </c>
      <c r="O41" s="84">
        <f>IFERROR(VLOOKUP($B41, 'DAY 2 SCORES'!$B:$H, 4, FALSE), 0)</f>
        <v>0</v>
      </c>
      <c r="Q41" s="233" t="str">
        <f>IF(B41="", "", E41+K41)</f>
        <v/>
      </c>
      <c r="R41" s="233" t="str">
        <f t="shared" si="0"/>
        <v/>
      </c>
      <c r="S41" s="287" t="str">
        <f>IF(B41="","", G41+M41)</f>
        <v/>
      </c>
      <c r="T41" s="287" t="str">
        <f>IF(B41="","", MAX(H41, N41))</f>
        <v/>
      </c>
      <c r="U41" s="287" t="str">
        <f t="shared" si="1"/>
        <v/>
      </c>
      <c r="W41" s="83">
        <f t="shared" si="2"/>
        <v>999</v>
      </c>
      <c r="AE41" s="83" t="str">
        <v/>
      </c>
      <c r="AF41" s="83" t="str">
        <v/>
      </c>
      <c r="AG41" s="83">
        <v>0</v>
      </c>
      <c r="AH41" s="83">
        <v>0</v>
      </c>
      <c r="AI41" s="83">
        <v>0</v>
      </c>
      <c r="AJ41" s="83">
        <v>0</v>
      </c>
      <c r="AK41" s="83">
        <v>0</v>
      </c>
      <c r="AL41" s="83">
        <v>0</v>
      </c>
      <c r="AM41" s="83">
        <v>0</v>
      </c>
      <c r="AN41" s="83">
        <v>14400</v>
      </c>
      <c r="AO41" s="83">
        <v>14400</v>
      </c>
      <c r="AP41" s="83">
        <v>999</v>
      </c>
    </row>
    <row r="42" spans="1:42" ht="24.75" customHeight="1">
      <c r="A42" s="84" t="str">
        <f>IF(B42&lt;&gt;"", COUNTA($B$3:B42), "")</f>
        <v/>
      </c>
      <c r="B42" s="231" t="str">
        <f>AE43</f>
        <v/>
      </c>
      <c r="C42" s="231" t="str">
        <f>AF43</f>
        <v/>
      </c>
      <c r="D42" s="276"/>
      <c r="E42" s="283" cm="1">
        <f t="array" ref="E42">IFERROR(_xlfn.XLOOKUP(TRIM(B42), TRIM('DAY 1 SCORES'!$B$4:$B$152), 'DAY 1 SCORES'!$H$4:$H$152, 12), 12)</f>
        <v>120</v>
      </c>
      <c r="F42" s="283">
        <f>AK43</f>
        <v>0</v>
      </c>
      <c r="G42" s="284">
        <f>AH43</f>
        <v>0</v>
      </c>
      <c r="H42" s="237" t="str">
        <f>IF(B42="","", IFERROR(VLOOKUP(B42, 'DAY 1 SCORES'!B:G, 6, FALSE), 0))</f>
        <v/>
      </c>
      <c r="I42" s="284">
        <f>AG43</f>
        <v>0</v>
      </c>
      <c r="J42" s="276"/>
      <c r="K42" s="121" t="str" cm="1">
        <f t="array" ref="K42">IF(B42="", "", IFERROR(_xlfn.XLOOKUP(TRIM(B42), TRIM('DAY 2 SCORES'!$B$4:$B$152), 'DAY 2 SCORES'!$H$4:$H$152, 12), 12))</f>
        <v/>
      </c>
      <c r="L42" s="121">
        <f>AL43</f>
        <v>0</v>
      </c>
      <c r="M42" s="121">
        <f>AJ43</f>
        <v>0</v>
      </c>
      <c r="N42" s="84" t="str">
        <f>IF(B42="","", IFERROR(VLOOKUP(B42, 'DAY 2 SCORES'!B:G, 6, FALSE), 0))</f>
        <v/>
      </c>
      <c r="O42" s="84">
        <f>IFERROR(VLOOKUP($B42, 'DAY 2 SCORES'!$B:$H, 4, FALSE), 0)</f>
        <v>0</v>
      </c>
      <c r="Q42" s="233" t="str">
        <f>IF(B42="", "", E42+K42)</f>
        <v/>
      </c>
      <c r="R42" s="233" t="str">
        <f t="shared" si="0"/>
        <v/>
      </c>
      <c r="S42" s="287" t="str">
        <f>IF(B42="","", G42+M42)</f>
        <v/>
      </c>
      <c r="T42" s="287" t="str">
        <f>IF(B42="","", MAX(H42, N42))</f>
        <v/>
      </c>
      <c r="U42" s="287" t="str">
        <f t="shared" si="1"/>
        <v/>
      </c>
      <c r="W42" s="83">
        <f t="shared" si="2"/>
        <v>999</v>
      </c>
      <c r="AE42" s="83" t="str">
        <v/>
      </c>
      <c r="AF42" s="83" t="str">
        <v/>
      </c>
      <c r="AG42" s="83">
        <v>0</v>
      </c>
      <c r="AH42" s="83">
        <v>0</v>
      </c>
      <c r="AI42" s="83">
        <v>0</v>
      </c>
      <c r="AJ42" s="83">
        <v>0</v>
      </c>
      <c r="AK42" s="83">
        <v>0</v>
      </c>
      <c r="AL42" s="83">
        <v>0</v>
      </c>
      <c r="AM42" s="83">
        <v>0</v>
      </c>
      <c r="AN42" s="83">
        <v>14400</v>
      </c>
      <c r="AO42" s="83">
        <v>14400</v>
      </c>
      <c r="AP42" s="83">
        <v>999</v>
      </c>
    </row>
    <row r="43" spans="1:42" ht="24.75" customHeight="1">
      <c r="A43" s="84" t="str">
        <f>IF(B43&lt;&gt;"", COUNTA($B$3:B43), "")</f>
        <v/>
      </c>
      <c r="B43" s="231" t="str">
        <f>AE44</f>
        <v/>
      </c>
      <c r="C43" s="231" t="str">
        <f>AF44</f>
        <v/>
      </c>
      <c r="D43" s="276"/>
      <c r="E43" s="283" cm="1">
        <f t="array" ref="E43">IFERROR(_xlfn.XLOOKUP(TRIM(B43), TRIM('DAY 1 SCORES'!$B$4:$B$152), 'DAY 1 SCORES'!$H$4:$H$152, 12), 12)</f>
        <v>120</v>
      </c>
      <c r="F43" s="283">
        <f>AK44</f>
        <v>0</v>
      </c>
      <c r="G43" s="284">
        <f>AH44</f>
        <v>0</v>
      </c>
      <c r="H43" s="237" t="str">
        <f>IF(B43="","", IFERROR(VLOOKUP(B43, 'DAY 1 SCORES'!B:G, 6, FALSE), 0))</f>
        <v/>
      </c>
      <c r="I43" s="284">
        <f>AG44</f>
        <v>0</v>
      </c>
      <c r="J43" s="276"/>
      <c r="K43" s="121" t="str" cm="1">
        <f t="array" ref="K43">IF(B43="", "", IFERROR(_xlfn.XLOOKUP(TRIM(B43), TRIM('DAY 2 SCORES'!$B$4:$B$152), 'DAY 2 SCORES'!$H$4:$H$152, 12), 12))</f>
        <v/>
      </c>
      <c r="L43" s="121">
        <f>AL44</f>
        <v>0</v>
      </c>
      <c r="M43" s="121">
        <f>AJ44</f>
        <v>0</v>
      </c>
      <c r="N43" s="84" t="str">
        <f>IF(B43="","", IFERROR(VLOOKUP(B43, 'DAY 2 SCORES'!B:G, 6, FALSE), 0))</f>
        <v/>
      </c>
      <c r="O43" s="84">
        <f>IFERROR(VLOOKUP($B43, 'DAY 2 SCORES'!$B:$H, 4, FALSE), 0)</f>
        <v>0</v>
      </c>
      <c r="Q43" s="233" t="str">
        <f>IF(B43="", "", E43+K43)</f>
        <v/>
      </c>
      <c r="R43" s="233" t="str">
        <f t="shared" si="0"/>
        <v/>
      </c>
      <c r="S43" s="287" t="str">
        <f>IF(B43="","", G43+M43)</f>
        <v/>
      </c>
      <c r="T43" s="287" t="str">
        <f>IF(B43="","", MAX(H43, N43))</f>
        <v/>
      </c>
      <c r="U43" s="287" t="str">
        <f t="shared" si="1"/>
        <v/>
      </c>
      <c r="W43" s="83">
        <f t="shared" si="2"/>
        <v>999</v>
      </c>
      <c r="AE43" s="83" t="str">
        <v/>
      </c>
      <c r="AF43" s="83" t="str">
        <v/>
      </c>
      <c r="AG43" s="83">
        <v>0</v>
      </c>
      <c r="AH43" s="83">
        <v>0</v>
      </c>
      <c r="AI43" s="83">
        <v>0</v>
      </c>
      <c r="AJ43" s="83">
        <v>0</v>
      </c>
      <c r="AK43" s="83">
        <v>0</v>
      </c>
      <c r="AL43" s="83">
        <v>0</v>
      </c>
      <c r="AM43" s="83">
        <v>0</v>
      </c>
      <c r="AN43" s="83">
        <v>14400</v>
      </c>
      <c r="AO43" s="83">
        <v>14400</v>
      </c>
      <c r="AP43" s="83">
        <v>999</v>
      </c>
    </row>
    <row r="44" spans="1:42" ht="24.75" customHeight="1">
      <c r="A44" s="84" t="str">
        <f>IF(B44&lt;&gt;"", COUNTA($B$3:B44), "")</f>
        <v/>
      </c>
      <c r="B44" s="231" t="str">
        <f>AE45</f>
        <v/>
      </c>
      <c r="C44" s="231" t="str">
        <f>AF45</f>
        <v/>
      </c>
      <c r="D44" s="276"/>
      <c r="E44" s="283" cm="1">
        <f t="array" ref="E44">IFERROR(_xlfn.XLOOKUP(TRIM(B44), TRIM('DAY 1 SCORES'!$B$4:$B$152), 'DAY 1 SCORES'!$H$4:$H$152, 12), 12)</f>
        <v>120</v>
      </c>
      <c r="F44" s="283">
        <f>AK45</f>
        <v>0</v>
      </c>
      <c r="G44" s="284">
        <f>AH45</f>
        <v>0</v>
      </c>
      <c r="H44" s="237" t="str">
        <f>IF(B44="","", IFERROR(VLOOKUP(B44, 'DAY 1 SCORES'!B:G, 6, FALSE), 0))</f>
        <v/>
      </c>
      <c r="I44" s="284">
        <f>AG45</f>
        <v>0</v>
      </c>
      <c r="J44" s="276"/>
      <c r="K44" s="121" t="str" cm="1">
        <f t="array" ref="K44">IF(B44="", "", IFERROR(_xlfn.XLOOKUP(TRIM(B44), TRIM('DAY 2 SCORES'!$B$4:$B$152), 'DAY 2 SCORES'!$H$4:$H$152, 12), 12))</f>
        <v/>
      </c>
      <c r="L44" s="121">
        <f>AL45</f>
        <v>0</v>
      </c>
      <c r="M44" s="121">
        <f>AJ45</f>
        <v>0</v>
      </c>
      <c r="N44" s="84" t="str">
        <f>IF(B44="","", IFERROR(VLOOKUP(B44, 'DAY 2 SCORES'!B:G, 6, FALSE), 0))</f>
        <v/>
      </c>
      <c r="O44" s="84">
        <f>IFERROR(VLOOKUP($B44, 'DAY 2 SCORES'!$B:$H, 4, FALSE), 0)</f>
        <v>0</v>
      </c>
      <c r="Q44" s="233" t="str">
        <f>IF(B44="", "", E44+K44)</f>
        <v/>
      </c>
      <c r="R44" s="233" t="str">
        <f t="shared" si="0"/>
        <v/>
      </c>
      <c r="S44" s="287" t="str">
        <f>IF(B44="","", G44+M44)</f>
        <v/>
      </c>
      <c r="T44" s="287" t="str">
        <f>IF(B44="","", MAX(H44, N44))</f>
        <v/>
      </c>
      <c r="U44" s="287" t="str">
        <f t="shared" si="1"/>
        <v/>
      </c>
      <c r="W44" s="83">
        <f t="shared" si="2"/>
        <v>999</v>
      </c>
      <c r="AE44" s="83" t="str">
        <v/>
      </c>
      <c r="AF44" s="83" t="str">
        <v/>
      </c>
      <c r="AG44" s="83">
        <v>0</v>
      </c>
      <c r="AH44" s="83">
        <v>0</v>
      </c>
      <c r="AI44" s="83">
        <v>0</v>
      </c>
      <c r="AJ44" s="83">
        <v>0</v>
      </c>
      <c r="AK44" s="83">
        <v>0</v>
      </c>
      <c r="AL44" s="83">
        <v>0</v>
      </c>
      <c r="AM44" s="83">
        <v>0</v>
      </c>
      <c r="AN44" s="83">
        <v>14400</v>
      </c>
      <c r="AO44" s="83">
        <v>14400</v>
      </c>
      <c r="AP44" s="83">
        <v>999</v>
      </c>
    </row>
    <row r="45" spans="1:42" ht="24.75" customHeight="1">
      <c r="A45" s="84" t="str">
        <f>IF(B45&lt;&gt;"", COUNTA($B$3:B45), "")</f>
        <v/>
      </c>
      <c r="B45" s="231" t="str">
        <f>AE46</f>
        <v/>
      </c>
      <c r="C45" s="231" t="str">
        <f>AF46</f>
        <v/>
      </c>
      <c r="D45" s="276"/>
      <c r="E45" s="283" cm="1">
        <f t="array" ref="E45">IFERROR(_xlfn.XLOOKUP(TRIM(B45), TRIM('DAY 1 SCORES'!$B$4:$B$152), 'DAY 1 SCORES'!$H$4:$H$152, 12), 12)</f>
        <v>120</v>
      </c>
      <c r="F45" s="283">
        <f>AK46</f>
        <v>0</v>
      </c>
      <c r="G45" s="284">
        <f>AH46</f>
        <v>0</v>
      </c>
      <c r="H45" s="237" t="str">
        <f>IF(B45="","", IFERROR(VLOOKUP(B45, 'DAY 1 SCORES'!B:G, 6, FALSE), 0))</f>
        <v/>
      </c>
      <c r="I45" s="284">
        <f>AG46</f>
        <v>0</v>
      </c>
      <c r="J45" s="276"/>
      <c r="K45" s="121" t="str" cm="1">
        <f t="array" ref="K45">IF(B45="", "", IFERROR(_xlfn.XLOOKUP(TRIM(B45), TRIM('DAY 2 SCORES'!$B$4:$B$152), 'DAY 2 SCORES'!$H$4:$H$152, 12), 12))</f>
        <v/>
      </c>
      <c r="L45" s="121">
        <f>AL46</f>
        <v>0</v>
      </c>
      <c r="M45" s="121">
        <f>AJ46</f>
        <v>0</v>
      </c>
      <c r="N45" s="84" t="str">
        <f>IF(B45="","", IFERROR(VLOOKUP(B45, 'DAY 2 SCORES'!B:G, 6, FALSE), 0))</f>
        <v/>
      </c>
      <c r="O45" s="84">
        <f>IFERROR(VLOOKUP($B45, 'DAY 2 SCORES'!$B:$H, 4, FALSE), 0)</f>
        <v>0</v>
      </c>
      <c r="Q45" s="233" t="str">
        <f>IF(B45="", "", E45+K45)</f>
        <v/>
      </c>
      <c r="R45" s="233" t="str">
        <f t="shared" si="0"/>
        <v/>
      </c>
      <c r="S45" s="287" t="str">
        <f>IF(B45="","", G45+M45)</f>
        <v/>
      </c>
      <c r="T45" s="287" t="str">
        <f>IF(B45="","", MAX(H45, N45))</f>
        <v/>
      </c>
      <c r="U45" s="287" t="str">
        <f t="shared" si="1"/>
        <v/>
      </c>
      <c r="W45" s="83">
        <f t="shared" si="2"/>
        <v>999</v>
      </c>
      <c r="AE45" s="83" t="str">
        <v/>
      </c>
      <c r="AF45" s="83" t="str">
        <v/>
      </c>
      <c r="AG45" s="83">
        <v>0</v>
      </c>
      <c r="AH45" s="83">
        <v>0</v>
      </c>
      <c r="AI45" s="83">
        <v>0</v>
      </c>
      <c r="AJ45" s="83">
        <v>0</v>
      </c>
      <c r="AK45" s="83">
        <v>0</v>
      </c>
      <c r="AL45" s="83">
        <v>0</v>
      </c>
      <c r="AM45" s="83">
        <v>0</v>
      </c>
      <c r="AN45" s="83">
        <v>14400</v>
      </c>
      <c r="AO45" s="83">
        <v>14400</v>
      </c>
      <c r="AP45" s="83">
        <v>999</v>
      </c>
    </row>
    <row r="46" spans="1:42" ht="24.75" customHeight="1">
      <c r="A46" s="84" t="str">
        <f>IF(B46&lt;&gt;"", COUNTA($B$3:B46), "")</f>
        <v/>
      </c>
      <c r="B46" s="231" t="str">
        <f>AE47</f>
        <v/>
      </c>
      <c r="C46" s="231" t="str">
        <f>AF47</f>
        <v/>
      </c>
      <c r="D46" s="276"/>
      <c r="E46" s="283" cm="1">
        <f t="array" ref="E46">IFERROR(_xlfn.XLOOKUP(TRIM(B46), TRIM('DAY 1 SCORES'!$B$4:$B$152), 'DAY 1 SCORES'!$H$4:$H$152, 12), 12)</f>
        <v>120</v>
      </c>
      <c r="F46" s="283">
        <f>AK47</f>
        <v>0</v>
      </c>
      <c r="G46" s="284">
        <f>AH47</f>
        <v>0</v>
      </c>
      <c r="H46" s="237" t="str">
        <f>IF(B46="","", IFERROR(VLOOKUP(B46, 'DAY 1 SCORES'!B:G, 6, FALSE), 0))</f>
        <v/>
      </c>
      <c r="I46" s="284">
        <f>AG47</f>
        <v>0</v>
      </c>
      <c r="J46" s="276"/>
      <c r="K46" s="121" t="str" cm="1">
        <f t="array" ref="K46">IF(B46="", "", IFERROR(_xlfn.XLOOKUP(TRIM(B46), TRIM('DAY 2 SCORES'!$B$4:$B$152), 'DAY 2 SCORES'!$H$4:$H$152, 12), 12))</f>
        <v/>
      </c>
      <c r="L46" s="121">
        <f>AL47</f>
        <v>0</v>
      </c>
      <c r="M46" s="121">
        <f>AJ47</f>
        <v>0</v>
      </c>
      <c r="N46" s="84" t="str">
        <f>IF(B46="","", IFERROR(VLOOKUP(B46, 'DAY 2 SCORES'!B:G, 6, FALSE), 0))</f>
        <v/>
      </c>
      <c r="O46" s="84">
        <f>IFERROR(VLOOKUP($B46, 'DAY 2 SCORES'!$B:$H, 4, FALSE), 0)</f>
        <v>0</v>
      </c>
      <c r="Q46" s="233" t="str">
        <f>IF(B46="", "", E46+K46)</f>
        <v/>
      </c>
      <c r="R46" s="233" t="str">
        <f t="shared" si="0"/>
        <v/>
      </c>
      <c r="S46" s="287" t="str">
        <f>IF(B46="","", G46+M46)</f>
        <v/>
      </c>
      <c r="T46" s="287" t="str">
        <f>IF(B46="","", MAX(H46, N46))</f>
        <v/>
      </c>
      <c r="U46" s="287" t="str">
        <f t="shared" si="1"/>
        <v/>
      </c>
      <c r="W46" s="83">
        <f t="shared" si="2"/>
        <v>999</v>
      </c>
      <c r="AE46" s="83" t="str">
        <v/>
      </c>
      <c r="AF46" s="83" t="str">
        <v/>
      </c>
      <c r="AG46" s="83">
        <v>0</v>
      </c>
      <c r="AH46" s="83">
        <v>0</v>
      </c>
      <c r="AI46" s="83">
        <v>0</v>
      </c>
      <c r="AJ46" s="83">
        <v>0</v>
      </c>
      <c r="AK46" s="83">
        <v>0</v>
      </c>
      <c r="AL46" s="83">
        <v>0</v>
      </c>
      <c r="AM46" s="83">
        <v>0</v>
      </c>
      <c r="AN46" s="83">
        <v>14400</v>
      </c>
      <c r="AO46" s="83">
        <v>14400</v>
      </c>
      <c r="AP46" s="83">
        <v>999</v>
      </c>
    </row>
    <row r="47" spans="1:42" ht="24.75" customHeight="1">
      <c r="A47" s="84" t="str">
        <f>IF(B47&lt;&gt;"", COUNTA($B$3:B47), "")</f>
        <v/>
      </c>
      <c r="B47" s="231" t="str">
        <f>AE48</f>
        <v/>
      </c>
      <c r="C47" s="231" t="str">
        <f>AF48</f>
        <v/>
      </c>
      <c r="D47" s="276"/>
      <c r="E47" s="283" cm="1">
        <f t="array" ref="E47">IFERROR(_xlfn.XLOOKUP(TRIM(B47), TRIM('DAY 1 SCORES'!$B$4:$B$152), 'DAY 1 SCORES'!$H$4:$H$152, 12), 12)</f>
        <v>120</v>
      </c>
      <c r="F47" s="283">
        <f>AK48</f>
        <v>0</v>
      </c>
      <c r="G47" s="284">
        <f>AH48</f>
        <v>0</v>
      </c>
      <c r="H47" s="237" t="str">
        <f>IF(B47="","", IFERROR(VLOOKUP(B47, 'DAY 1 SCORES'!B:G, 6, FALSE), 0))</f>
        <v/>
      </c>
      <c r="I47" s="284">
        <f>AG48</f>
        <v>0</v>
      </c>
      <c r="J47" s="276"/>
      <c r="K47" s="121" t="str" cm="1">
        <f t="array" ref="K47">IF(B47="", "", IFERROR(_xlfn.XLOOKUP(TRIM(B47), TRIM('DAY 2 SCORES'!$B$4:$B$152), 'DAY 2 SCORES'!$H$4:$H$152, 12), 12))</f>
        <v/>
      </c>
      <c r="L47" s="121">
        <f>AL48</f>
        <v>0</v>
      </c>
      <c r="M47" s="121">
        <f>AJ48</f>
        <v>0</v>
      </c>
      <c r="N47" s="84" t="str">
        <f>IF(B47="","", IFERROR(VLOOKUP(B47, 'DAY 2 SCORES'!B:G, 6, FALSE), 0))</f>
        <v/>
      </c>
      <c r="O47" s="84">
        <f>IFERROR(VLOOKUP($B47, 'DAY 2 SCORES'!$B:$H, 4, FALSE), 0)</f>
        <v>0</v>
      </c>
      <c r="Q47" s="233" t="str">
        <f>IF(B47="", "", E47+K47)</f>
        <v/>
      </c>
      <c r="R47" s="233" t="str">
        <f t="shared" si="0"/>
        <v/>
      </c>
      <c r="S47" s="287" t="str">
        <f>IF(B47="","", G47+M47)</f>
        <v/>
      </c>
      <c r="T47" s="287" t="str">
        <f>IF(B47="","", MAX(H47, N47))</f>
        <v/>
      </c>
      <c r="U47" s="287" t="str">
        <f t="shared" si="1"/>
        <v/>
      </c>
      <c r="W47" s="83">
        <f t="shared" si="2"/>
        <v>999</v>
      </c>
      <c r="AE47" s="83" t="str">
        <v/>
      </c>
      <c r="AF47" s="83" t="str">
        <v/>
      </c>
      <c r="AG47" s="83">
        <v>0</v>
      </c>
      <c r="AH47" s="83">
        <v>0</v>
      </c>
      <c r="AI47" s="83">
        <v>0</v>
      </c>
      <c r="AJ47" s="83">
        <v>0</v>
      </c>
      <c r="AK47" s="83">
        <v>0</v>
      </c>
      <c r="AL47" s="83">
        <v>0</v>
      </c>
      <c r="AM47" s="83">
        <v>0</v>
      </c>
      <c r="AN47" s="83">
        <v>14400</v>
      </c>
      <c r="AO47" s="83">
        <v>14400</v>
      </c>
      <c r="AP47" s="83">
        <v>999</v>
      </c>
    </row>
    <row r="48" spans="1:42" ht="24.75" customHeight="1">
      <c r="A48" s="84" t="str">
        <f>IF(B48&lt;&gt;"", COUNTA($B$3:B48), "")</f>
        <v/>
      </c>
      <c r="B48" s="231" t="str">
        <f>AE49</f>
        <v/>
      </c>
      <c r="C48" s="231" t="str">
        <f>AF49</f>
        <v/>
      </c>
      <c r="D48" s="276"/>
      <c r="E48" s="283" cm="1">
        <f t="array" ref="E48">IFERROR(_xlfn.XLOOKUP(TRIM(B48), TRIM('DAY 1 SCORES'!$B$4:$B$152), 'DAY 1 SCORES'!$H$4:$H$152, 12), 12)</f>
        <v>120</v>
      </c>
      <c r="F48" s="283">
        <f>AK49</f>
        <v>0</v>
      </c>
      <c r="G48" s="284">
        <f>AH49</f>
        <v>0</v>
      </c>
      <c r="H48" s="237" t="str">
        <f>IF(B48="","", IFERROR(VLOOKUP(B48, 'DAY 1 SCORES'!B:G, 6, FALSE), 0))</f>
        <v/>
      </c>
      <c r="I48" s="284">
        <f>AG49</f>
        <v>0</v>
      </c>
      <c r="J48" s="276"/>
      <c r="K48" s="121" t="str" cm="1">
        <f t="array" ref="K48">IF(B48="", "", IFERROR(_xlfn.XLOOKUP(TRIM(B48), TRIM('DAY 2 SCORES'!$B$4:$B$152), 'DAY 2 SCORES'!$H$4:$H$152, 12), 12))</f>
        <v/>
      </c>
      <c r="L48" s="121">
        <f>AL49</f>
        <v>0</v>
      </c>
      <c r="M48" s="121">
        <f>AJ49</f>
        <v>0</v>
      </c>
      <c r="N48" s="84" t="str">
        <f>IF(B48="","", IFERROR(VLOOKUP(B48, 'DAY 2 SCORES'!B:G, 6, FALSE), 0))</f>
        <v/>
      </c>
      <c r="O48" s="84">
        <f>IFERROR(VLOOKUP($B48, 'DAY 2 SCORES'!$B:$H, 4, FALSE), 0)</f>
        <v>0</v>
      </c>
      <c r="Q48" s="233" t="str">
        <f>IF(B48="", "", E48+K48)</f>
        <v/>
      </c>
      <c r="R48" s="233" t="str">
        <f t="shared" si="0"/>
        <v/>
      </c>
      <c r="S48" s="287" t="str">
        <f>IF(B48="","", G48+M48)</f>
        <v/>
      </c>
      <c r="T48" s="287" t="str">
        <f>IF(B48="","", MAX(H48, N48))</f>
        <v/>
      </c>
      <c r="U48" s="287" t="str">
        <f t="shared" si="1"/>
        <v/>
      </c>
      <c r="W48" s="83">
        <f t="shared" si="2"/>
        <v>999</v>
      </c>
      <c r="AE48" s="83" t="str">
        <v/>
      </c>
      <c r="AF48" s="83" t="str">
        <v/>
      </c>
      <c r="AG48" s="83">
        <v>0</v>
      </c>
      <c r="AH48" s="83">
        <v>0</v>
      </c>
      <c r="AI48" s="83">
        <v>0</v>
      </c>
      <c r="AJ48" s="83">
        <v>0</v>
      </c>
      <c r="AK48" s="83">
        <v>0</v>
      </c>
      <c r="AL48" s="83">
        <v>0</v>
      </c>
      <c r="AM48" s="83">
        <v>0</v>
      </c>
      <c r="AN48" s="83">
        <v>14400</v>
      </c>
      <c r="AO48" s="83">
        <v>14400</v>
      </c>
      <c r="AP48" s="83">
        <v>999</v>
      </c>
    </row>
    <row r="49" spans="1:42" ht="24.75" customHeight="1">
      <c r="A49" s="84" t="str">
        <f>IF(B49&lt;&gt;"", COUNTA($B$3:B49), "")</f>
        <v/>
      </c>
      <c r="B49" s="231" t="str">
        <f>AE50</f>
        <v/>
      </c>
      <c r="C49" s="231" t="str">
        <f>AF50</f>
        <v/>
      </c>
      <c r="D49" s="276"/>
      <c r="E49" s="283" cm="1">
        <f t="array" ref="E49">IFERROR(_xlfn.XLOOKUP(TRIM(B49), TRIM('DAY 1 SCORES'!$B$4:$B$152), 'DAY 1 SCORES'!$H$4:$H$152, 12), 12)</f>
        <v>120</v>
      </c>
      <c r="F49" s="283">
        <f>AK50</f>
        <v>0</v>
      </c>
      <c r="G49" s="284">
        <f>AH50</f>
        <v>0</v>
      </c>
      <c r="H49" s="237" t="str">
        <f>IF(B49="","", IFERROR(VLOOKUP(B49, 'DAY 1 SCORES'!B:G, 6, FALSE), 0))</f>
        <v/>
      </c>
      <c r="I49" s="284">
        <f>AG50</f>
        <v>0</v>
      </c>
      <c r="J49" s="276"/>
      <c r="K49" s="121" t="str" cm="1">
        <f t="array" ref="K49">IF(B49="", "", IFERROR(_xlfn.XLOOKUP(TRIM(B49), TRIM('DAY 2 SCORES'!$B$4:$B$152), 'DAY 2 SCORES'!$H$4:$H$152, 12), 12))</f>
        <v/>
      </c>
      <c r="L49" s="121">
        <f>AL50</f>
        <v>0</v>
      </c>
      <c r="M49" s="121">
        <f>AJ50</f>
        <v>0</v>
      </c>
      <c r="N49" s="84" t="str">
        <f>IF(B49="","", IFERROR(VLOOKUP(B49, 'DAY 2 SCORES'!B:G, 6, FALSE), 0))</f>
        <v/>
      </c>
      <c r="O49" s="84">
        <f>IFERROR(VLOOKUP($B49, 'DAY 2 SCORES'!$B:$H, 4, FALSE), 0)</f>
        <v>0</v>
      </c>
      <c r="Q49" s="233" t="str">
        <f>IF(B49="", "", E49+K49)</f>
        <v/>
      </c>
      <c r="R49" s="233" t="str">
        <f t="shared" si="0"/>
        <v/>
      </c>
      <c r="S49" s="287" t="str">
        <f>IF(B49="","", G49+M49)</f>
        <v/>
      </c>
      <c r="T49" s="287" t="str">
        <f>IF(B49="","", MAX(H49, N49))</f>
        <v/>
      </c>
      <c r="U49" s="287" t="str">
        <f t="shared" si="1"/>
        <v/>
      </c>
      <c r="W49" s="83">
        <f t="shared" si="2"/>
        <v>999</v>
      </c>
      <c r="AE49" s="83" t="str">
        <v/>
      </c>
      <c r="AF49" s="83" t="str">
        <v/>
      </c>
      <c r="AG49" s="83">
        <v>0</v>
      </c>
      <c r="AH49" s="83">
        <v>0</v>
      </c>
      <c r="AI49" s="83">
        <v>0</v>
      </c>
      <c r="AJ49" s="83">
        <v>0</v>
      </c>
      <c r="AK49" s="83">
        <v>0</v>
      </c>
      <c r="AL49" s="83">
        <v>0</v>
      </c>
      <c r="AM49" s="83">
        <v>0</v>
      </c>
      <c r="AN49" s="83">
        <v>14400</v>
      </c>
      <c r="AO49" s="83">
        <v>14400</v>
      </c>
      <c r="AP49" s="83">
        <v>999</v>
      </c>
    </row>
    <row r="50" spans="1:42" ht="24.75" customHeight="1">
      <c r="A50" s="84" t="str">
        <f>IF(B50&lt;&gt;"", COUNTA($B$3:B50), "")</f>
        <v/>
      </c>
      <c r="B50" s="231" t="str">
        <f>AE51</f>
        <v/>
      </c>
      <c r="C50" s="231" t="str">
        <f>AF51</f>
        <v/>
      </c>
      <c r="D50" s="276"/>
      <c r="E50" s="283" cm="1">
        <f t="array" ref="E50">IFERROR(_xlfn.XLOOKUP(TRIM(B50), TRIM('DAY 1 SCORES'!$B$4:$B$152), 'DAY 1 SCORES'!$H$4:$H$152, 12), 12)</f>
        <v>120</v>
      </c>
      <c r="F50" s="283">
        <f>AK51</f>
        <v>0</v>
      </c>
      <c r="G50" s="284">
        <f>AH51</f>
        <v>0</v>
      </c>
      <c r="H50" s="237" t="str">
        <f>IF(B50="","", IFERROR(VLOOKUP(B50, 'DAY 1 SCORES'!B:G, 6, FALSE), 0))</f>
        <v/>
      </c>
      <c r="I50" s="284">
        <f>AG51</f>
        <v>0</v>
      </c>
      <c r="J50" s="276"/>
      <c r="K50" s="121" t="str" cm="1">
        <f t="array" ref="K50">IF(B50="", "", IFERROR(_xlfn.XLOOKUP(TRIM(B50), TRIM('DAY 2 SCORES'!$B$4:$B$152), 'DAY 2 SCORES'!$H$4:$H$152, 12), 12))</f>
        <v/>
      </c>
      <c r="L50" s="121">
        <f>AL51</f>
        <v>0</v>
      </c>
      <c r="M50" s="121">
        <f>AJ51</f>
        <v>0</v>
      </c>
      <c r="N50" s="84" t="str">
        <f>IF(B50="","", IFERROR(VLOOKUP(B50, 'DAY 2 SCORES'!B:G, 6, FALSE), 0))</f>
        <v/>
      </c>
      <c r="O50" s="84">
        <f>IFERROR(VLOOKUP($B50, 'DAY 2 SCORES'!$B:$H, 4, FALSE), 0)</f>
        <v>0</v>
      </c>
      <c r="Q50" s="233" t="str">
        <f>IF(B50="", "", E50+K50)</f>
        <v/>
      </c>
      <c r="R50" s="233" t="str">
        <f t="shared" si="0"/>
        <v/>
      </c>
      <c r="S50" s="287" t="str">
        <f>IF(B50="","", G50+M50)</f>
        <v/>
      </c>
      <c r="T50" s="287" t="str">
        <f>IF(B50="","", MAX(H50, N50))</f>
        <v/>
      </c>
      <c r="U50" s="287" t="str">
        <f t="shared" si="1"/>
        <v/>
      </c>
      <c r="W50" s="83">
        <f t="shared" si="2"/>
        <v>999</v>
      </c>
      <c r="AE50" s="83" t="str">
        <v/>
      </c>
      <c r="AF50" s="83" t="str">
        <v/>
      </c>
      <c r="AG50" s="83">
        <v>0</v>
      </c>
      <c r="AH50" s="83">
        <v>0</v>
      </c>
      <c r="AI50" s="83">
        <v>0</v>
      </c>
      <c r="AJ50" s="83">
        <v>0</v>
      </c>
      <c r="AK50" s="83">
        <v>0</v>
      </c>
      <c r="AL50" s="83">
        <v>0</v>
      </c>
      <c r="AM50" s="83">
        <v>0</v>
      </c>
      <c r="AN50" s="83">
        <v>14400</v>
      </c>
      <c r="AO50" s="83">
        <v>14400</v>
      </c>
      <c r="AP50" s="83">
        <v>999</v>
      </c>
    </row>
    <row r="51" spans="1:42" ht="24.75" customHeight="1">
      <c r="A51" s="84" t="str">
        <f>IF(B51&lt;&gt;"", COUNTA($B$3:B51), "")</f>
        <v/>
      </c>
      <c r="B51" s="231" t="str">
        <f>AE52</f>
        <v/>
      </c>
      <c r="C51" s="231" t="str">
        <f>AF52</f>
        <v/>
      </c>
      <c r="D51" s="276"/>
      <c r="E51" s="283" cm="1">
        <f t="array" ref="E51">IFERROR(_xlfn.XLOOKUP(TRIM(B51), TRIM('DAY 1 SCORES'!$B$4:$B$152), 'DAY 1 SCORES'!$H$4:$H$152, 12), 12)</f>
        <v>120</v>
      </c>
      <c r="F51" s="283">
        <f>AK52</f>
        <v>0</v>
      </c>
      <c r="G51" s="284">
        <f>AH52</f>
        <v>0</v>
      </c>
      <c r="H51" s="237" t="str">
        <f>IF(B51="","", IFERROR(VLOOKUP(B51, 'DAY 1 SCORES'!B:G, 6, FALSE), 0))</f>
        <v/>
      </c>
      <c r="I51" s="284">
        <f>AG52</f>
        <v>0</v>
      </c>
      <c r="J51" s="276"/>
      <c r="K51" s="121" t="str" cm="1">
        <f t="array" ref="K51">IF(B51="", "", IFERROR(_xlfn.XLOOKUP(TRIM(B51), TRIM('DAY 2 SCORES'!$B$4:$B$152), 'DAY 2 SCORES'!$H$4:$H$152, 12), 12))</f>
        <v/>
      </c>
      <c r="L51" s="121">
        <f>AL52</f>
        <v>0</v>
      </c>
      <c r="M51" s="121">
        <f>AJ52</f>
        <v>0</v>
      </c>
      <c r="N51" s="84" t="str">
        <f>IF(B51="","", IFERROR(VLOOKUP(B51, 'DAY 2 SCORES'!B:G, 6, FALSE), 0))</f>
        <v/>
      </c>
      <c r="O51" s="84">
        <f>IFERROR(VLOOKUP($B51, 'DAY 2 SCORES'!$B:$H, 4, FALSE), 0)</f>
        <v>0</v>
      </c>
      <c r="Q51" s="233" t="str">
        <f>IF(B51="", "", E51+K51)</f>
        <v/>
      </c>
      <c r="R51" s="233" t="str">
        <f t="shared" si="0"/>
        <v/>
      </c>
      <c r="S51" s="287" t="str">
        <f>IF(B51="","", G51+M51)</f>
        <v/>
      </c>
      <c r="T51" s="287" t="str">
        <f>IF(B51="","", MAX(H51, N51))</f>
        <v/>
      </c>
      <c r="U51" s="287" t="str">
        <f t="shared" si="1"/>
        <v/>
      </c>
      <c r="W51" s="83">
        <f t="shared" si="2"/>
        <v>999</v>
      </c>
      <c r="AE51" s="83" t="str">
        <v/>
      </c>
      <c r="AF51" s="83" t="str">
        <v/>
      </c>
      <c r="AG51" s="83">
        <v>0</v>
      </c>
      <c r="AH51" s="83">
        <v>0</v>
      </c>
      <c r="AI51" s="83">
        <v>0</v>
      </c>
      <c r="AJ51" s="83">
        <v>0</v>
      </c>
      <c r="AK51" s="83">
        <v>0</v>
      </c>
      <c r="AL51" s="83">
        <v>0</v>
      </c>
      <c r="AM51" s="83">
        <v>0</v>
      </c>
      <c r="AN51" s="83">
        <v>14400</v>
      </c>
      <c r="AO51" s="83">
        <v>14400</v>
      </c>
      <c r="AP51" s="83">
        <v>999</v>
      </c>
    </row>
    <row r="52" spans="1:42" ht="24.75" customHeight="1">
      <c r="A52" s="84" t="str">
        <f>IF(B52&lt;&gt;"", COUNTA($B$3:B52), "")</f>
        <v/>
      </c>
      <c r="B52" s="231" t="str">
        <f>AE53</f>
        <v/>
      </c>
      <c r="C52" s="231" t="str">
        <f>AF53</f>
        <v/>
      </c>
      <c r="D52" s="276"/>
      <c r="E52" s="283" cm="1">
        <f t="array" ref="E52">IFERROR(_xlfn.XLOOKUP(TRIM(B52), TRIM('DAY 1 SCORES'!$B$4:$B$152), 'DAY 1 SCORES'!$H$4:$H$152, 12), 12)</f>
        <v>120</v>
      </c>
      <c r="F52" s="283">
        <f>AK53</f>
        <v>0</v>
      </c>
      <c r="G52" s="284">
        <f>AH53</f>
        <v>0</v>
      </c>
      <c r="H52" s="237" t="str">
        <f>IF(B52="","", IFERROR(VLOOKUP(B52, 'DAY 1 SCORES'!B:G, 6, FALSE), 0))</f>
        <v/>
      </c>
      <c r="I52" s="284">
        <f>AG53</f>
        <v>0</v>
      </c>
      <c r="J52" s="276"/>
      <c r="K52" s="121" t="str" cm="1">
        <f t="array" ref="K52">IF(B52="", "", IFERROR(_xlfn.XLOOKUP(TRIM(B52), TRIM('DAY 2 SCORES'!$B$4:$B$152), 'DAY 2 SCORES'!$H$4:$H$152, 12), 12))</f>
        <v/>
      </c>
      <c r="L52" s="121">
        <f>AL53</f>
        <v>0</v>
      </c>
      <c r="M52" s="121">
        <f>AJ53</f>
        <v>0</v>
      </c>
      <c r="N52" s="84" t="str">
        <f>IF(B52="","", IFERROR(VLOOKUP(B52, 'DAY 2 SCORES'!B:G, 6, FALSE), 0))</f>
        <v/>
      </c>
      <c r="O52" s="84">
        <f>IFERROR(VLOOKUP($B52, 'DAY 2 SCORES'!$B:$H, 4, FALSE), 0)</f>
        <v>0</v>
      </c>
      <c r="Q52" s="233" t="str">
        <f>IF(B52="", "", E52+K52)</f>
        <v/>
      </c>
      <c r="R52" s="233" t="str">
        <f t="shared" si="0"/>
        <v/>
      </c>
      <c r="S52" s="287" t="str">
        <f>IF(B52="","", G52+M52)</f>
        <v/>
      </c>
      <c r="T52" s="287" t="str">
        <f>IF(B52="","", MAX(H52, N52))</f>
        <v/>
      </c>
      <c r="U52" s="287" t="str">
        <f t="shared" si="1"/>
        <v/>
      </c>
      <c r="W52" s="83">
        <f t="shared" si="2"/>
        <v>999</v>
      </c>
      <c r="AE52" s="83" t="str">
        <v/>
      </c>
      <c r="AF52" s="83" t="str">
        <v/>
      </c>
      <c r="AG52" s="83">
        <v>0</v>
      </c>
      <c r="AH52" s="83">
        <v>0</v>
      </c>
      <c r="AI52" s="83">
        <v>0</v>
      </c>
      <c r="AJ52" s="83">
        <v>0</v>
      </c>
      <c r="AK52" s="83">
        <v>0</v>
      </c>
      <c r="AL52" s="83">
        <v>0</v>
      </c>
      <c r="AM52" s="83">
        <v>0</v>
      </c>
      <c r="AN52" s="83">
        <v>14400</v>
      </c>
      <c r="AO52" s="83">
        <v>14400</v>
      </c>
      <c r="AP52" s="83">
        <v>999</v>
      </c>
    </row>
    <row r="53" spans="1:42" ht="24.75" customHeight="1">
      <c r="A53" s="84" t="str">
        <f>IF(B53&lt;&gt;"", COUNTA($B$3:B53), "")</f>
        <v/>
      </c>
      <c r="B53" s="231" t="str">
        <f>AE54</f>
        <v/>
      </c>
      <c r="C53" s="231" t="str">
        <f>AF54</f>
        <v/>
      </c>
      <c r="D53" s="276"/>
      <c r="E53" s="283" cm="1">
        <f t="array" ref="E53">IFERROR(_xlfn.XLOOKUP(TRIM(B53), TRIM('DAY 1 SCORES'!$B$4:$B$152), 'DAY 1 SCORES'!$H$4:$H$152, 12), 12)</f>
        <v>120</v>
      </c>
      <c r="F53" s="283">
        <f>AK54</f>
        <v>0</v>
      </c>
      <c r="G53" s="284">
        <f>AH54</f>
        <v>0</v>
      </c>
      <c r="H53" s="237" t="str">
        <f>IF(B53="","", IFERROR(VLOOKUP(B53, 'DAY 1 SCORES'!B:G, 6, FALSE), 0))</f>
        <v/>
      </c>
      <c r="I53" s="284">
        <f>AG54</f>
        <v>0</v>
      </c>
      <c r="J53" s="276"/>
      <c r="K53" s="121" t="str" cm="1">
        <f t="array" ref="K53">IF(B53="", "", IFERROR(_xlfn.XLOOKUP(TRIM(B53), TRIM('DAY 2 SCORES'!$B$4:$B$152), 'DAY 2 SCORES'!$H$4:$H$152, 12), 12))</f>
        <v/>
      </c>
      <c r="L53" s="121">
        <f>AL54</f>
        <v>0</v>
      </c>
      <c r="M53" s="121">
        <f>AJ54</f>
        <v>0</v>
      </c>
      <c r="N53" s="84" t="str">
        <f>IF(B53="","", IFERROR(VLOOKUP(B53, 'DAY 2 SCORES'!B:G, 6, FALSE), 0))</f>
        <v/>
      </c>
      <c r="O53" s="84">
        <f>IFERROR(VLOOKUP($B53, 'DAY 2 SCORES'!$B:$H, 4, FALSE), 0)</f>
        <v>0</v>
      </c>
      <c r="Q53" s="233" t="str">
        <f>IF(B53="", "", E53+K53)</f>
        <v/>
      </c>
      <c r="R53" s="233" t="str">
        <f t="shared" si="0"/>
        <v/>
      </c>
      <c r="S53" s="287" t="str">
        <f>IF(B53="","", G53+M53)</f>
        <v/>
      </c>
      <c r="T53" s="287" t="str">
        <f>IF(B53="","", MAX(H53, N53))</f>
        <v/>
      </c>
      <c r="U53" s="287" t="str">
        <f t="shared" si="1"/>
        <v/>
      </c>
      <c r="W53" s="83">
        <f t="shared" si="2"/>
        <v>999</v>
      </c>
      <c r="AE53" s="83" t="str">
        <v/>
      </c>
      <c r="AF53" s="83" t="str">
        <v/>
      </c>
      <c r="AG53" s="83">
        <v>0</v>
      </c>
      <c r="AH53" s="83">
        <v>0</v>
      </c>
      <c r="AI53" s="83">
        <v>0</v>
      </c>
      <c r="AJ53" s="83">
        <v>0</v>
      </c>
      <c r="AK53" s="83">
        <v>0</v>
      </c>
      <c r="AL53" s="83">
        <v>0</v>
      </c>
      <c r="AM53" s="83">
        <v>0</v>
      </c>
      <c r="AN53" s="83">
        <v>14400</v>
      </c>
      <c r="AO53" s="83">
        <v>14400</v>
      </c>
      <c r="AP53" s="83">
        <v>999</v>
      </c>
    </row>
    <row r="54" spans="1:42" ht="24.75" customHeight="1">
      <c r="A54" s="84" t="str">
        <f>IF(B54&lt;&gt;"", COUNTA($B$3:B54), "")</f>
        <v/>
      </c>
      <c r="B54" s="231" t="str">
        <f>AE55</f>
        <v/>
      </c>
      <c r="C54" s="231" t="str">
        <f>AF55</f>
        <v/>
      </c>
      <c r="D54" s="276"/>
      <c r="E54" s="283" cm="1">
        <f t="array" ref="E54">IFERROR(_xlfn.XLOOKUP(TRIM(B54), TRIM('DAY 1 SCORES'!$B$4:$B$152), 'DAY 1 SCORES'!$H$4:$H$152, 12), 12)</f>
        <v>120</v>
      </c>
      <c r="F54" s="283">
        <f>AK55</f>
        <v>0</v>
      </c>
      <c r="G54" s="284">
        <f>AH55</f>
        <v>0</v>
      </c>
      <c r="H54" s="237" t="str">
        <f>IF(B54="","", IFERROR(VLOOKUP(B54, 'DAY 1 SCORES'!B:G, 6, FALSE), 0))</f>
        <v/>
      </c>
      <c r="I54" s="284">
        <f>AG55</f>
        <v>0</v>
      </c>
      <c r="J54" s="276"/>
      <c r="K54" s="121" t="str" cm="1">
        <f t="array" ref="K54">IF(B54="", "", IFERROR(_xlfn.XLOOKUP(TRIM(B54), TRIM('DAY 2 SCORES'!$B$4:$B$152), 'DAY 2 SCORES'!$H$4:$H$152, 12), 12))</f>
        <v/>
      </c>
      <c r="L54" s="121">
        <f>AL55</f>
        <v>0</v>
      </c>
      <c r="M54" s="121">
        <f>AJ55</f>
        <v>0</v>
      </c>
      <c r="N54" s="84" t="str">
        <f>IF(B54="","", IFERROR(VLOOKUP(B54, 'DAY 2 SCORES'!B:G, 6, FALSE), 0))</f>
        <v/>
      </c>
      <c r="O54" s="84">
        <f>IFERROR(VLOOKUP($B54, 'DAY 2 SCORES'!$B:$H, 4, FALSE), 0)</f>
        <v>0</v>
      </c>
      <c r="Q54" s="233" t="str">
        <f>IF(B54="", "", E54+K54)</f>
        <v/>
      </c>
      <c r="R54" s="233" t="str">
        <f t="shared" si="0"/>
        <v/>
      </c>
      <c r="S54" s="287" t="str">
        <f>IF(B54="","", G54+M54)</f>
        <v/>
      </c>
      <c r="T54" s="287" t="str">
        <f>IF(B54="","", MAX(H54, N54))</f>
        <v/>
      </c>
      <c r="U54" s="287" t="str">
        <f t="shared" si="1"/>
        <v/>
      </c>
      <c r="W54" s="83">
        <f t="shared" si="2"/>
        <v>999</v>
      </c>
      <c r="AE54" s="83" t="str">
        <v/>
      </c>
      <c r="AF54" s="83" t="str">
        <v/>
      </c>
      <c r="AG54" s="83">
        <v>0</v>
      </c>
      <c r="AH54" s="83">
        <v>0</v>
      </c>
      <c r="AI54" s="83">
        <v>0</v>
      </c>
      <c r="AJ54" s="83">
        <v>0</v>
      </c>
      <c r="AK54" s="83">
        <v>0</v>
      </c>
      <c r="AL54" s="83">
        <v>0</v>
      </c>
      <c r="AM54" s="83">
        <v>0</v>
      </c>
      <c r="AN54" s="83">
        <v>14400</v>
      </c>
      <c r="AO54" s="83">
        <v>14400</v>
      </c>
      <c r="AP54" s="83">
        <v>999</v>
      </c>
    </row>
    <row r="55" spans="1:42" ht="24.75" customHeight="1">
      <c r="A55" s="84" t="str">
        <f>IF(B55&lt;&gt;"", COUNTA($B$3:B55), "")</f>
        <v/>
      </c>
      <c r="B55" s="231" t="str">
        <f>AE56</f>
        <v/>
      </c>
      <c r="C55" s="231" t="str">
        <f>AF56</f>
        <v/>
      </c>
      <c r="D55" s="276"/>
      <c r="E55" s="283" cm="1">
        <f t="array" ref="E55">IFERROR(_xlfn.XLOOKUP(TRIM(B55), TRIM('DAY 1 SCORES'!$B$4:$B$152), 'DAY 1 SCORES'!$H$4:$H$152, 12), 12)</f>
        <v>120</v>
      </c>
      <c r="F55" s="283">
        <f>AK56</f>
        <v>0</v>
      </c>
      <c r="G55" s="284">
        <f>AH56</f>
        <v>0</v>
      </c>
      <c r="H55" s="237" t="str">
        <f>IF(B55="","", IFERROR(VLOOKUP(B55, 'DAY 1 SCORES'!B:G, 6, FALSE), 0))</f>
        <v/>
      </c>
      <c r="I55" s="284">
        <f>AG56</f>
        <v>0</v>
      </c>
      <c r="J55" s="276"/>
      <c r="K55" s="121" t="str" cm="1">
        <f t="array" ref="K55">IF(B55="", "", IFERROR(_xlfn.XLOOKUP(TRIM(B55), TRIM('DAY 2 SCORES'!$B$4:$B$152), 'DAY 2 SCORES'!$H$4:$H$152, 12), 12))</f>
        <v/>
      </c>
      <c r="L55" s="121">
        <f>AL56</f>
        <v>0</v>
      </c>
      <c r="M55" s="121">
        <f>AJ56</f>
        <v>0</v>
      </c>
      <c r="N55" s="84" t="str">
        <f>IF(B55="","", IFERROR(VLOOKUP(B55, 'DAY 2 SCORES'!B:G, 6, FALSE), 0))</f>
        <v/>
      </c>
      <c r="O55" s="84">
        <f>IFERROR(VLOOKUP($B55, 'DAY 2 SCORES'!$B:$H, 4, FALSE), 0)</f>
        <v>0</v>
      </c>
      <c r="Q55" s="233" t="str">
        <f>IF(B55="", "", E55+K55)</f>
        <v/>
      </c>
      <c r="R55" s="233" t="str">
        <f t="shared" si="0"/>
        <v/>
      </c>
      <c r="S55" s="287" t="str">
        <f>IF(B55="","", G55+M55)</f>
        <v/>
      </c>
      <c r="T55" s="287" t="str">
        <f>IF(B55="","", MAX(H55, N55))</f>
        <v/>
      </c>
      <c r="U55" s="287" t="str">
        <f t="shared" si="1"/>
        <v/>
      </c>
      <c r="W55" s="83">
        <f t="shared" si="2"/>
        <v>999</v>
      </c>
      <c r="AE55" s="83" t="str">
        <v/>
      </c>
      <c r="AF55" s="83" t="str">
        <v/>
      </c>
      <c r="AG55" s="83">
        <v>0</v>
      </c>
      <c r="AH55" s="83">
        <v>0</v>
      </c>
      <c r="AI55" s="83">
        <v>0</v>
      </c>
      <c r="AJ55" s="83">
        <v>0</v>
      </c>
      <c r="AK55" s="83">
        <v>0</v>
      </c>
      <c r="AL55" s="83">
        <v>0</v>
      </c>
      <c r="AM55" s="83">
        <v>0</v>
      </c>
      <c r="AN55" s="83">
        <v>14400</v>
      </c>
      <c r="AO55" s="83">
        <v>14400</v>
      </c>
      <c r="AP55" s="83">
        <v>999</v>
      </c>
    </row>
    <row r="56" spans="1:42" ht="24.75" customHeight="1">
      <c r="A56" s="84" t="str">
        <f>IF(B56&lt;&gt;"", COUNTA($B$3:B56), "")</f>
        <v/>
      </c>
      <c r="B56" s="231" t="str">
        <f>AE57</f>
        <v/>
      </c>
      <c r="C56" s="231" t="str">
        <f>AF57</f>
        <v/>
      </c>
      <c r="D56" s="276"/>
      <c r="E56" s="283" cm="1">
        <f t="array" ref="E56">IFERROR(_xlfn.XLOOKUP(TRIM(B56), TRIM('DAY 1 SCORES'!$B$4:$B$152), 'DAY 1 SCORES'!$H$4:$H$152, 12), 12)</f>
        <v>120</v>
      </c>
      <c r="F56" s="283">
        <f>AK57</f>
        <v>0</v>
      </c>
      <c r="G56" s="284">
        <f>AH57</f>
        <v>0</v>
      </c>
      <c r="H56" s="237" t="str">
        <f>IF(B56="","", IFERROR(VLOOKUP(B56, 'DAY 1 SCORES'!B:G, 6, FALSE), 0))</f>
        <v/>
      </c>
      <c r="I56" s="284">
        <f>AG57</f>
        <v>0</v>
      </c>
      <c r="J56" s="276"/>
      <c r="K56" s="121" t="str" cm="1">
        <f t="array" ref="K56">IF(B56="", "", IFERROR(_xlfn.XLOOKUP(TRIM(B56), TRIM('DAY 2 SCORES'!$B$4:$B$152), 'DAY 2 SCORES'!$H$4:$H$152, 12), 12))</f>
        <v/>
      </c>
      <c r="L56" s="121">
        <f>AL57</f>
        <v>0</v>
      </c>
      <c r="M56" s="121">
        <f>AJ57</f>
        <v>0</v>
      </c>
      <c r="N56" s="84" t="str">
        <f>IF(B56="","", IFERROR(VLOOKUP(B56, 'DAY 2 SCORES'!B:G, 6, FALSE), 0))</f>
        <v/>
      </c>
      <c r="O56" s="84">
        <f>IFERROR(VLOOKUP($B56, 'DAY 2 SCORES'!$B:$H, 4, FALSE), 0)</f>
        <v>0</v>
      </c>
      <c r="Q56" s="233" t="str">
        <f>IF(B56="", "", E56+K56)</f>
        <v/>
      </c>
      <c r="R56" s="233" t="str">
        <f t="shared" si="0"/>
        <v/>
      </c>
      <c r="S56" s="287" t="str">
        <f>IF(B56="","", G56+M56)</f>
        <v/>
      </c>
      <c r="T56" s="287" t="str">
        <f>IF(B56="","", MAX(H56, N56))</f>
        <v/>
      </c>
      <c r="U56" s="287" t="str">
        <f t="shared" si="1"/>
        <v/>
      </c>
      <c r="W56" s="83">
        <f t="shared" si="2"/>
        <v>999</v>
      </c>
      <c r="AE56" s="83" t="str">
        <v/>
      </c>
      <c r="AF56" s="83" t="str">
        <v/>
      </c>
      <c r="AG56" s="83">
        <v>0</v>
      </c>
      <c r="AH56" s="83">
        <v>0</v>
      </c>
      <c r="AI56" s="83">
        <v>0</v>
      </c>
      <c r="AJ56" s="83">
        <v>0</v>
      </c>
      <c r="AK56" s="83">
        <v>0</v>
      </c>
      <c r="AL56" s="83">
        <v>0</v>
      </c>
      <c r="AM56" s="83">
        <v>0</v>
      </c>
      <c r="AN56" s="83">
        <v>14400</v>
      </c>
      <c r="AO56" s="83">
        <v>14400</v>
      </c>
      <c r="AP56" s="83">
        <v>999</v>
      </c>
    </row>
    <row r="57" spans="1:42" ht="24.75" customHeight="1">
      <c r="A57" s="84" t="str">
        <f>IF(B57&lt;&gt;"", COUNTA($B$3:B57), "")</f>
        <v/>
      </c>
      <c r="B57" s="231" t="str">
        <f>AE58</f>
        <v/>
      </c>
      <c r="C57" s="231" t="str">
        <f>AF58</f>
        <v/>
      </c>
      <c r="D57" s="276"/>
      <c r="E57" s="283" cm="1">
        <f t="array" ref="E57">IFERROR(_xlfn.XLOOKUP(TRIM(B57), TRIM('DAY 1 SCORES'!$B$4:$B$152), 'DAY 1 SCORES'!$H$4:$H$152, 12), 12)</f>
        <v>120</v>
      </c>
      <c r="F57" s="283">
        <f>AK58</f>
        <v>0</v>
      </c>
      <c r="G57" s="284">
        <f>AH58</f>
        <v>0</v>
      </c>
      <c r="H57" s="237" t="str">
        <f>IF(B57="","", IFERROR(VLOOKUP(B57, 'DAY 1 SCORES'!B:G, 6, FALSE), 0))</f>
        <v/>
      </c>
      <c r="I57" s="284">
        <f>AG58</f>
        <v>0</v>
      </c>
      <c r="J57" s="276"/>
      <c r="K57" s="121" t="str" cm="1">
        <f t="array" ref="K57">IF(B57="", "", IFERROR(_xlfn.XLOOKUP(TRIM(B57), TRIM('DAY 2 SCORES'!$B$4:$B$152), 'DAY 2 SCORES'!$H$4:$H$152, 12), 12))</f>
        <v/>
      </c>
      <c r="L57" s="121">
        <f>AL58</f>
        <v>0</v>
      </c>
      <c r="M57" s="121">
        <f>AJ58</f>
        <v>0</v>
      </c>
      <c r="N57" s="84" t="str">
        <f>IF(B57="","", IFERROR(VLOOKUP(B57, 'DAY 2 SCORES'!B:G, 6, FALSE), 0))</f>
        <v/>
      </c>
      <c r="O57" s="84">
        <f>IFERROR(VLOOKUP($B57, 'DAY 2 SCORES'!$B:$H, 4, FALSE), 0)</f>
        <v>0</v>
      </c>
      <c r="Q57" s="233" t="str">
        <f>IF(B57="", "", E57+K57)</f>
        <v/>
      </c>
      <c r="R57" s="233" t="str">
        <f t="shared" si="0"/>
        <v/>
      </c>
      <c r="S57" s="287" t="str">
        <f>IF(B57="","", G57+M57)</f>
        <v/>
      </c>
      <c r="T57" s="287" t="str">
        <f>IF(B57="","", MAX(H57, N57))</f>
        <v/>
      </c>
      <c r="U57" s="287" t="str">
        <f t="shared" si="1"/>
        <v/>
      </c>
      <c r="W57" s="83">
        <f t="shared" si="2"/>
        <v>999</v>
      </c>
      <c r="AE57" s="83" t="str">
        <v/>
      </c>
      <c r="AF57" s="83" t="str">
        <v/>
      </c>
      <c r="AG57" s="83">
        <v>0</v>
      </c>
      <c r="AH57" s="83">
        <v>0</v>
      </c>
      <c r="AI57" s="83">
        <v>0</v>
      </c>
      <c r="AJ57" s="83">
        <v>0</v>
      </c>
      <c r="AK57" s="83">
        <v>0</v>
      </c>
      <c r="AL57" s="83">
        <v>0</v>
      </c>
      <c r="AM57" s="83">
        <v>0</v>
      </c>
      <c r="AN57" s="83">
        <v>14400</v>
      </c>
      <c r="AO57" s="83">
        <v>14400</v>
      </c>
      <c r="AP57" s="83">
        <v>999</v>
      </c>
    </row>
    <row r="58" spans="1:42" ht="24.75" customHeight="1">
      <c r="A58" s="84" t="str">
        <f>IF(B58&lt;&gt;"", COUNTA($B$3:B58), "")</f>
        <v/>
      </c>
      <c r="B58" s="231" t="str">
        <f>AE59</f>
        <v/>
      </c>
      <c r="C58" s="231" t="str">
        <f>AF59</f>
        <v/>
      </c>
      <c r="D58" s="276"/>
      <c r="E58" s="283" cm="1">
        <f t="array" ref="E58">IFERROR(_xlfn.XLOOKUP(TRIM(B58), TRIM('DAY 1 SCORES'!$B$4:$B$152), 'DAY 1 SCORES'!$H$4:$H$152, 12), 12)</f>
        <v>120</v>
      </c>
      <c r="F58" s="283">
        <f>AK59</f>
        <v>0</v>
      </c>
      <c r="G58" s="284">
        <f>AH59</f>
        <v>0</v>
      </c>
      <c r="H58" s="237" t="str">
        <f>IF(B58="","", IFERROR(VLOOKUP(B58, 'DAY 1 SCORES'!B:G, 6, FALSE), 0))</f>
        <v/>
      </c>
      <c r="I58" s="284">
        <f>AG59</f>
        <v>0</v>
      </c>
      <c r="J58" s="276"/>
      <c r="K58" s="121" t="str" cm="1">
        <f t="array" ref="K58">IF(B58="", "", IFERROR(_xlfn.XLOOKUP(TRIM(B58), TRIM('DAY 2 SCORES'!$B$4:$B$152), 'DAY 2 SCORES'!$H$4:$H$152, 12), 12))</f>
        <v/>
      </c>
      <c r="L58" s="121">
        <f>AL59</f>
        <v>0</v>
      </c>
      <c r="M58" s="121">
        <f>AJ59</f>
        <v>0</v>
      </c>
      <c r="N58" s="84" t="str">
        <f>IF(B58="","", IFERROR(VLOOKUP(B58, 'DAY 2 SCORES'!B:G, 6, FALSE), 0))</f>
        <v/>
      </c>
      <c r="O58" s="84">
        <f>IFERROR(VLOOKUP($B58, 'DAY 2 SCORES'!$B:$H, 4, FALSE), 0)</f>
        <v>0</v>
      </c>
      <c r="Q58" s="233" t="str">
        <f>IF(B58="", "", E58+K58)</f>
        <v/>
      </c>
      <c r="R58" s="233" t="str">
        <f t="shared" si="0"/>
        <v/>
      </c>
      <c r="S58" s="287" t="str">
        <f>IF(B58="","", G58+M58)</f>
        <v/>
      </c>
      <c r="T58" s="287" t="str">
        <f>IF(B58="","", MAX(H58, N58))</f>
        <v/>
      </c>
      <c r="U58" s="287" t="str">
        <f t="shared" si="1"/>
        <v/>
      </c>
      <c r="W58" s="83">
        <f t="shared" si="2"/>
        <v>999</v>
      </c>
      <c r="AE58" s="83" t="str">
        <v/>
      </c>
      <c r="AF58" s="83" t="str">
        <v/>
      </c>
      <c r="AG58" s="83">
        <v>0</v>
      </c>
      <c r="AH58" s="83">
        <v>0</v>
      </c>
      <c r="AI58" s="83">
        <v>0</v>
      </c>
      <c r="AJ58" s="83">
        <v>0</v>
      </c>
      <c r="AK58" s="83">
        <v>0</v>
      </c>
      <c r="AL58" s="83">
        <v>0</v>
      </c>
      <c r="AM58" s="83">
        <v>0</v>
      </c>
      <c r="AN58" s="83">
        <v>14400</v>
      </c>
      <c r="AO58" s="83">
        <v>14400</v>
      </c>
      <c r="AP58" s="83">
        <v>999</v>
      </c>
    </row>
    <row r="59" spans="1:42" ht="24.75" customHeight="1">
      <c r="A59" s="84" t="str">
        <f>IF(B59&lt;&gt;"", COUNTA($B$3:B59), "")</f>
        <v/>
      </c>
      <c r="B59" s="231" t="str">
        <f>AE60</f>
        <v/>
      </c>
      <c r="C59" s="231" t="str">
        <f>AF60</f>
        <v/>
      </c>
      <c r="D59" s="276"/>
      <c r="E59" s="283" cm="1">
        <f t="array" ref="E59">IFERROR(_xlfn.XLOOKUP(TRIM(B59), TRIM('DAY 1 SCORES'!$B$4:$B$152), 'DAY 1 SCORES'!$H$4:$H$152, 12), 12)</f>
        <v>120</v>
      </c>
      <c r="F59" s="283">
        <f>AK60</f>
        <v>0</v>
      </c>
      <c r="G59" s="284">
        <f>AH60</f>
        <v>0</v>
      </c>
      <c r="H59" s="237" t="str">
        <f>IF(B59="","", IFERROR(VLOOKUP(B59, 'DAY 1 SCORES'!B:G, 6, FALSE), 0))</f>
        <v/>
      </c>
      <c r="I59" s="284">
        <f>AG60</f>
        <v>0</v>
      </c>
      <c r="J59" s="276"/>
      <c r="K59" s="121" t="str" cm="1">
        <f t="array" ref="K59">IF(B59="", "", IFERROR(_xlfn.XLOOKUP(TRIM(B59), TRIM('DAY 2 SCORES'!$B$4:$B$152), 'DAY 2 SCORES'!$H$4:$H$152, 12), 12))</f>
        <v/>
      </c>
      <c r="L59" s="121">
        <f>AL60</f>
        <v>0</v>
      </c>
      <c r="M59" s="121">
        <f>AJ60</f>
        <v>0</v>
      </c>
      <c r="N59" s="84" t="str">
        <f>IF(B59="","", IFERROR(VLOOKUP(B59, 'DAY 2 SCORES'!B:G, 6, FALSE), 0))</f>
        <v/>
      </c>
      <c r="O59" s="84">
        <f>IFERROR(VLOOKUP($B59, 'DAY 2 SCORES'!$B:$H, 4, FALSE), 0)</f>
        <v>0</v>
      </c>
      <c r="Q59" s="233" t="str">
        <f>IF(B59="", "", E59+K59)</f>
        <v/>
      </c>
      <c r="R59" s="233" t="str">
        <f t="shared" si="0"/>
        <v/>
      </c>
      <c r="S59" s="287" t="str">
        <f>IF(B59="","", G59+M59)</f>
        <v/>
      </c>
      <c r="T59" s="287" t="str">
        <f>IF(B59="","", MAX(H59, N59))</f>
        <v/>
      </c>
      <c r="U59" s="287" t="str">
        <f t="shared" si="1"/>
        <v/>
      </c>
      <c r="W59" s="83">
        <f t="shared" si="2"/>
        <v>999</v>
      </c>
      <c r="AE59" s="83" t="str">
        <v/>
      </c>
      <c r="AF59" s="83" t="str">
        <v/>
      </c>
      <c r="AG59" s="83">
        <v>0</v>
      </c>
      <c r="AH59" s="83">
        <v>0</v>
      </c>
      <c r="AI59" s="83">
        <v>0</v>
      </c>
      <c r="AJ59" s="83">
        <v>0</v>
      </c>
      <c r="AK59" s="83">
        <v>0</v>
      </c>
      <c r="AL59" s="83">
        <v>0</v>
      </c>
      <c r="AM59" s="83">
        <v>0</v>
      </c>
      <c r="AN59" s="83">
        <v>14400</v>
      </c>
      <c r="AO59" s="83">
        <v>14400</v>
      </c>
      <c r="AP59" s="83">
        <v>999</v>
      </c>
    </row>
    <row r="60" spans="1:42" ht="24.75" customHeight="1">
      <c r="A60" s="84" t="str">
        <f>IF(B60&lt;&gt;"", COUNTA($B$3:B60), "")</f>
        <v/>
      </c>
      <c r="B60" s="231" t="str">
        <f>AE61</f>
        <v/>
      </c>
      <c r="C60" s="231" t="str">
        <f>AF61</f>
        <v/>
      </c>
      <c r="D60" s="276"/>
      <c r="E60" s="283" cm="1">
        <f t="array" ref="E60">IFERROR(_xlfn.XLOOKUP(TRIM(B60), TRIM('DAY 1 SCORES'!$B$4:$B$152), 'DAY 1 SCORES'!$H$4:$H$152, 12), 12)</f>
        <v>120</v>
      </c>
      <c r="F60" s="283">
        <f>AK61</f>
        <v>0</v>
      </c>
      <c r="G60" s="284">
        <f>AH61</f>
        <v>0</v>
      </c>
      <c r="H60" s="237" t="str">
        <f>IF(B60="","", IFERROR(VLOOKUP(B60, 'DAY 1 SCORES'!B:G, 6, FALSE), 0))</f>
        <v/>
      </c>
      <c r="I60" s="284">
        <f>AG61</f>
        <v>0</v>
      </c>
      <c r="J60" s="276"/>
      <c r="K60" s="121" t="str" cm="1">
        <f t="array" ref="K60">IF(B60="", "", IFERROR(_xlfn.XLOOKUP(TRIM(B60), TRIM('DAY 2 SCORES'!$B$4:$B$152), 'DAY 2 SCORES'!$H$4:$H$152, 12), 12))</f>
        <v/>
      </c>
      <c r="L60" s="121">
        <f>AL61</f>
        <v>0</v>
      </c>
      <c r="M60" s="121">
        <f>AJ61</f>
        <v>0</v>
      </c>
      <c r="N60" s="84" t="str">
        <f>IF(B60="","", IFERROR(VLOOKUP(B60, 'DAY 2 SCORES'!B:G, 6, FALSE), 0))</f>
        <v/>
      </c>
      <c r="O60" s="84">
        <f>IFERROR(VLOOKUP($B60, 'DAY 2 SCORES'!$B:$H, 4, FALSE), 0)</f>
        <v>0</v>
      </c>
      <c r="Q60" s="233" t="str">
        <f>IF(B60="", "", E60+K60)</f>
        <v/>
      </c>
      <c r="R60" s="233" t="str">
        <f t="shared" si="0"/>
        <v/>
      </c>
      <c r="S60" s="287" t="str">
        <f>IF(B60="","", G60+M60)</f>
        <v/>
      </c>
      <c r="T60" s="287" t="str">
        <f>IF(B60="","", MAX(H60, N60))</f>
        <v/>
      </c>
      <c r="U60" s="287" t="str">
        <f t="shared" si="1"/>
        <v/>
      </c>
      <c r="W60" s="83">
        <f t="shared" si="2"/>
        <v>999</v>
      </c>
      <c r="AE60" s="83" t="str">
        <v/>
      </c>
      <c r="AF60" s="83" t="str">
        <v/>
      </c>
      <c r="AG60" s="83">
        <v>0</v>
      </c>
      <c r="AH60" s="83">
        <v>0</v>
      </c>
      <c r="AI60" s="83">
        <v>0</v>
      </c>
      <c r="AJ60" s="83">
        <v>0</v>
      </c>
      <c r="AK60" s="83">
        <v>0</v>
      </c>
      <c r="AL60" s="83">
        <v>0</v>
      </c>
      <c r="AM60" s="83">
        <v>0</v>
      </c>
      <c r="AN60" s="83">
        <v>14400</v>
      </c>
      <c r="AO60" s="83">
        <v>14400</v>
      </c>
      <c r="AP60" s="83">
        <v>999</v>
      </c>
    </row>
    <row r="61" spans="1:42" ht="24.75" customHeight="1">
      <c r="A61" s="84" t="str">
        <f>IF(B61&lt;&gt;"", COUNTA($B$3:B61), "")</f>
        <v/>
      </c>
      <c r="B61" s="231" t="str">
        <f>AE62</f>
        <v/>
      </c>
      <c r="C61" s="231" t="str">
        <f>AF62</f>
        <v/>
      </c>
      <c r="D61" s="276"/>
      <c r="E61" s="283" cm="1">
        <f t="array" ref="E61">IFERROR(_xlfn.XLOOKUP(TRIM(B61), TRIM('DAY 1 SCORES'!$B$4:$B$152), 'DAY 1 SCORES'!$H$4:$H$152, 12), 12)</f>
        <v>120</v>
      </c>
      <c r="F61" s="283">
        <f>AK62</f>
        <v>0</v>
      </c>
      <c r="G61" s="284">
        <f>AH62</f>
        <v>0</v>
      </c>
      <c r="H61" s="237" t="str">
        <f>IF(B61="","", IFERROR(VLOOKUP(B61, 'DAY 1 SCORES'!B:G, 6, FALSE), 0))</f>
        <v/>
      </c>
      <c r="I61" s="284">
        <f>AG62</f>
        <v>0</v>
      </c>
      <c r="J61" s="276"/>
      <c r="K61" s="121" t="str" cm="1">
        <f t="array" ref="K61">IF(B61="", "", IFERROR(_xlfn.XLOOKUP(TRIM(B61), TRIM('DAY 2 SCORES'!$B$4:$B$152), 'DAY 2 SCORES'!$H$4:$H$152, 12), 12))</f>
        <v/>
      </c>
      <c r="L61" s="121">
        <f>AL62</f>
        <v>0</v>
      </c>
      <c r="M61" s="121">
        <f>AJ62</f>
        <v>0</v>
      </c>
      <c r="N61" s="84" t="str">
        <f>IF(B61="","", IFERROR(VLOOKUP(B61, 'DAY 2 SCORES'!B:G, 6, FALSE), 0))</f>
        <v/>
      </c>
      <c r="O61" s="84">
        <f>IFERROR(VLOOKUP($B61, 'DAY 2 SCORES'!$B:$H, 4, FALSE), 0)</f>
        <v>0</v>
      </c>
      <c r="Q61" s="233" t="str">
        <f>IF(B61="", "", E61+K61)</f>
        <v/>
      </c>
      <c r="R61" s="233" t="str">
        <f t="shared" si="0"/>
        <v/>
      </c>
      <c r="S61" s="287" t="str">
        <f>IF(B61="","", G61+M61)</f>
        <v/>
      </c>
      <c r="T61" s="287" t="str">
        <f>IF(B61="","", MAX(H61, N61))</f>
        <v/>
      </c>
      <c r="U61" s="287" t="str">
        <f t="shared" si="1"/>
        <v/>
      </c>
      <c r="W61" s="83">
        <f t="shared" si="2"/>
        <v>999</v>
      </c>
      <c r="AE61" s="83" t="str">
        <v/>
      </c>
      <c r="AF61" s="83" t="str">
        <v/>
      </c>
      <c r="AG61" s="83">
        <v>0</v>
      </c>
      <c r="AH61" s="83">
        <v>0</v>
      </c>
      <c r="AI61" s="83">
        <v>0</v>
      </c>
      <c r="AJ61" s="83">
        <v>0</v>
      </c>
      <c r="AK61" s="83">
        <v>0</v>
      </c>
      <c r="AL61" s="83">
        <v>0</v>
      </c>
      <c r="AM61" s="83">
        <v>0</v>
      </c>
      <c r="AN61" s="83">
        <v>14400</v>
      </c>
      <c r="AO61" s="83">
        <v>14400</v>
      </c>
      <c r="AP61" s="83">
        <v>999</v>
      </c>
    </row>
    <row r="62" spans="1:42" ht="24.75" customHeight="1">
      <c r="A62" s="84" t="str">
        <f>IF(B62&lt;&gt;"", COUNTA($B$3:B62), "")</f>
        <v/>
      </c>
      <c r="B62" s="231" t="str">
        <f>AE63</f>
        <v/>
      </c>
      <c r="C62" s="231" t="str">
        <f>AF63</f>
        <v/>
      </c>
      <c r="D62" s="276"/>
      <c r="E62" s="283" cm="1">
        <f t="array" ref="E62">IFERROR(_xlfn.XLOOKUP(TRIM(B62), TRIM('DAY 1 SCORES'!$B$4:$B$152), 'DAY 1 SCORES'!$H$4:$H$152, 12), 12)</f>
        <v>120</v>
      </c>
      <c r="F62" s="283">
        <f>AK63</f>
        <v>0</v>
      </c>
      <c r="G62" s="284">
        <f>AH63</f>
        <v>0</v>
      </c>
      <c r="H62" s="237" t="str">
        <f>IF(B62="","", IFERROR(VLOOKUP(B62, 'DAY 1 SCORES'!B:G, 6, FALSE), 0))</f>
        <v/>
      </c>
      <c r="I62" s="284">
        <f>AG63</f>
        <v>0</v>
      </c>
      <c r="J62" s="276"/>
      <c r="K62" s="121" t="str" cm="1">
        <f t="array" ref="K62">IF(B62="", "", IFERROR(_xlfn.XLOOKUP(TRIM(B62), TRIM('DAY 2 SCORES'!$B$4:$B$152), 'DAY 2 SCORES'!$H$4:$H$152, 12), 12))</f>
        <v/>
      </c>
      <c r="L62" s="121">
        <f>AL63</f>
        <v>0</v>
      </c>
      <c r="M62" s="121">
        <f>AJ63</f>
        <v>0</v>
      </c>
      <c r="N62" s="84" t="str">
        <f>IF(B62="","", IFERROR(VLOOKUP(B62, 'DAY 2 SCORES'!B:G, 6, FALSE), 0))</f>
        <v/>
      </c>
      <c r="O62" s="84">
        <f>IFERROR(VLOOKUP($B62, 'DAY 2 SCORES'!$B:$H, 4, FALSE), 0)</f>
        <v>0</v>
      </c>
      <c r="Q62" s="233" t="str">
        <f>IF(B62="", "", E62+K62)</f>
        <v/>
      </c>
      <c r="R62" s="233" t="str">
        <f t="shared" si="0"/>
        <v/>
      </c>
      <c r="S62" s="287" t="str">
        <f>IF(B62="","", G62+M62)</f>
        <v/>
      </c>
      <c r="T62" s="287" t="str">
        <f>IF(B62="","", MAX(H62, N62))</f>
        <v/>
      </c>
      <c r="U62" s="287" t="str">
        <f t="shared" si="1"/>
        <v/>
      </c>
      <c r="W62" s="83">
        <f t="shared" si="2"/>
        <v>999</v>
      </c>
      <c r="AE62" s="83" t="str">
        <v/>
      </c>
      <c r="AF62" s="83" t="str">
        <v/>
      </c>
      <c r="AG62" s="83">
        <v>0</v>
      </c>
      <c r="AH62" s="83">
        <v>0</v>
      </c>
      <c r="AI62" s="83">
        <v>0</v>
      </c>
      <c r="AJ62" s="83">
        <v>0</v>
      </c>
      <c r="AK62" s="83">
        <v>0</v>
      </c>
      <c r="AL62" s="83">
        <v>0</v>
      </c>
      <c r="AM62" s="83">
        <v>0</v>
      </c>
      <c r="AN62" s="83">
        <v>14400</v>
      </c>
      <c r="AO62" s="83">
        <v>14400</v>
      </c>
      <c r="AP62" s="83">
        <v>999</v>
      </c>
    </row>
    <row r="63" spans="1:42" ht="24.75" customHeight="1">
      <c r="A63" s="84" t="str">
        <f>IF(B63&lt;&gt;"", COUNTA($B$3:B63), "")</f>
        <v/>
      </c>
      <c r="B63" s="231" t="str">
        <f>AE64</f>
        <v/>
      </c>
      <c r="C63" s="231" t="str">
        <f>AF64</f>
        <v/>
      </c>
      <c r="D63" s="276"/>
      <c r="E63" s="283" cm="1">
        <f t="array" ref="E63">IFERROR(_xlfn.XLOOKUP(TRIM(B63), TRIM('DAY 1 SCORES'!$B$4:$B$152), 'DAY 1 SCORES'!$H$4:$H$152, 12), 12)</f>
        <v>120</v>
      </c>
      <c r="F63" s="283">
        <f>AK64</f>
        <v>0</v>
      </c>
      <c r="G63" s="284">
        <f>AH64</f>
        <v>0</v>
      </c>
      <c r="H63" s="237" t="str">
        <f>IF(B63="","", IFERROR(VLOOKUP(B63, 'DAY 1 SCORES'!B:G, 6, FALSE), 0))</f>
        <v/>
      </c>
      <c r="I63" s="284">
        <f>AG64</f>
        <v>0</v>
      </c>
      <c r="J63" s="276"/>
      <c r="K63" s="121" t="str" cm="1">
        <f t="array" ref="K63">IF(B63="", "", IFERROR(_xlfn.XLOOKUP(TRIM(B63), TRIM('DAY 2 SCORES'!$B$4:$B$152), 'DAY 2 SCORES'!$H$4:$H$152, 12), 12))</f>
        <v/>
      </c>
      <c r="L63" s="121">
        <f>AL64</f>
        <v>0</v>
      </c>
      <c r="M63" s="121">
        <f>AJ64</f>
        <v>0</v>
      </c>
      <c r="N63" s="84" t="str">
        <f>IF(B63="","", IFERROR(VLOOKUP(B63, 'DAY 2 SCORES'!B:G, 6, FALSE), 0))</f>
        <v/>
      </c>
      <c r="O63" s="84">
        <f>IFERROR(VLOOKUP($B63, 'DAY 2 SCORES'!$B:$H, 4, FALSE), 0)</f>
        <v>0</v>
      </c>
      <c r="Q63" s="233" t="str">
        <f>IF(B63="", "", E63+K63)</f>
        <v/>
      </c>
      <c r="R63" s="233" t="str">
        <f t="shared" si="0"/>
        <v/>
      </c>
      <c r="S63" s="287" t="str">
        <f>IF(B63="","", G63+M63)</f>
        <v/>
      </c>
      <c r="T63" s="287" t="str">
        <f>IF(B63="","", MAX(H63, N63))</f>
        <v/>
      </c>
      <c r="U63" s="287" t="str">
        <f t="shared" si="1"/>
        <v/>
      </c>
      <c r="W63" s="83">
        <f t="shared" si="2"/>
        <v>999</v>
      </c>
      <c r="AE63" s="83" t="str">
        <v/>
      </c>
      <c r="AF63" s="83" t="str">
        <v/>
      </c>
      <c r="AG63" s="83">
        <v>0</v>
      </c>
      <c r="AH63" s="83">
        <v>0</v>
      </c>
      <c r="AI63" s="83">
        <v>0</v>
      </c>
      <c r="AJ63" s="83">
        <v>0</v>
      </c>
      <c r="AK63" s="83">
        <v>0</v>
      </c>
      <c r="AL63" s="83">
        <v>0</v>
      </c>
      <c r="AM63" s="83">
        <v>0</v>
      </c>
      <c r="AN63" s="83">
        <v>14400</v>
      </c>
      <c r="AO63" s="83">
        <v>14400</v>
      </c>
      <c r="AP63" s="83">
        <v>999</v>
      </c>
    </row>
    <row r="64" spans="1:42" ht="24.75" customHeight="1">
      <c r="A64" s="84" t="str">
        <f>IF(B64&lt;&gt;"", COUNTA($B$3:B64), "")</f>
        <v/>
      </c>
      <c r="B64" s="231" t="str">
        <f>AE65</f>
        <v/>
      </c>
      <c r="C64" s="231" t="str">
        <f>AF65</f>
        <v/>
      </c>
      <c r="D64" s="276"/>
      <c r="E64" s="283" cm="1">
        <f t="array" ref="E64">IFERROR(_xlfn.XLOOKUP(TRIM(B64), TRIM('DAY 1 SCORES'!$B$4:$B$152), 'DAY 1 SCORES'!$H$4:$H$152, 12), 12)</f>
        <v>120</v>
      </c>
      <c r="F64" s="283">
        <f>AK65</f>
        <v>0</v>
      </c>
      <c r="G64" s="284">
        <f>AH65</f>
        <v>0</v>
      </c>
      <c r="H64" s="237" t="str">
        <f>IF(B64="","", IFERROR(VLOOKUP(B64, 'DAY 1 SCORES'!B:G, 6, FALSE), 0))</f>
        <v/>
      </c>
      <c r="I64" s="284">
        <f>AG65</f>
        <v>0</v>
      </c>
      <c r="J64" s="276"/>
      <c r="K64" s="121" t="str" cm="1">
        <f t="array" ref="K64">IF(B64="", "", IFERROR(_xlfn.XLOOKUP(TRIM(B64), TRIM('DAY 2 SCORES'!$B$4:$B$152), 'DAY 2 SCORES'!$H$4:$H$152, 12), 12))</f>
        <v/>
      </c>
      <c r="L64" s="121">
        <f>AL65</f>
        <v>0</v>
      </c>
      <c r="M64" s="121">
        <f>AJ65</f>
        <v>0</v>
      </c>
      <c r="N64" s="84" t="str">
        <f>IF(B64="","", IFERROR(VLOOKUP(B64, 'DAY 2 SCORES'!B:G, 6, FALSE), 0))</f>
        <v/>
      </c>
      <c r="O64" s="84">
        <f>IFERROR(VLOOKUP($B64, 'DAY 2 SCORES'!$B:$H, 4, FALSE), 0)</f>
        <v>0</v>
      </c>
      <c r="Q64" s="233" t="str">
        <f>IF(B64="", "", E64+K64)</f>
        <v/>
      </c>
      <c r="R64" s="233" t="str">
        <f t="shared" si="0"/>
        <v/>
      </c>
      <c r="S64" s="287" t="str">
        <f>IF(B64="","", G64+M64)</f>
        <v/>
      </c>
      <c r="T64" s="287" t="str">
        <f>IF(B64="","", MAX(H64, N64))</f>
        <v/>
      </c>
      <c r="U64" s="287" t="str">
        <f t="shared" si="1"/>
        <v/>
      </c>
      <c r="W64" s="83">
        <f t="shared" si="2"/>
        <v>999</v>
      </c>
      <c r="AE64" s="83" t="str">
        <v/>
      </c>
      <c r="AF64" s="83" t="str">
        <v/>
      </c>
      <c r="AG64" s="83">
        <v>0</v>
      </c>
      <c r="AH64" s="83">
        <v>0</v>
      </c>
      <c r="AI64" s="83">
        <v>0</v>
      </c>
      <c r="AJ64" s="83">
        <v>0</v>
      </c>
      <c r="AK64" s="83">
        <v>0</v>
      </c>
      <c r="AL64" s="83">
        <v>0</v>
      </c>
      <c r="AM64" s="83">
        <v>0</v>
      </c>
      <c r="AN64" s="83">
        <v>14400</v>
      </c>
      <c r="AO64" s="83">
        <v>14400</v>
      </c>
      <c r="AP64" s="83">
        <v>999</v>
      </c>
    </row>
    <row r="65" spans="1:42" ht="24.75" customHeight="1">
      <c r="A65" s="84" t="str">
        <f>IF(B65&lt;&gt;"", COUNTA($B$3:B65), "")</f>
        <v/>
      </c>
      <c r="B65" s="231" t="str">
        <f>AE66</f>
        <v/>
      </c>
      <c r="C65" s="231" t="str">
        <f>AF66</f>
        <v/>
      </c>
      <c r="D65" s="276"/>
      <c r="E65" s="283" cm="1">
        <f t="array" ref="E65">IFERROR(_xlfn.XLOOKUP(TRIM(B65), TRIM('DAY 1 SCORES'!$B$4:$B$152), 'DAY 1 SCORES'!$H$4:$H$152, 12), 12)</f>
        <v>120</v>
      </c>
      <c r="F65" s="283">
        <f>AK66</f>
        <v>0</v>
      </c>
      <c r="G65" s="284">
        <f>AH66</f>
        <v>0</v>
      </c>
      <c r="H65" s="237" t="str">
        <f>IF(B65="","", IFERROR(VLOOKUP(B65, 'DAY 1 SCORES'!B:G, 6, FALSE), 0))</f>
        <v/>
      </c>
      <c r="I65" s="284">
        <f>AG66</f>
        <v>0</v>
      </c>
      <c r="J65" s="276"/>
      <c r="K65" s="121" t="str" cm="1">
        <f t="array" ref="K65">IF(B65="", "", IFERROR(_xlfn.XLOOKUP(TRIM(B65), TRIM('DAY 2 SCORES'!$B$4:$B$152), 'DAY 2 SCORES'!$H$4:$H$152, 12), 12))</f>
        <v/>
      </c>
      <c r="L65" s="121">
        <f>AL66</f>
        <v>0</v>
      </c>
      <c r="M65" s="121">
        <f>AJ66</f>
        <v>0</v>
      </c>
      <c r="N65" s="84" t="str">
        <f>IF(B65="","", IFERROR(VLOOKUP(B65, 'DAY 2 SCORES'!B:G, 6, FALSE), 0))</f>
        <v/>
      </c>
      <c r="O65" s="84">
        <f>IFERROR(VLOOKUP($B65, 'DAY 2 SCORES'!$B:$H, 4, FALSE), 0)</f>
        <v>0</v>
      </c>
      <c r="Q65" s="233" t="str">
        <f>IF(B65="", "", E65+K65)</f>
        <v/>
      </c>
      <c r="R65" s="233" t="str">
        <f t="shared" si="0"/>
        <v/>
      </c>
      <c r="S65" s="287" t="str">
        <f>IF(B65="","", G65+M65)</f>
        <v/>
      </c>
      <c r="T65" s="287" t="str">
        <f>IF(B65="","", MAX(H65, N65))</f>
        <v/>
      </c>
      <c r="U65" s="287" t="str">
        <f t="shared" si="1"/>
        <v/>
      </c>
      <c r="W65" s="83">
        <f t="shared" si="2"/>
        <v>999</v>
      </c>
      <c r="AE65" s="83" t="str">
        <v/>
      </c>
      <c r="AF65" s="83" t="str">
        <v/>
      </c>
      <c r="AG65" s="83">
        <v>0</v>
      </c>
      <c r="AH65" s="83">
        <v>0</v>
      </c>
      <c r="AI65" s="83">
        <v>0</v>
      </c>
      <c r="AJ65" s="83">
        <v>0</v>
      </c>
      <c r="AK65" s="83">
        <v>0</v>
      </c>
      <c r="AL65" s="83">
        <v>0</v>
      </c>
      <c r="AM65" s="83">
        <v>0</v>
      </c>
      <c r="AN65" s="83">
        <v>14400</v>
      </c>
      <c r="AO65" s="83">
        <v>14400</v>
      </c>
      <c r="AP65" s="83">
        <v>999</v>
      </c>
    </row>
    <row r="66" spans="1:42" ht="24.75" customHeight="1">
      <c r="A66" s="84" t="str">
        <f>IF(B66&lt;&gt;"", COUNTA($B$3:B66), "")</f>
        <v/>
      </c>
      <c r="B66" s="231" t="str">
        <f>AE67</f>
        <v/>
      </c>
      <c r="C66" s="231" t="str">
        <f>AF67</f>
        <v/>
      </c>
      <c r="D66" s="276"/>
      <c r="E66" s="283" cm="1">
        <f t="array" ref="E66">IFERROR(_xlfn.XLOOKUP(TRIM(B66), TRIM('DAY 1 SCORES'!$B$4:$B$152), 'DAY 1 SCORES'!$H$4:$H$152, 12), 12)</f>
        <v>120</v>
      </c>
      <c r="F66" s="283">
        <f>AK67</f>
        <v>0</v>
      </c>
      <c r="G66" s="284">
        <f>AH67</f>
        <v>0</v>
      </c>
      <c r="H66" s="237" t="str">
        <f>IF(B66="","", IFERROR(VLOOKUP(B66, 'DAY 1 SCORES'!B:G, 6, FALSE), 0))</f>
        <v/>
      </c>
      <c r="I66" s="284">
        <f>AG67</f>
        <v>0</v>
      </c>
      <c r="J66" s="276"/>
      <c r="K66" s="121" t="str" cm="1">
        <f t="array" ref="K66">IF(B66="", "", IFERROR(_xlfn.XLOOKUP(TRIM(B66), TRIM('DAY 2 SCORES'!$B$4:$B$152), 'DAY 2 SCORES'!$H$4:$H$152, 12), 12))</f>
        <v/>
      </c>
      <c r="L66" s="121">
        <f>AL67</f>
        <v>0</v>
      </c>
      <c r="M66" s="121">
        <f>AJ67</f>
        <v>0</v>
      </c>
      <c r="N66" s="84" t="str">
        <f>IF(B66="","", IFERROR(VLOOKUP(B66, 'DAY 2 SCORES'!B:G, 6, FALSE), 0))</f>
        <v/>
      </c>
      <c r="O66" s="84">
        <f>IFERROR(VLOOKUP($B66, 'DAY 2 SCORES'!$B:$H, 4, FALSE), 0)</f>
        <v>0</v>
      </c>
      <c r="Q66" s="233" t="str">
        <f>IF(B66="", "", E66+K66)</f>
        <v/>
      </c>
      <c r="R66" s="233" t="str">
        <f t="shared" si="0"/>
        <v/>
      </c>
      <c r="S66" s="287" t="str">
        <f>IF(B66="","", G66+M66)</f>
        <v/>
      </c>
      <c r="T66" s="287" t="str">
        <f>IF(B66="","", MAX(H66, N66))</f>
        <v/>
      </c>
      <c r="U66" s="287" t="str">
        <f t="shared" si="1"/>
        <v/>
      </c>
      <c r="W66" s="83">
        <f t="shared" si="2"/>
        <v>999</v>
      </c>
      <c r="AE66" s="83" t="str">
        <v/>
      </c>
      <c r="AF66" s="83" t="str">
        <v/>
      </c>
      <c r="AG66" s="83">
        <v>0</v>
      </c>
      <c r="AH66" s="83">
        <v>0</v>
      </c>
      <c r="AI66" s="83">
        <v>0</v>
      </c>
      <c r="AJ66" s="83">
        <v>0</v>
      </c>
      <c r="AK66" s="83">
        <v>0</v>
      </c>
      <c r="AL66" s="83">
        <v>0</v>
      </c>
      <c r="AM66" s="83">
        <v>0</v>
      </c>
      <c r="AN66" s="83">
        <v>14400</v>
      </c>
      <c r="AO66" s="83">
        <v>14400</v>
      </c>
      <c r="AP66" s="83">
        <v>999</v>
      </c>
    </row>
    <row r="67" spans="1:42" ht="24.75" customHeight="1">
      <c r="A67" s="84" t="str">
        <f>IF(B67&lt;&gt;"", COUNTA($B$3:B67), "")</f>
        <v/>
      </c>
      <c r="B67" s="231" t="str">
        <f>AE68</f>
        <v/>
      </c>
      <c r="C67" s="231" t="str">
        <f>AF68</f>
        <v/>
      </c>
      <c r="D67" s="276"/>
      <c r="E67" s="283" cm="1">
        <f t="array" ref="E67">IFERROR(_xlfn.XLOOKUP(TRIM(B67), TRIM('DAY 1 SCORES'!$B$4:$B$152), 'DAY 1 SCORES'!$H$4:$H$152, 12), 12)</f>
        <v>120</v>
      </c>
      <c r="F67" s="283">
        <f>AK68</f>
        <v>0</v>
      </c>
      <c r="G67" s="284">
        <f>AH68</f>
        <v>0</v>
      </c>
      <c r="H67" s="237" t="str">
        <f>IF(B67="","", IFERROR(VLOOKUP(B67, 'DAY 1 SCORES'!B:G, 6, FALSE), 0))</f>
        <v/>
      </c>
      <c r="I67" s="284">
        <f>AG68</f>
        <v>0</v>
      </c>
      <c r="J67" s="276"/>
      <c r="K67" s="121" t="str" cm="1">
        <f t="array" ref="K67">IF(B67="", "", IFERROR(_xlfn.XLOOKUP(TRIM(B67), TRIM('DAY 2 SCORES'!$B$4:$B$152), 'DAY 2 SCORES'!$H$4:$H$152, 12), 12))</f>
        <v/>
      </c>
      <c r="L67" s="121">
        <f>AL68</f>
        <v>0</v>
      </c>
      <c r="M67" s="121">
        <f>AJ68</f>
        <v>0</v>
      </c>
      <c r="N67" s="84" t="str">
        <f>IF(B67="","", IFERROR(VLOOKUP(B67, 'DAY 2 SCORES'!B:G, 6, FALSE), 0))</f>
        <v/>
      </c>
      <c r="O67" s="84">
        <f>IFERROR(VLOOKUP($B67, 'DAY 2 SCORES'!$B:$H, 4, FALSE), 0)</f>
        <v>0</v>
      </c>
      <c r="Q67" s="233" t="str">
        <f>IF(B67="", "", E67+K67)</f>
        <v/>
      </c>
      <c r="R67" s="233" t="str">
        <f t="shared" si="0"/>
        <v/>
      </c>
      <c r="S67" s="287" t="str">
        <f>IF(B67="","", G67+M67)</f>
        <v/>
      </c>
      <c r="T67" s="287" t="str">
        <f>IF(B67="","", MAX(H67, N67))</f>
        <v/>
      </c>
      <c r="U67" s="287" t="str">
        <f t="shared" si="1"/>
        <v/>
      </c>
      <c r="W67" s="83">
        <f t="shared" si="2"/>
        <v>999</v>
      </c>
      <c r="AE67" s="83" t="str">
        <v/>
      </c>
      <c r="AF67" s="83" t="str">
        <v/>
      </c>
      <c r="AG67" s="83">
        <v>0</v>
      </c>
      <c r="AH67" s="83">
        <v>0</v>
      </c>
      <c r="AI67" s="83">
        <v>0</v>
      </c>
      <c r="AJ67" s="83">
        <v>0</v>
      </c>
      <c r="AK67" s="83">
        <v>0</v>
      </c>
      <c r="AL67" s="83">
        <v>0</v>
      </c>
      <c r="AM67" s="83">
        <v>0</v>
      </c>
      <c r="AN67" s="83">
        <v>14400</v>
      </c>
      <c r="AO67" s="83">
        <v>14400</v>
      </c>
      <c r="AP67" s="83">
        <v>999</v>
      </c>
    </row>
    <row r="68" spans="1:42" ht="24.75" customHeight="1">
      <c r="A68" s="84" t="str">
        <f>IF(B68&lt;&gt;"", COUNTA($B$3:B68), "")</f>
        <v/>
      </c>
      <c r="B68" s="231" t="str">
        <f>AE69</f>
        <v/>
      </c>
      <c r="C68" s="231" t="str">
        <f>AF69</f>
        <v/>
      </c>
      <c r="D68" s="276"/>
      <c r="E68" s="283" cm="1">
        <f t="array" ref="E68">IFERROR(_xlfn.XLOOKUP(TRIM(B68), TRIM('DAY 1 SCORES'!$B$4:$B$152), 'DAY 1 SCORES'!$H$4:$H$152, 12), 12)</f>
        <v>120</v>
      </c>
      <c r="F68" s="283">
        <f>AK69</f>
        <v>0</v>
      </c>
      <c r="G68" s="284">
        <f>AH69</f>
        <v>0</v>
      </c>
      <c r="H68" s="237" t="str">
        <f>IF(B68="","", IFERROR(VLOOKUP(B68, 'DAY 1 SCORES'!B:G, 6, FALSE), 0))</f>
        <v/>
      </c>
      <c r="I68" s="284">
        <f>AG69</f>
        <v>0</v>
      </c>
      <c r="J68" s="276"/>
      <c r="K68" s="121" t="str" cm="1">
        <f t="array" ref="K68">IF(B68="", "", IFERROR(_xlfn.XLOOKUP(TRIM(B68), TRIM('DAY 2 SCORES'!$B$4:$B$152), 'DAY 2 SCORES'!$H$4:$H$152, 12), 12))</f>
        <v/>
      </c>
      <c r="L68" s="121">
        <f>AL69</f>
        <v>0</v>
      </c>
      <c r="M68" s="121">
        <f>AJ69</f>
        <v>0</v>
      </c>
      <c r="N68" s="84" t="str">
        <f>IF(B68="","", IFERROR(VLOOKUP(B68, 'DAY 2 SCORES'!B:G, 6, FALSE), 0))</f>
        <v/>
      </c>
      <c r="O68" s="84">
        <f>IFERROR(VLOOKUP($B68, 'DAY 2 SCORES'!$B:$H, 4, FALSE), 0)</f>
        <v>0</v>
      </c>
      <c r="Q68" s="233" t="str">
        <f>IF(B68="", "", E68+K68)</f>
        <v/>
      </c>
      <c r="R68" s="233" t="str">
        <f t="shared" ref="R68:R121" si="3">IF(B68="","", F68+L68)</f>
        <v/>
      </c>
      <c r="S68" s="287" t="str">
        <f>IF(B68="","", G68+M68)</f>
        <v/>
      </c>
      <c r="T68" s="287" t="str">
        <f>IF(B68="","", MAX(H68, N68))</f>
        <v/>
      </c>
      <c r="U68" s="287" t="str">
        <f t="shared" ref="U68:U121" si="4">IF(B68="", "", I68 + O68)</f>
        <v/>
      </c>
      <c r="W68" s="83">
        <f t="shared" ref="W68:W121" si="5">IF(B68="", 999, Q68 - (R68/10000) - (S68/1000000) - (T68/100000000) - (U68/1000000000000))</f>
        <v>999</v>
      </c>
      <c r="AE68" s="83" t="str">
        <v/>
      </c>
      <c r="AF68" s="83" t="str">
        <v/>
      </c>
      <c r="AG68" s="83">
        <v>0</v>
      </c>
      <c r="AH68" s="83">
        <v>0</v>
      </c>
      <c r="AI68" s="83">
        <v>0</v>
      </c>
      <c r="AJ68" s="83">
        <v>0</v>
      </c>
      <c r="AK68" s="83">
        <v>0</v>
      </c>
      <c r="AL68" s="83">
        <v>0</v>
      </c>
      <c r="AM68" s="83">
        <v>0</v>
      </c>
      <c r="AN68" s="83">
        <v>14400</v>
      </c>
      <c r="AO68" s="83">
        <v>14400</v>
      </c>
      <c r="AP68" s="83">
        <v>999</v>
      </c>
    </row>
    <row r="69" spans="1:42" ht="24.75" customHeight="1">
      <c r="A69" s="84" t="str">
        <f>IF(B69&lt;&gt;"", COUNTA($B$3:B69), "")</f>
        <v/>
      </c>
      <c r="B69" s="231" t="str">
        <f>AE70</f>
        <v/>
      </c>
      <c r="C69" s="231" t="str">
        <f>AF70</f>
        <v/>
      </c>
      <c r="D69" s="276"/>
      <c r="E69" s="283" cm="1">
        <f t="array" ref="E69">IFERROR(_xlfn.XLOOKUP(TRIM(B69), TRIM('DAY 1 SCORES'!$B$4:$B$152), 'DAY 1 SCORES'!$H$4:$H$152, 12), 12)</f>
        <v>120</v>
      </c>
      <c r="F69" s="283">
        <f>AK70</f>
        <v>0</v>
      </c>
      <c r="G69" s="284">
        <f>AH70</f>
        <v>0</v>
      </c>
      <c r="H69" s="237" t="str">
        <f>IF(B69="","", IFERROR(VLOOKUP(B69, 'DAY 1 SCORES'!B:G, 6, FALSE), 0))</f>
        <v/>
      </c>
      <c r="I69" s="284">
        <f>AG70</f>
        <v>0</v>
      </c>
      <c r="J69" s="276"/>
      <c r="K69" s="121" t="str" cm="1">
        <f t="array" ref="K69">IF(B69="", "", IFERROR(_xlfn.XLOOKUP(TRIM(B69), TRIM('DAY 2 SCORES'!$B$4:$B$152), 'DAY 2 SCORES'!$H$4:$H$152, 12), 12))</f>
        <v/>
      </c>
      <c r="L69" s="121">
        <f>AL70</f>
        <v>0</v>
      </c>
      <c r="M69" s="121">
        <f>AJ70</f>
        <v>0</v>
      </c>
      <c r="N69" s="84" t="str">
        <f>IF(B69="","", IFERROR(VLOOKUP(B69, 'DAY 2 SCORES'!B:G, 6, FALSE), 0))</f>
        <v/>
      </c>
      <c r="O69" s="84">
        <f>IFERROR(VLOOKUP($B69, 'DAY 2 SCORES'!$B:$H, 4, FALSE), 0)</f>
        <v>0</v>
      </c>
      <c r="Q69" s="233" t="str">
        <f>IF(B69="", "", E69+K69)</f>
        <v/>
      </c>
      <c r="R69" s="233" t="str">
        <f t="shared" si="3"/>
        <v/>
      </c>
      <c r="S69" s="287" t="str">
        <f>IF(B69="","", G69+M69)</f>
        <v/>
      </c>
      <c r="T69" s="287" t="str">
        <f>IF(B69="","", MAX(H69, N69))</f>
        <v/>
      </c>
      <c r="U69" s="287" t="str">
        <f t="shared" si="4"/>
        <v/>
      </c>
      <c r="W69" s="83">
        <f t="shared" si="5"/>
        <v>999</v>
      </c>
      <c r="AE69" s="83" t="str">
        <v/>
      </c>
      <c r="AF69" s="83" t="str">
        <v/>
      </c>
      <c r="AG69" s="83">
        <v>0</v>
      </c>
      <c r="AH69" s="83">
        <v>0</v>
      </c>
      <c r="AI69" s="83">
        <v>0</v>
      </c>
      <c r="AJ69" s="83">
        <v>0</v>
      </c>
      <c r="AK69" s="83">
        <v>0</v>
      </c>
      <c r="AL69" s="83">
        <v>0</v>
      </c>
      <c r="AM69" s="83">
        <v>0</v>
      </c>
      <c r="AN69" s="83">
        <v>14400</v>
      </c>
      <c r="AO69" s="83">
        <v>14400</v>
      </c>
      <c r="AP69" s="83">
        <v>999</v>
      </c>
    </row>
    <row r="70" spans="1:42" ht="24.75" customHeight="1">
      <c r="A70" s="84" t="str">
        <f>IF(B70&lt;&gt;"", COUNTA($B$3:B70), "")</f>
        <v/>
      </c>
      <c r="B70" s="231" t="str">
        <f>AE71</f>
        <v/>
      </c>
      <c r="C70" s="231" t="str">
        <f>AF71</f>
        <v/>
      </c>
      <c r="D70" s="276"/>
      <c r="E70" s="283" cm="1">
        <f t="array" ref="E70">IFERROR(_xlfn.XLOOKUP(TRIM(B70), TRIM('DAY 1 SCORES'!$B$4:$B$152), 'DAY 1 SCORES'!$H$4:$H$152, 12), 12)</f>
        <v>120</v>
      </c>
      <c r="F70" s="283">
        <f>AK71</f>
        <v>0</v>
      </c>
      <c r="G70" s="284">
        <f>AH71</f>
        <v>0</v>
      </c>
      <c r="H70" s="237" t="str">
        <f>IF(B70="","", IFERROR(VLOOKUP(B70, 'DAY 1 SCORES'!B:G, 6, FALSE), 0))</f>
        <v/>
      </c>
      <c r="I70" s="284">
        <f>AG71</f>
        <v>0</v>
      </c>
      <c r="J70" s="276"/>
      <c r="K70" s="121" t="str" cm="1">
        <f t="array" ref="K70">IF(B70="", "", IFERROR(_xlfn.XLOOKUP(TRIM(B70), TRIM('DAY 2 SCORES'!$B$4:$B$152), 'DAY 2 SCORES'!$H$4:$H$152, 12), 12))</f>
        <v/>
      </c>
      <c r="L70" s="121">
        <f>AL71</f>
        <v>0</v>
      </c>
      <c r="M70" s="121">
        <f>AJ71</f>
        <v>0</v>
      </c>
      <c r="N70" s="84" t="str">
        <f>IF(B70="","", IFERROR(VLOOKUP(B70, 'DAY 2 SCORES'!B:G, 6, FALSE), 0))</f>
        <v/>
      </c>
      <c r="O70" s="84">
        <f>IFERROR(VLOOKUP($B70, 'DAY 2 SCORES'!$B:$H, 4, FALSE), 0)</f>
        <v>0</v>
      </c>
      <c r="Q70" s="233" t="str">
        <f>IF(B70="", "", E70+K70)</f>
        <v/>
      </c>
      <c r="R70" s="233" t="str">
        <f t="shared" si="3"/>
        <v/>
      </c>
      <c r="S70" s="287" t="str">
        <f>IF(B70="","", G70+M70)</f>
        <v/>
      </c>
      <c r="T70" s="287" t="str">
        <f>IF(B70="","", MAX(H70, N70))</f>
        <v/>
      </c>
      <c r="U70" s="287" t="str">
        <f t="shared" si="4"/>
        <v/>
      </c>
      <c r="W70" s="83">
        <f t="shared" si="5"/>
        <v>999</v>
      </c>
      <c r="AE70" s="83" t="str">
        <v/>
      </c>
      <c r="AF70" s="83" t="str">
        <v/>
      </c>
      <c r="AG70" s="83">
        <v>0</v>
      </c>
      <c r="AH70" s="83">
        <v>0</v>
      </c>
      <c r="AI70" s="83">
        <v>0</v>
      </c>
      <c r="AJ70" s="83">
        <v>0</v>
      </c>
      <c r="AK70" s="83">
        <v>0</v>
      </c>
      <c r="AL70" s="83">
        <v>0</v>
      </c>
      <c r="AM70" s="83">
        <v>0</v>
      </c>
      <c r="AN70" s="83">
        <v>14400</v>
      </c>
      <c r="AO70" s="83">
        <v>14400</v>
      </c>
      <c r="AP70" s="83">
        <v>999</v>
      </c>
    </row>
    <row r="71" spans="1:42" ht="24.75" customHeight="1">
      <c r="A71" s="84" t="str">
        <f>IF(B71&lt;&gt;"", COUNTA($B$3:B71), "")</f>
        <v/>
      </c>
      <c r="B71" s="231" t="str">
        <f>AE72</f>
        <v/>
      </c>
      <c r="C71" s="231" t="str">
        <f>AF72</f>
        <v/>
      </c>
      <c r="D71" s="276"/>
      <c r="E71" s="283" cm="1">
        <f t="array" ref="E71">IFERROR(_xlfn.XLOOKUP(TRIM(B71), TRIM('DAY 1 SCORES'!$B$4:$B$152), 'DAY 1 SCORES'!$H$4:$H$152, 12), 12)</f>
        <v>120</v>
      </c>
      <c r="F71" s="283">
        <f>AK72</f>
        <v>0</v>
      </c>
      <c r="G71" s="284">
        <f>AH72</f>
        <v>0</v>
      </c>
      <c r="H71" s="237" t="str">
        <f>IF(B71="","", IFERROR(VLOOKUP(B71, 'DAY 1 SCORES'!B:G, 6, FALSE), 0))</f>
        <v/>
      </c>
      <c r="I71" s="284">
        <f>AG72</f>
        <v>0</v>
      </c>
      <c r="J71" s="276"/>
      <c r="K71" s="121" t="str" cm="1">
        <f t="array" ref="K71">IF(B71="", "", IFERROR(_xlfn.XLOOKUP(TRIM(B71), TRIM('DAY 2 SCORES'!$B$4:$B$152), 'DAY 2 SCORES'!$H$4:$H$152, 12), 12))</f>
        <v/>
      </c>
      <c r="L71" s="121">
        <f>AL72</f>
        <v>0</v>
      </c>
      <c r="M71" s="121">
        <f>AJ72</f>
        <v>0</v>
      </c>
      <c r="N71" s="84" t="str">
        <f>IF(B71="","", IFERROR(VLOOKUP(B71, 'DAY 2 SCORES'!B:G, 6, FALSE), 0))</f>
        <v/>
      </c>
      <c r="O71" s="84">
        <f>IFERROR(VLOOKUP($B71, 'DAY 2 SCORES'!$B:$H, 4, FALSE), 0)</f>
        <v>0</v>
      </c>
      <c r="Q71" s="233" t="str">
        <f>IF(B71="", "", E71+K71)</f>
        <v/>
      </c>
      <c r="R71" s="233" t="str">
        <f t="shared" si="3"/>
        <v/>
      </c>
      <c r="S71" s="287" t="str">
        <f>IF(B71="","", G71+M71)</f>
        <v/>
      </c>
      <c r="T71" s="287" t="str">
        <f>IF(B71="","", MAX(H71, N71))</f>
        <v/>
      </c>
      <c r="U71" s="287" t="str">
        <f t="shared" si="4"/>
        <v/>
      </c>
      <c r="W71" s="83">
        <f t="shared" si="5"/>
        <v>999</v>
      </c>
      <c r="AE71" s="83" t="str">
        <v/>
      </c>
      <c r="AF71" s="83" t="str">
        <v/>
      </c>
      <c r="AG71" s="83">
        <v>0</v>
      </c>
      <c r="AH71" s="83">
        <v>0</v>
      </c>
      <c r="AI71" s="83">
        <v>0</v>
      </c>
      <c r="AJ71" s="83">
        <v>0</v>
      </c>
      <c r="AK71" s="83">
        <v>0</v>
      </c>
      <c r="AL71" s="83">
        <v>0</v>
      </c>
      <c r="AM71" s="83">
        <v>0</v>
      </c>
      <c r="AN71" s="83">
        <v>14400</v>
      </c>
      <c r="AO71" s="83">
        <v>14400</v>
      </c>
      <c r="AP71" s="83">
        <v>999</v>
      </c>
    </row>
    <row r="72" spans="1:42" ht="24.75" customHeight="1">
      <c r="A72" s="84" t="str">
        <f>IF(B72&lt;&gt;"", COUNTA($B$3:B72), "")</f>
        <v/>
      </c>
      <c r="B72" s="231" t="str">
        <f>AE73</f>
        <v/>
      </c>
      <c r="C72" s="231" t="str">
        <f>AF73</f>
        <v/>
      </c>
      <c r="D72" s="276"/>
      <c r="E72" s="283" cm="1">
        <f t="array" ref="E72">IFERROR(_xlfn.XLOOKUP(TRIM(B72), TRIM('DAY 1 SCORES'!$B$4:$B$152), 'DAY 1 SCORES'!$H$4:$H$152, 12), 12)</f>
        <v>120</v>
      </c>
      <c r="F72" s="283">
        <f>AK73</f>
        <v>0</v>
      </c>
      <c r="G72" s="284">
        <f>AH73</f>
        <v>0</v>
      </c>
      <c r="H72" s="237" t="str">
        <f>IF(B72="","", IFERROR(VLOOKUP(B72, 'DAY 1 SCORES'!B:G, 6, FALSE), 0))</f>
        <v/>
      </c>
      <c r="I72" s="284">
        <f>AG73</f>
        <v>0</v>
      </c>
      <c r="J72" s="276"/>
      <c r="K72" s="121" t="str" cm="1">
        <f t="array" ref="K72">IF(B72="", "", IFERROR(_xlfn.XLOOKUP(TRIM(B72), TRIM('DAY 2 SCORES'!$B$4:$B$152), 'DAY 2 SCORES'!$H$4:$H$152, 12), 12))</f>
        <v/>
      </c>
      <c r="L72" s="121">
        <f>AL73</f>
        <v>0</v>
      </c>
      <c r="M72" s="121">
        <f>AJ73</f>
        <v>0</v>
      </c>
      <c r="N72" s="84" t="str">
        <f>IF(B72="","", IFERROR(VLOOKUP(B72, 'DAY 2 SCORES'!B:G, 6, FALSE), 0))</f>
        <v/>
      </c>
      <c r="O72" s="84">
        <f>IFERROR(VLOOKUP($B72, 'DAY 2 SCORES'!$B:$H, 4, FALSE), 0)</f>
        <v>0</v>
      </c>
      <c r="Q72" s="233" t="str">
        <f>IF(B72="", "", E72+K72)</f>
        <v/>
      </c>
      <c r="R72" s="233" t="str">
        <f t="shared" si="3"/>
        <v/>
      </c>
      <c r="S72" s="287" t="str">
        <f>IF(B72="","", G72+M72)</f>
        <v/>
      </c>
      <c r="T72" s="287" t="str">
        <f>IF(B72="","", MAX(H72, N72))</f>
        <v/>
      </c>
      <c r="U72" s="287" t="str">
        <f t="shared" si="4"/>
        <v/>
      </c>
      <c r="W72" s="83">
        <f t="shared" si="5"/>
        <v>999</v>
      </c>
      <c r="AE72" s="83" t="str">
        <v/>
      </c>
      <c r="AF72" s="83" t="str">
        <v/>
      </c>
      <c r="AG72" s="83">
        <v>0</v>
      </c>
      <c r="AH72" s="83">
        <v>0</v>
      </c>
      <c r="AI72" s="83">
        <v>0</v>
      </c>
      <c r="AJ72" s="83">
        <v>0</v>
      </c>
      <c r="AK72" s="83">
        <v>0</v>
      </c>
      <c r="AL72" s="83">
        <v>0</v>
      </c>
      <c r="AM72" s="83">
        <v>0</v>
      </c>
      <c r="AN72" s="83">
        <v>14400</v>
      </c>
      <c r="AO72" s="83">
        <v>14400</v>
      </c>
      <c r="AP72" s="83">
        <v>999</v>
      </c>
    </row>
    <row r="73" spans="1:42" ht="24.75" customHeight="1">
      <c r="A73" s="84" t="str">
        <f>IF(B73&lt;&gt;"", COUNTA($B$3:B73), "")</f>
        <v/>
      </c>
      <c r="B73" s="231" t="str">
        <f>AE74</f>
        <v/>
      </c>
      <c r="C73" s="231" t="str">
        <f>AF74</f>
        <v/>
      </c>
      <c r="D73" s="276"/>
      <c r="E73" s="283" cm="1">
        <f t="array" ref="E73">IFERROR(_xlfn.XLOOKUP(TRIM(B73), TRIM('DAY 1 SCORES'!$B$4:$B$152), 'DAY 1 SCORES'!$H$4:$H$152, 12), 12)</f>
        <v>120</v>
      </c>
      <c r="F73" s="283">
        <f>AK74</f>
        <v>0</v>
      </c>
      <c r="G73" s="284">
        <f>AH74</f>
        <v>0</v>
      </c>
      <c r="H73" s="237" t="str">
        <f>IF(B73="","", IFERROR(VLOOKUP(B73, 'DAY 1 SCORES'!B:G, 6, FALSE), 0))</f>
        <v/>
      </c>
      <c r="I73" s="284">
        <f>AG74</f>
        <v>0</v>
      </c>
      <c r="J73" s="276"/>
      <c r="K73" s="121" t="str" cm="1">
        <f t="array" ref="K73">IF(B73="", "", IFERROR(_xlfn.XLOOKUP(TRIM(B73), TRIM('DAY 2 SCORES'!$B$4:$B$152), 'DAY 2 SCORES'!$H$4:$H$152, 12), 12))</f>
        <v/>
      </c>
      <c r="L73" s="121">
        <f>AL74</f>
        <v>0</v>
      </c>
      <c r="M73" s="121">
        <f>AJ74</f>
        <v>0</v>
      </c>
      <c r="N73" s="84" t="str">
        <f>IF(B73="","", IFERROR(VLOOKUP(B73, 'DAY 2 SCORES'!B:G, 6, FALSE), 0))</f>
        <v/>
      </c>
      <c r="O73" s="84">
        <f>IFERROR(VLOOKUP($B73, 'DAY 2 SCORES'!$B:$H, 4, FALSE), 0)</f>
        <v>0</v>
      </c>
      <c r="Q73" s="233" t="str">
        <f>IF(B73="", "", E73+K73)</f>
        <v/>
      </c>
      <c r="R73" s="233" t="str">
        <f t="shared" si="3"/>
        <v/>
      </c>
      <c r="S73" s="287" t="str">
        <f>IF(B73="","", G73+M73)</f>
        <v/>
      </c>
      <c r="T73" s="287" t="str">
        <f>IF(B73="","", MAX(H73, N73))</f>
        <v/>
      </c>
      <c r="U73" s="287" t="str">
        <f t="shared" si="4"/>
        <v/>
      </c>
      <c r="W73" s="83">
        <f t="shared" si="5"/>
        <v>999</v>
      </c>
      <c r="AE73" s="83" t="str">
        <v/>
      </c>
      <c r="AF73" s="83" t="str">
        <v/>
      </c>
      <c r="AG73" s="83">
        <v>0</v>
      </c>
      <c r="AH73" s="83">
        <v>0</v>
      </c>
      <c r="AI73" s="83">
        <v>0</v>
      </c>
      <c r="AJ73" s="83">
        <v>0</v>
      </c>
      <c r="AK73" s="83">
        <v>0</v>
      </c>
      <c r="AL73" s="83">
        <v>0</v>
      </c>
      <c r="AM73" s="83">
        <v>0</v>
      </c>
      <c r="AN73" s="83">
        <v>14400</v>
      </c>
      <c r="AO73" s="83">
        <v>14400</v>
      </c>
      <c r="AP73" s="83">
        <v>999</v>
      </c>
    </row>
    <row r="74" spans="1:42" ht="24.75" customHeight="1">
      <c r="A74" s="84" t="str">
        <f>IF(B74&lt;&gt;"", COUNTA($B$3:B74), "")</f>
        <v/>
      </c>
      <c r="B74" s="231" t="str">
        <f>AE75</f>
        <v/>
      </c>
      <c r="C74" s="231" t="str">
        <f>AF75</f>
        <v/>
      </c>
      <c r="D74" s="276"/>
      <c r="E74" s="283" cm="1">
        <f t="array" ref="E74">IFERROR(_xlfn.XLOOKUP(TRIM(B74), TRIM('DAY 1 SCORES'!$B$4:$B$152), 'DAY 1 SCORES'!$H$4:$H$152, 12), 12)</f>
        <v>120</v>
      </c>
      <c r="F74" s="283">
        <f>AK75</f>
        <v>0</v>
      </c>
      <c r="G74" s="284">
        <f>AH75</f>
        <v>0</v>
      </c>
      <c r="H74" s="237" t="str">
        <f>IF(B74="","", IFERROR(VLOOKUP(B74, 'DAY 1 SCORES'!B:G, 6, FALSE), 0))</f>
        <v/>
      </c>
      <c r="I74" s="284">
        <f>AG75</f>
        <v>0</v>
      </c>
      <c r="J74" s="276"/>
      <c r="K74" s="121" t="str" cm="1">
        <f t="array" ref="K74">IF(B74="", "", IFERROR(_xlfn.XLOOKUP(TRIM(B74), TRIM('DAY 2 SCORES'!$B$4:$B$152), 'DAY 2 SCORES'!$H$4:$H$152, 12), 12))</f>
        <v/>
      </c>
      <c r="L74" s="121">
        <f>AL75</f>
        <v>0</v>
      </c>
      <c r="M74" s="121">
        <f>AJ75</f>
        <v>0</v>
      </c>
      <c r="N74" s="84" t="str">
        <f>IF(B74="","", IFERROR(VLOOKUP(B74, 'DAY 2 SCORES'!B:G, 6, FALSE), 0))</f>
        <v/>
      </c>
      <c r="O74" s="84">
        <f>IFERROR(VLOOKUP($B74, 'DAY 2 SCORES'!$B:$H, 4, FALSE), 0)</f>
        <v>0</v>
      </c>
      <c r="Q74" s="233" t="str">
        <f>IF(B74="", "", E74+K74)</f>
        <v/>
      </c>
      <c r="R74" s="233" t="str">
        <f t="shared" si="3"/>
        <v/>
      </c>
      <c r="S74" s="287" t="str">
        <f>IF(B74="","", G74+M74)</f>
        <v/>
      </c>
      <c r="T74" s="287" t="str">
        <f>IF(B74="","", MAX(H74, N74))</f>
        <v/>
      </c>
      <c r="U74" s="287" t="str">
        <f t="shared" si="4"/>
        <v/>
      </c>
      <c r="W74" s="83">
        <f t="shared" si="5"/>
        <v>999</v>
      </c>
      <c r="AE74" s="83" t="str">
        <v/>
      </c>
      <c r="AF74" s="83" t="str">
        <v/>
      </c>
      <c r="AG74" s="83">
        <v>0</v>
      </c>
      <c r="AH74" s="83">
        <v>0</v>
      </c>
      <c r="AI74" s="83">
        <v>0</v>
      </c>
      <c r="AJ74" s="83">
        <v>0</v>
      </c>
      <c r="AK74" s="83">
        <v>0</v>
      </c>
      <c r="AL74" s="83">
        <v>0</v>
      </c>
      <c r="AM74" s="83">
        <v>0</v>
      </c>
      <c r="AN74" s="83">
        <v>14400</v>
      </c>
      <c r="AO74" s="83">
        <v>14400</v>
      </c>
      <c r="AP74" s="83">
        <v>999</v>
      </c>
    </row>
    <row r="75" spans="1:42" ht="24.75" customHeight="1">
      <c r="A75" s="84" t="str">
        <f>IF(B75&lt;&gt;"", COUNTA($B$3:B75), "")</f>
        <v/>
      </c>
      <c r="B75" s="231" t="str">
        <f>AE76</f>
        <v/>
      </c>
      <c r="C75" s="231" t="str">
        <f>AF76</f>
        <v/>
      </c>
      <c r="D75" s="276"/>
      <c r="E75" s="283" cm="1">
        <f t="array" ref="E75">IFERROR(_xlfn.XLOOKUP(TRIM(B75), TRIM('DAY 1 SCORES'!$B$4:$B$152), 'DAY 1 SCORES'!$H$4:$H$152, 12), 12)</f>
        <v>120</v>
      </c>
      <c r="F75" s="283">
        <f>AK76</f>
        <v>0</v>
      </c>
      <c r="G75" s="284">
        <f>AH76</f>
        <v>0</v>
      </c>
      <c r="H75" s="237" t="str">
        <f>IF(B75="","", IFERROR(VLOOKUP(B75, 'DAY 1 SCORES'!B:G, 6, FALSE), 0))</f>
        <v/>
      </c>
      <c r="I75" s="284">
        <f>AG76</f>
        <v>0</v>
      </c>
      <c r="J75" s="276"/>
      <c r="K75" s="121" t="str" cm="1">
        <f t="array" ref="K75">IF(B75="", "", IFERROR(_xlfn.XLOOKUP(TRIM(B75), TRIM('DAY 2 SCORES'!$B$4:$B$152), 'DAY 2 SCORES'!$H$4:$H$152, 12), 12))</f>
        <v/>
      </c>
      <c r="L75" s="121">
        <f>AL76</f>
        <v>0</v>
      </c>
      <c r="M75" s="121">
        <f>AJ76</f>
        <v>0</v>
      </c>
      <c r="N75" s="84" t="str">
        <f>IF(B75="","", IFERROR(VLOOKUP(B75, 'DAY 2 SCORES'!B:G, 6, FALSE), 0))</f>
        <v/>
      </c>
      <c r="O75" s="84">
        <f>IFERROR(VLOOKUP($B75, 'DAY 2 SCORES'!$B:$H, 4, FALSE), 0)</f>
        <v>0</v>
      </c>
      <c r="Q75" s="233" t="str">
        <f>IF(B75="", "", E75+K75)</f>
        <v/>
      </c>
      <c r="R75" s="233" t="str">
        <f t="shared" si="3"/>
        <v/>
      </c>
      <c r="S75" s="287" t="str">
        <f>IF(B75="","", G75+M75)</f>
        <v/>
      </c>
      <c r="T75" s="287" t="str">
        <f>IF(B75="","", MAX(H75, N75))</f>
        <v/>
      </c>
      <c r="U75" s="287" t="str">
        <f t="shared" si="4"/>
        <v/>
      </c>
      <c r="W75" s="83">
        <f t="shared" si="5"/>
        <v>999</v>
      </c>
      <c r="AE75" s="83" t="str">
        <v/>
      </c>
      <c r="AF75" s="83" t="str">
        <v/>
      </c>
      <c r="AG75" s="83">
        <v>0</v>
      </c>
      <c r="AH75" s="83">
        <v>0</v>
      </c>
      <c r="AI75" s="83">
        <v>0</v>
      </c>
      <c r="AJ75" s="83">
        <v>0</v>
      </c>
      <c r="AK75" s="83">
        <v>0</v>
      </c>
      <c r="AL75" s="83">
        <v>0</v>
      </c>
      <c r="AM75" s="83">
        <v>0</v>
      </c>
      <c r="AN75" s="83">
        <v>14400</v>
      </c>
      <c r="AO75" s="83">
        <v>14400</v>
      </c>
      <c r="AP75" s="83">
        <v>999</v>
      </c>
    </row>
    <row r="76" spans="1:42" ht="24.75" customHeight="1">
      <c r="A76" s="84" t="str">
        <f>IF(B76&lt;&gt;"", COUNTA($B$3:B76), "")</f>
        <v/>
      </c>
      <c r="B76" s="231" t="str">
        <f>AE77</f>
        <v/>
      </c>
      <c r="C76" s="231" t="str">
        <f>AF77</f>
        <v/>
      </c>
      <c r="D76" s="276"/>
      <c r="E76" s="283" cm="1">
        <f t="array" ref="E76">IFERROR(_xlfn.XLOOKUP(TRIM(B76), TRIM('DAY 1 SCORES'!$B$4:$B$152), 'DAY 1 SCORES'!$H$4:$H$152, 12), 12)</f>
        <v>120</v>
      </c>
      <c r="F76" s="283">
        <f>AK77</f>
        <v>0</v>
      </c>
      <c r="G76" s="284">
        <f>AH77</f>
        <v>0</v>
      </c>
      <c r="H76" s="237" t="str">
        <f>IF(B76="","", IFERROR(VLOOKUP(B76, 'DAY 1 SCORES'!B:G, 6, FALSE), 0))</f>
        <v/>
      </c>
      <c r="I76" s="284">
        <f>AG77</f>
        <v>0</v>
      </c>
      <c r="J76" s="276"/>
      <c r="K76" s="121" t="str" cm="1">
        <f t="array" ref="K76">IF(B76="", "", IFERROR(_xlfn.XLOOKUP(TRIM(B76), TRIM('DAY 2 SCORES'!$B$4:$B$152), 'DAY 2 SCORES'!$H$4:$H$152, 12), 12))</f>
        <v/>
      </c>
      <c r="L76" s="121">
        <f>AL77</f>
        <v>0</v>
      </c>
      <c r="M76" s="121">
        <f>AJ77</f>
        <v>0</v>
      </c>
      <c r="N76" s="84" t="str">
        <f>IF(B76="","", IFERROR(VLOOKUP(B76, 'DAY 2 SCORES'!B:G, 6, FALSE), 0))</f>
        <v/>
      </c>
      <c r="O76" s="84">
        <f>IFERROR(VLOOKUP($B76, 'DAY 2 SCORES'!$B:$H, 4, FALSE), 0)</f>
        <v>0</v>
      </c>
      <c r="Q76" s="233" t="str">
        <f>IF(B76="", "", E76+K76)</f>
        <v/>
      </c>
      <c r="R76" s="233" t="str">
        <f t="shared" si="3"/>
        <v/>
      </c>
      <c r="S76" s="287" t="str">
        <f>IF(B76="","", G76+M76)</f>
        <v/>
      </c>
      <c r="T76" s="287" t="str">
        <f>IF(B76="","", MAX(H76, N76))</f>
        <v/>
      </c>
      <c r="U76" s="287" t="str">
        <f t="shared" si="4"/>
        <v/>
      </c>
      <c r="W76" s="83">
        <f t="shared" si="5"/>
        <v>999</v>
      </c>
      <c r="AE76" s="83" t="str">
        <v/>
      </c>
      <c r="AF76" s="83" t="str">
        <v/>
      </c>
      <c r="AG76" s="83">
        <v>0</v>
      </c>
      <c r="AH76" s="83">
        <v>0</v>
      </c>
      <c r="AI76" s="83">
        <v>0</v>
      </c>
      <c r="AJ76" s="83">
        <v>0</v>
      </c>
      <c r="AK76" s="83">
        <v>0</v>
      </c>
      <c r="AL76" s="83">
        <v>0</v>
      </c>
      <c r="AM76" s="83">
        <v>0</v>
      </c>
      <c r="AN76" s="83">
        <v>14400</v>
      </c>
      <c r="AO76" s="83">
        <v>14400</v>
      </c>
      <c r="AP76" s="83">
        <v>999</v>
      </c>
    </row>
    <row r="77" spans="1:42" ht="24.75" customHeight="1">
      <c r="A77" s="84" t="str">
        <f>IF(B77&lt;&gt;"", COUNTA($B$3:B77), "")</f>
        <v/>
      </c>
      <c r="B77" s="231" t="str">
        <f>AE78</f>
        <v/>
      </c>
      <c r="C77" s="231" t="str">
        <f>AF78</f>
        <v/>
      </c>
      <c r="D77" s="276"/>
      <c r="E77" s="283" cm="1">
        <f t="array" ref="E77">IFERROR(_xlfn.XLOOKUP(TRIM(B77), TRIM('DAY 1 SCORES'!$B$4:$B$152), 'DAY 1 SCORES'!$H$4:$H$152, 12), 12)</f>
        <v>120</v>
      </c>
      <c r="F77" s="283">
        <f>AK78</f>
        <v>0</v>
      </c>
      <c r="G77" s="284">
        <f>AH78</f>
        <v>0</v>
      </c>
      <c r="H77" s="237" t="str">
        <f>IF(B77="","", IFERROR(VLOOKUP(B77, 'DAY 1 SCORES'!B:G, 6, FALSE), 0))</f>
        <v/>
      </c>
      <c r="I77" s="284">
        <f>AG78</f>
        <v>0</v>
      </c>
      <c r="J77" s="276"/>
      <c r="K77" s="121" t="str" cm="1">
        <f t="array" ref="K77">IF(B77="", "", IFERROR(_xlfn.XLOOKUP(TRIM(B77), TRIM('DAY 2 SCORES'!$B$4:$B$152), 'DAY 2 SCORES'!$H$4:$H$152, 12), 12))</f>
        <v/>
      </c>
      <c r="L77" s="121">
        <f>AL78</f>
        <v>0</v>
      </c>
      <c r="M77" s="121">
        <f>AJ78</f>
        <v>0</v>
      </c>
      <c r="N77" s="84" t="str">
        <f>IF(B77="","", IFERROR(VLOOKUP(B77, 'DAY 2 SCORES'!B:G, 6, FALSE), 0))</f>
        <v/>
      </c>
      <c r="O77" s="84">
        <f>IFERROR(VLOOKUP($B77, 'DAY 2 SCORES'!$B:$H, 4, FALSE), 0)</f>
        <v>0</v>
      </c>
      <c r="Q77" s="233" t="str">
        <f>IF(B77="", "", E77+K77)</f>
        <v/>
      </c>
      <c r="R77" s="233" t="str">
        <f t="shared" si="3"/>
        <v/>
      </c>
      <c r="S77" s="287" t="str">
        <f>IF(B77="","", G77+M77)</f>
        <v/>
      </c>
      <c r="T77" s="287" t="str">
        <f>IF(B77="","", MAX(H77, N77))</f>
        <v/>
      </c>
      <c r="U77" s="287" t="str">
        <f t="shared" si="4"/>
        <v/>
      </c>
      <c r="W77" s="83">
        <f t="shared" si="5"/>
        <v>999</v>
      </c>
      <c r="AE77" s="83" t="str">
        <v/>
      </c>
      <c r="AF77" s="83" t="str">
        <v/>
      </c>
      <c r="AG77" s="83">
        <v>0</v>
      </c>
      <c r="AH77" s="83">
        <v>0</v>
      </c>
      <c r="AI77" s="83">
        <v>0</v>
      </c>
      <c r="AJ77" s="83">
        <v>0</v>
      </c>
      <c r="AK77" s="83">
        <v>0</v>
      </c>
      <c r="AL77" s="83">
        <v>0</v>
      </c>
      <c r="AM77" s="83">
        <v>0</v>
      </c>
      <c r="AN77" s="83">
        <v>14400</v>
      </c>
      <c r="AO77" s="83">
        <v>14400</v>
      </c>
      <c r="AP77" s="83">
        <v>999</v>
      </c>
    </row>
    <row r="78" spans="1:42" ht="24.75" customHeight="1">
      <c r="A78" s="84" t="str">
        <f>IF(B78&lt;&gt;"", COUNTA($B$3:B78), "")</f>
        <v/>
      </c>
      <c r="B78" s="231" t="str">
        <f>AE79</f>
        <v/>
      </c>
      <c r="C78" s="231" t="str">
        <f>AF79</f>
        <v/>
      </c>
      <c r="D78" s="276"/>
      <c r="E78" s="283" cm="1">
        <f t="array" ref="E78">IFERROR(_xlfn.XLOOKUP(TRIM(B78), TRIM('DAY 1 SCORES'!$B$4:$B$152), 'DAY 1 SCORES'!$H$4:$H$152, 12), 12)</f>
        <v>120</v>
      </c>
      <c r="F78" s="283">
        <f>AK79</f>
        <v>0</v>
      </c>
      <c r="G78" s="284">
        <f>AH79</f>
        <v>0</v>
      </c>
      <c r="H78" s="237" t="str">
        <f>IF(B78="","", IFERROR(VLOOKUP(B78, 'DAY 1 SCORES'!B:G, 6, FALSE), 0))</f>
        <v/>
      </c>
      <c r="I78" s="284">
        <f>AG79</f>
        <v>0</v>
      </c>
      <c r="J78" s="276"/>
      <c r="K78" s="121" t="str" cm="1">
        <f t="array" ref="K78">IF(B78="", "", IFERROR(_xlfn.XLOOKUP(TRIM(B78), TRIM('DAY 2 SCORES'!$B$4:$B$152), 'DAY 2 SCORES'!$H$4:$H$152, 12), 12))</f>
        <v/>
      </c>
      <c r="L78" s="121">
        <f>AL79</f>
        <v>0</v>
      </c>
      <c r="M78" s="121">
        <f>AJ79</f>
        <v>0</v>
      </c>
      <c r="N78" s="84" t="str">
        <f>IF(B78="","", IFERROR(VLOOKUP(B78, 'DAY 2 SCORES'!B:G, 6, FALSE), 0))</f>
        <v/>
      </c>
      <c r="O78" s="84">
        <f>IFERROR(VLOOKUP($B78, 'DAY 2 SCORES'!$B:$H, 4, FALSE), 0)</f>
        <v>0</v>
      </c>
      <c r="Q78" s="233" t="str">
        <f>IF(B78="", "", E78+K78)</f>
        <v/>
      </c>
      <c r="R78" s="233" t="str">
        <f t="shared" si="3"/>
        <v/>
      </c>
      <c r="S78" s="287" t="str">
        <f>IF(B78="","", G78+M78)</f>
        <v/>
      </c>
      <c r="T78" s="287" t="str">
        <f>IF(B78="","", MAX(H78, N78))</f>
        <v/>
      </c>
      <c r="U78" s="287" t="str">
        <f t="shared" si="4"/>
        <v/>
      </c>
      <c r="W78" s="83">
        <f t="shared" si="5"/>
        <v>999</v>
      </c>
      <c r="AE78" s="83" t="str">
        <v/>
      </c>
      <c r="AF78" s="83" t="str">
        <v/>
      </c>
      <c r="AG78" s="83">
        <v>0</v>
      </c>
      <c r="AH78" s="83">
        <v>0</v>
      </c>
      <c r="AI78" s="83">
        <v>0</v>
      </c>
      <c r="AJ78" s="83">
        <v>0</v>
      </c>
      <c r="AK78" s="83">
        <v>0</v>
      </c>
      <c r="AL78" s="83">
        <v>0</v>
      </c>
      <c r="AM78" s="83">
        <v>0</v>
      </c>
      <c r="AN78" s="83">
        <v>14400</v>
      </c>
      <c r="AO78" s="83">
        <v>14400</v>
      </c>
      <c r="AP78" s="83">
        <v>999</v>
      </c>
    </row>
    <row r="79" spans="1:42" ht="24.75" customHeight="1">
      <c r="A79" s="84" t="str">
        <f>IF(B79&lt;&gt;"", COUNTA($B$3:B79), "")</f>
        <v/>
      </c>
      <c r="B79" s="231" t="str">
        <f>AE80</f>
        <v/>
      </c>
      <c r="C79" s="231" t="str">
        <f>AF80</f>
        <v/>
      </c>
      <c r="D79" s="276"/>
      <c r="E79" s="283" cm="1">
        <f t="array" ref="E79">IFERROR(_xlfn.XLOOKUP(TRIM(B79), TRIM('DAY 1 SCORES'!$B$4:$B$152), 'DAY 1 SCORES'!$H$4:$H$152, 12), 12)</f>
        <v>120</v>
      </c>
      <c r="F79" s="283">
        <f>AK80</f>
        <v>0</v>
      </c>
      <c r="G79" s="284">
        <f>AH80</f>
        <v>0</v>
      </c>
      <c r="H79" s="237" t="str">
        <f>IF(B79="","", IFERROR(VLOOKUP(B79, 'DAY 1 SCORES'!B:G, 6, FALSE), 0))</f>
        <v/>
      </c>
      <c r="I79" s="284">
        <f>AG80</f>
        <v>0</v>
      </c>
      <c r="J79" s="276"/>
      <c r="K79" s="121" t="str" cm="1">
        <f t="array" ref="K79">IF(B79="", "", IFERROR(_xlfn.XLOOKUP(TRIM(B79), TRIM('DAY 2 SCORES'!$B$4:$B$152), 'DAY 2 SCORES'!$H$4:$H$152, 12), 12))</f>
        <v/>
      </c>
      <c r="L79" s="121">
        <f>AL80</f>
        <v>0</v>
      </c>
      <c r="M79" s="121">
        <f>AJ80</f>
        <v>0</v>
      </c>
      <c r="N79" s="84" t="str">
        <f>IF(B79="","", IFERROR(VLOOKUP(B79, 'DAY 2 SCORES'!B:G, 6, FALSE), 0))</f>
        <v/>
      </c>
      <c r="O79" s="84">
        <f>IFERROR(VLOOKUP($B79, 'DAY 2 SCORES'!$B:$H, 4, FALSE), 0)</f>
        <v>0</v>
      </c>
      <c r="Q79" s="233" t="str">
        <f>IF(B79="", "", E79+K79)</f>
        <v/>
      </c>
      <c r="R79" s="233" t="str">
        <f t="shared" si="3"/>
        <v/>
      </c>
      <c r="S79" s="287" t="str">
        <f>IF(B79="","", G79+M79)</f>
        <v/>
      </c>
      <c r="T79" s="287" t="str">
        <f>IF(B79="","", MAX(H79, N79))</f>
        <v/>
      </c>
      <c r="U79" s="287" t="str">
        <f t="shared" si="4"/>
        <v/>
      </c>
      <c r="W79" s="83">
        <f t="shared" si="5"/>
        <v>999</v>
      </c>
      <c r="AE79" s="83" t="str">
        <v/>
      </c>
      <c r="AF79" s="83" t="str">
        <v/>
      </c>
      <c r="AG79" s="83">
        <v>0</v>
      </c>
      <c r="AH79" s="83">
        <v>0</v>
      </c>
      <c r="AI79" s="83">
        <v>0</v>
      </c>
      <c r="AJ79" s="83">
        <v>0</v>
      </c>
      <c r="AK79" s="83">
        <v>0</v>
      </c>
      <c r="AL79" s="83">
        <v>0</v>
      </c>
      <c r="AM79" s="83">
        <v>0</v>
      </c>
      <c r="AN79" s="83">
        <v>14400</v>
      </c>
      <c r="AO79" s="83">
        <v>14400</v>
      </c>
      <c r="AP79" s="83">
        <v>999</v>
      </c>
    </row>
    <row r="80" spans="1:42" ht="24.75" customHeight="1">
      <c r="A80" s="84" t="str">
        <f>IF(B80&lt;&gt;"", COUNTA($B$3:B80), "")</f>
        <v/>
      </c>
      <c r="B80" s="231" t="str">
        <f>AE81</f>
        <v/>
      </c>
      <c r="C80" s="231" t="str">
        <f>AF81</f>
        <v/>
      </c>
      <c r="D80" s="276"/>
      <c r="E80" s="283" cm="1">
        <f t="array" ref="E80">IFERROR(_xlfn.XLOOKUP(TRIM(B80), TRIM('DAY 1 SCORES'!$B$4:$B$152), 'DAY 1 SCORES'!$H$4:$H$152, 12), 12)</f>
        <v>120</v>
      </c>
      <c r="F80" s="283">
        <f>AK81</f>
        <v>0</v>
      </c>
      <c r="G80" s="284">
        <f>AH81</f>
        <v>0</v>
      </c>
      <c r="H80" s="237" t="str">
        <f>IF(B80="","", IFERROR(VLOOKUP(B80, 'DAY 1 SCORES'!B:G, 6, FALSE), 0))</f>
        <v/>
      </c>
      <c r="I80" s="284">
        <f>AG81</f>
        <v>0</v>
      </c>
      <c r="J80" s="276"/>
      <c r="K80" s="121" t="str" cm="1">
        <f t="array" ref="K80">IF(B80="", "", IFERROR(_xlfn.XLOOKUP(TRIM(B80), TRIM('DAY 2 SCORES'!$B$4:$B$152), 'DAY 2 SCORES'!$H$4:$H$152, 12), 12))</f>
        <v/>
      </c>
      <c r="L80" s="121">
        <f>AL81</f>
        <v>0</v>
      </c>
      <c r="M80" s="121">
        <f>AJ81</f>
        <v>0</v>
      </c>
      <c r="N80" s="84" t="str">
        <f>IF(B80="","", IFERROR(VLOOKUP(B80, 'DAY 2 SCORES'!B:G, 6, FALSE), 0))</f>
        <v/>
      </c>
      <c r="O80" s="84">
        <f>IFERROR(VLOOKUP($B80, 'DAY 2 SCORES'!$B:$H, 4, FALSE), 0)</f>
        <v>0</v>
      </c>
      <c r="Q80" s="233" t="str">
        <f>IF(B80="", "", E80+K80)</f>
        <v/>
      </c>
      <c r="R80" s="233" t="str">
        <f t="shared" si="3"/>
        <v/>
      </c>
      <c r="S80" s="287" t="str">
        <f>IF(B80="","", G80+M80)</f>
        <v/>
      </c>
      <c r="T80" s="287" t="str">
        <f>IF(B80="","", MAX(H80, N80))</f>
        <v/>
      </c>
      <c r="U80" s="287" t="str">
        <f t="shared" si="4"/>
        <v/>
      </c>
      <c r="W80" s="83">
        <f t="shared" si="5"/>
        <v>999</v>
      </c>
      <c r="AE80" s="83" t="str">
        <v/>
      </c>
      <c r="AF80" s="83" t="str">
        <v/>
      </c>
      <c r="AG80" s="83">
        <v>0</v>
      </c>
      <c r="AH80" s="83">
        <v>0</v>
      </c>
      <c r="AI80" s="83">
        <v>0</v>
      </c>
      <c r="AJ80" s="83">
        <v>0</v>
      </c>
      <c r="AK80" s="83">
        <v>0</v>
      </c>
      <c r="AL80" s="83">
        <v>0</v>
      </c>
      <c r="AM80" s="83">
        <v>0</v>
      </c>
      <c r="AN80" s="83">
        <v>14400</v>
      </c>
      <c r="AO80" s="83">
        <v>14400</v>
      </c>
      <c r="AP80" s="83">
        <v>999</v>
      </c>
    </row>
    <row r="81" spans="1:42" ht="24.75" customHeight="1">
      <c r="A81" s="84" t="str">
        <f>IF(B81&lt;&gt;"", COUNTA($B$3:B81), "")</f>
        <v/>
      </c>
      <c r="B81" s="231" t="str">
        <f>AE82</f>
        <v/>
      </c>
      <c r="C81" s="231" t="str">
        <f>AF82</f>
        <v/>
      </c>
      <c r="D81" s="276"/>
      <c r="E81" s="283" cm="1">
        <f t="array" ref="E81">IFERROR(_xlfn.XLOOKUP(TRIM(B81), TRIM('DAY 1 SCORES'!$B$4:$B$152), 'DAY 1 SCORES'!$H$4:$H$152, 12), 12)</f>
        <v>120</v>
      </c>
      <c r="F81" s="283">
        <f>AK82</f>
        <v>0</v>
      </c>
      <c r="G81" s="284">
        <f>AH82</f>
        <v>0</v>
      </c>
      <c r="H81" s="237" t="str">
        <f>IF(B81="","", IFERROR(VLOOKUP(B81, 'DAY 1 SCORES'!B:G, 6, FALSE), 0))</f>
        <v/>
      </c>
      <c r="I81" s="284">
        <f>AG82</f>
        <v>0</v>
      </c>
      <c r="J81" s="276"/>
      <c r="K81" s="121" t="str" cm="1">
        <f t="array" ref="K81">IF(B81="", "", IFERROR(_xlfn.XLOOKUP(TRIM(B81), TRIM('DAY 2 SCORES'!$B$4:$B$152), 'DAY 2 SCORES'!$H$4:$H$152, 12), 12))</f>
        <v/>
      </c>
      <c r="L81" s="121">
        <f>AL82</f>
        <v>0</v>
      </c>
      <c r="M81" s="121">
        <f>AJ82</f>
        <v>0</v>
      </c>
      <c r="N81" s="84" t="str">
        <f>IF(B81="","", IFERROR(VLOOKUP(B81, 'DAY 2 SCORES'!B:G, 6, FALSE), 0))</f>
        <v/>
      </c>
      <c r="O81" s="84">
        <f>IFERROR(VLOOKUP($B81, 'DAY 2 SCORES'!$B:$H, 4, FALSE), 0)</f>
        <v>0</v>
      </c>
      <c r="Q81" s="233" t="str">
        <f>IF(B81="", "", E81+K81)</f>
        <v/>
      </c>
      <c r="R81" s="233" t="str">
        <f t="shared" si="3"/>
        <v/>
      </c>
      <c r="S81" s="287" t="str">
        <f>IF(B81="","", G81+M81)</f>
        <v/>
      </c>
      <c r="T81" s="287" t="str">
        <f>IF(B81="","", MAX(H81, N81))</f>
        <v/>
      </c>
      <c r="U81" s="287" t="str">
        <f t="shared" si="4"/>
        <v/>
      </c>
      <c r="W81" s="83">
        <f t="shared" si="5"/>
        <v>999</v>
      </c>
      <c r="AE81" s="83" t="str">
        <v/>
      </c>
      <c r="AF81" s="83" t="str">
        <v/>
      </c>
      <c r="AG81" s="83">
        <v>0</v>
      </c>
      <c r="AH81" s="83">
        <v>0</v>
      </c>
      <c r="AI81" s="83">
        <v>0</v>
      </c>
      <c r="AJ81" s="83">
        <v>0</v>
      </c>
      <c r="AK81" s="83">
        <v>0</v>
      </c>
      <c r="AL81" s="83">
        <v>0</v>
      </c>
      <c r="AM81" s="83">
        <v>0</v>
      </c>
      <c r="AN81" s="83">
        <v>14400</v>
      </c>
      <c r="AO81" s="83">
        <v>14400</v>
      </c>
      <c r="AP81" s="83">
        <v>999</v>
      </c>
    </row>
    <row r="82" spans="1:42" ht="24.75" customHeight="1">
      <c r="A82" s="84" t="str">
        <f>IF(B82&lt;&gt;"", COUNTA($B$3:B82), "")</f>
        <v/>
      </c>
      <c r="B82" s="231" t="str">
        <f>AE83</f>
        <v/>
      </c>
      <c r="C82" s="231" t="str">
        <f>AF83</f>
        <v/>
      </c>
      <c r="D82" s="276"/>
      <c r="E82" s="283" cm="1">
        <f t="array" ref="E82">IFERROR(_xlfn.XLOOKUP(TRIM(B82), TRIM('DAY 1 SCORES'!$B$4:$B$152), 'DAY 1 SCORES'!$H$4:$H$152, 12), 12)</f>
        <v>120</v>
      </c>
      <c r="F82" s="283">
        <f>AK83</f>
        <v>0</v>
      </c>
      <c r="G82" s="284">
        <f>AH83</f>
        <v>0</v>
      </c>
      <c r="H82" s="237" t="str">
        <f>IF(B82="","", IFERROR(VLOOKUP(B82, 'DAY 1 SCORES'!B:G, 6, FALSE), 0))</f>
        <v/>
      </c>
      <c r="I82" s="284">
        <f>AG83</f>
        <v>0</v>
      </c>
      <c r="J82" s="276"/>
      <c r="K82" s="121" t="str" cm="1">
        <f t="array" ref="K82">IF(B82="", "", IFERROR(_xlfn.XLOOKUP(TRIM(B82), TRIM('DAY 2 SCORES'!$B$4:$B$152), 'DAY 2 SCORES'!$H$4:$H$152, 12), 12))</f>
        <v/>
      </c>
      <c r="L82" s="121">
        <f>AL83</f>
        <v>0</v>
      </c>
      <c r="M82" s="121">
        <f>AJ83</f>
        <v>0</v>
      </c>
      <c r="N82" s="84" t="str">
        <f>IF(B82="","", IFERROR(VLOOKUP(B82, 'DAY 2 SCORES'!B:G, 6, FALSE), 0))</f>
        <v/>
      </c>
      <c r="O82" s="84">
        <f>IFERROR(VLOOKUP($B82, 'DAY 2 SCORES'!$B:$H, 4, FALSE), 0)</f>
        <v>0</v>
      </c>
      <c r="Q82" s="233" t="str">
        <f>IF(B82="", "", E82+K82)</f>
        <v/>
      </c>
      <c r="R82" s="233" t="str">
        <f t="shared" si="3"/>
        <v/>
      </c>
      <c r="S82" s="287" t="str">
        <f>IF(B82="","", G82+M82)</f>
        <v/>
      </c>
      <c r="T82" s="287" t="str">
        <f>IF(B82="","", MAX(H82, N82))</f>
        <v/>
      </c>
      <c r="U82" s="287" t="str">
        <f t="shared" si="4"/>
        <v/>
      </c>
      <c r="W82" s="83">
        <f t="shared" si="5"/>
        <v>999</v>
      </c>
      <c r="AE82" s="83" t="str">
        <v/>
      </c>
      <c r="AF82" s="83" t="str">
        <v/>
      </c>
      <c r="AG82" s="83">
        <v>0</v>
      </c>
      <c r="AH82" s="83">
        <v>0</v>
      </c>
      <c r="AI82" s="83">
        <v>0</v>
      </c>
      <c r="AJ82" s="83">
        <v>0</v>
      </c>
      <c r="AK82" s="83">
        <v>0</v>
      </c>
      <c r="AL82" s="83">
        <v>0</v>
      </c>
      <c r="AM82" s="83">
        <v>0</v>
      </c>
      <c r="AN82" s="83">
        <v>14400</v>
      </c>
      <c r="AO82" s="83">
        <v>14400</v>
      </c>
      <c r="AP82" s="83">
        <v>999</v>
      </c>
    </row>
    <row r="83" spans="1:42" ht="24.75" customHeight="1">
      <c r="A83" s="84" t="str">
        <f>IF(B83&lt;&gt;"", COUNTA($B$3:B83), "")</f>
        <v/>
      </c>
      <c r="B83" s="231" t="str">
        <f>AE84</f>
        <v/>
      </c>
      <c r="C83" s="231" t="str">
        <f>AF84</f>
        <v/>
      </c>
      <c r="D83" s="276"/>
      <c r="E83" s="283" cm="1">
        <f t="array" ref="E83">IFERROR(_xlfn.XLOOKUP(TRIM(B83), TRIM('DAY 1 SCORES'!$B$4:$B$152), 'DAY 1 SCORES'!$H$4:$H$152, 12), 12)</f>
        <v>120</v>
      </c>
      <c r="F83" s="283">
        <f>AK84</f>
        <v>0</v>
      </c>
      <c r="G83" s="284">
        <f>AH84</f>
        <v>0</v>
      </c>
      <c r="H83" s="237" t="str">
        <f>IF(B83="","", IFERROR(VLOOKUP(B83, 'DAY 1 SCORES'!B:G, 6, FALSE), 0))</f>
        <v/>
      </c>
      <c r="I83" s="284">
        <f>AG84</f>
        <v>0</v>
      </c>
      <c r="J83" s="276"/>
      <c r="K83" s="121" t="str" cm="1">
        <f t="array" ref="K83">IF(B83="", "", IFERROR(_xlfn.XLOOKUP(TRIM(B83), TRIM('DAY 2 SCORES'!$B$4:$B$152), 'DAY 2 SCORES'!$H$4:$H$152, 12), 12))</f>
        <v/>
      </c>
      <c r="L83" s="121">
        <f>AL84</f>
        <v>0</v>
      </c>
      <c r="M83" s="121">
        <f>AJ84</f>
        <v>0</v>
      </c>
      <c r="N83" s="84" t="str">
        <f>IF(B83="","", IFERROR(VLOOKUP(B83, 'DAY 2 SCORES'!B:G, 6, FALSE), 0))</f>
        <v/>
      </c>
      <c r="O83" s="84">
        <f>IFERROR(VLOOKUP($B83, 'DAY 2 SCORES'!$B:$H, 4, FALSE), 0)</f>
        <v>0</v>
      </c>
      <c r="Q83" s="233" t="str">
        <f>IF(B83="", "", E83+K83)</f>
        <v/>
      </c>
      <c r="R83" s="233" t="str">
        <f t="shared" si="3"/>
        <v/>
      </c>
      <c r="S83" s="287" t="str">
        <f>IF(B83="","", G83+M83)</f>
        <v/>
      </c>
      <c r="T83" s="287" t="str">
        <f>IF(B83="","", MAX(H83, N83))</f>
        <v/>
      </c>
      <c r="U83" s="287" t="str">
        <f t="shared" si="4"/>
        <v/>
      </c>
      <c r="W83" s="83">
        <f t="shared" si="5"/>
        <v>999</v>
      </c>
      <c r="AE83" s="83" t="str">
        <v/>
      </c>
      <c r="AF83" s="83" t="str">
        <v/>
      </c>
      <c r="AG83" s="83">
        <v>0</v>
      </c>
      <c r="AH83" s="83">
        <v>0</v>
      </c>
      <c r="AI83" s="83">
        <v>0</v>
      </c>
      <c r="AJ83" s="83">
        <v>0</v>
      </c>
      <c r="AK83" s="83">
        <v>0</v>
      </c>
      <c r="AL83" s="83">
        <v>0</v>
      </c>
      <c r="AM83" s="83">
        <v>0</v>
      </c>
      <c r="AN83" s="83">
        <v>14400</v>
      </c>
      <c r="AO83" s="83">
        <v>14400</v>
      </c>
      <c r="AP83" s="83">
        <v>999</v>
      </c>
    </row>
    <row r="84" spans="1:42" ht="24.75" customHeight="1">
      <c r="A84" s="84" t="str">
        <f>IF(B84&lt;&gt;"", COUNTA($B$3:B84), "")</f>
        <v/>
      </c>
      <c r="B84" s="231" t="str">
        <f>AE85</f>
        <v/>
      </c>
      <c r="C84" s="231" t="str">
        <f>AF85</f>
        <v/>
      </c>
      <c r="D84" s="276"/>
      <c r="E84" s="283" cm="1">
        <f t="array" ref="E84">IFERROR(_xlfn.XLOOKUP(TRIM(B84), TRIM('DAY 1 SCORES'!$B$4:$B$152), 'DAY 1 SCORES'!$H$4:$H$152, 12), 12)</f>
        <v>120</v>
      </c>
      <c r="F84" s="283">
        <f>AK85</f>
        <v>0</v>
      </c>
      <c r="G84" s="284">
        <f>AH85</f>
        <v>0</v>
      </c>
      <c r="H84" s="237" t="str">
        <f>IF(B84="","", IFERROR(VLOOKUP(B84, 'DAY 1 SCORES'!B:G, 6, FALSE), 0))</f>
        <v/>
      </c>
      <c r="I84" s="284">
        <f>AG85</f>
        <v>0</v>
      </c>
      <c r="J84" s="276"/>
      <c r="K84" s="121" t="str" cm="1">
        <f t="array" ref="K84">IF(B84="", "", IFERROR(_xlfn.XLOOKUP(TRIM(B84), TRIM('DAY 2 SCORES'!$B$4:$B$152), 'DAY 2 SCORES'!$H$4:$H$152, 12), 12))</f>
        <v/>
      </c>
      <c r="L84" s="121">
        <f>AL85</f>
        <v>0</v>
      </c>
      <c r="M84" s="121">
        <f>AJ85</f>
        <v>0</v>
      </c>
      <c r="N84" s="84" t="str">
        <f>IF(B84="","", IFERROR(VLOOKUP(B84, 'DAY 2 SCORES'!B:G, 6, FALSE), 0))</f>
        <v/>
      </c>
      <c r="O84" s="84">
        <f>IFERROR(VLOOKUP($B84, 'DAY 2 SCORES'!$B:$H, 4, FALSE), 0)</f>
        <v>0</v>
      </c>
      <c r="Q84" s="233" t="str">
        <f>IF(B84="", "", E84+K84)</f>
        <v/>
      </c>
      <c r="R84" s="233" t="str">
        <f t="shared" si="3"/>
        <v/>
      </c>
      <c r="S84" s="287" t="str">
        <f>IF(B84="","", G84+M84)</f>
        <v/>
      </c>
      <c r="T84" s="287" t="str">
        <f>IF(B84="","", MAX(H84, N84))</f>
        <v/>
      </c>
      <c r="U84" s="287" t="str">
        <f t="shared" si="4"/>
        <v/>
      </c>
      <c r="W84" s="83">
        <f t="shared" si="5"/>
        <v>999</v>
      </c>
      <c r="AE84" s="83" t="str">
        <v/>
      </c>
      <c r="AF84" s="83" t="str">
        <v/>
      </c>
      <c r="AG84" s="83">
        <v>0</v>
      </c>
      <c r="AH84" s="83">
        <v>0</v>
      </c>
      <c r="AI84" s="83">
        <v>0</v>
      </c>
      <c r="AJ84" s="83">
        <v>0</v>
      </c>
      <c r="AK84" s="83">
        <v>0</v>
      </c>
      <c r="AL84" s="83">
        <v>0</v>
      </c>
      <c r="AM84" s="83">
        <v>0</v>
      </c>
      <c r="AN84" s="83">
        <v>14400</v>
      </c>
      <c r="AO84" s="83">
        <v>14400</v>
      </c>
      <c r="AP84" s="83">
        <v>999</v>
      </c>
    </row>
    <row r="85" spans="1:42" ht="24.75" customHeight="1">
      <c r="A85" s="84" t="str">
        <f>IF(B85&lt;&gt;"", COUNTA($B$3:B85), "")</f>
        <v/>
      </c>
      <c r="B85" s="231" t="str">
        <f>AE86</f>
        <v/>
      </c>
      <c r="C85" s="231" t="str">
        <f>AF86</f>
        <v/>
      </c>
      <c r="D85" s="276"/>
      <c r="E85" s="283" cm="1">
        <f t="array" ref="E85">IFERROR(_xlfn.XLOOKUP(TRIM(B85), TRIM('DAY 1 SCORES'!$B$4:$B$152), 'DAY 1 SCORES'!$H$4:$H$152, 12), 12)</f>
        <v>120</v>
      </c>
      <c r="F85" s="283">
        <f>AK86</f>
        <v>0</v>
      </c>
      <c r="G85" s="284">
        <f>AH86</f>
        <v>0</v>
      </c>
      <c r="H85" s="237" t="str">
        <f>IF(B85="","", IFERROR(VLOOKUP(B85, 'DAY 1 SCORES'!B:G, 6, FALSE), 0))</f>
        <v/>
      </c>
      <c r="I85" s="284">
        <f>AG86</f>
        <v>0</v>
      </c>
      <c r="J85" s="276"/>
      <c r="K85" s="121" t="str" cm="1">
        <f t="array" ref="K85">IF(B85="", "", IFERROR(_xlfn.XLOOKUP(TRIM(B85), TRIM('DAY 2 SCORES'!$B$4:$B$152), 'DAY 2 SCORES'!$H$4:$H$152, 12), 12))</f>
        <v/>
      </c>
      <c r="L85" s="121">
        <f>AL86</f>
        <v>0</v>
      </c>
      <c r="M85" s="121">
        <f>AJ86</f>
        <v>0</v>
      </c>
      <c r="N85" s="84" t="str">
        <f>IF(B85="","", IFERROR(VLOOKUP(B85, 'DAY 2 SCORES'!B:G, 6, FALSE), 0))</f>
        <v/>
      </c>
      <c r="O85" s="84">
        <f>IFERROR(VLOOKUP($B85, 'DAY 2 SCORES'!$B:$H, 4, FALSE), 0)</f>
        <v>0</v>
      </c>
      <c r="Q85" s="233" t="str">
        <f>IF(B85="", "", E85+K85)</f>
        <v/>
      </c>
      <c r="R85" s="233" t="str">
        <f t="shared" si="3"/>
        <v/>
      </c>
      <c r="S85" s="287" t="str">
        <f>IF(B85="","", G85+M85)</f>
        <v/>
      </c>
      <c r="T85" s="287" t="str">
        <f>IF(B85="","", MAX(H85, N85))</f>
        <v/>
      </c>
      <c r="U85" s="287" t="str">
        <f t="shared" si="4"/>
        <v/>
      </c>
      <c r="W85" s="83">
        <f t="shared" si="5"/>
        <v>999</v>
      </c>
      <c r="AE85" s="83" t="str">
        <v/>
      </c>
      <c r="AF85" s="83" t="str">
        <v/>
      </c>
      <c r="AG85" s="83">
        <v>0</v>
      </c>
      <c r="AH85" s="83">
        <v>0</v>
      </c>
      <c r="AI85" s="83">
        <v>0</v>
      </c>
      <c r="AJ85" s="83">
        <v>0</v>
      </c>
      <c r="AK85" s="83">
        <v>0</v>
      </c>
      <c r="AL85" s="83">
        <v>0</v>
      </c>
      <c r="AM85" s="83">
        <v>0</v>
      </c>
      <c r="AN85" s="83">
        <v>14400</v>
      </c>
      <c r="AO85" s="83">
        <v>14400</v>
      </c>
      <c r="AP85" s="83">
        <v>999</v>
      </c>
    </row>
    <row r="86" spans="1:42" ht="24.75" customHeight="1">
      <c r="A86" s="84" t="str">
        <f>IF(B86&lt;&gt;"", COUNTA($B$3:B86), "")</f>
        <v/>
      </c>
      <c r="B86" s="231" t="str">
        <f>AE87</f>
        <v/>
      </c>
      <c r="C86" s="231" t="str">
        <f>AF87</f>
        <v/>
      </c>
      <c r="D86" s="276"/>
      <c r="E86" s="283" cm="1">
        <f t="array" ref="E86">IFERROR(_xlfn.XLOOKUP(TRIM(B86), TRIM('DAY 1 SCORES'!$B$4:$B$152), 'DAY 1 SCORES'!$H$4:$H$152, 12), 12)</f>
        <v>120</v>
      </c>
      <c r="F86" s="283">
        <f>AK87</f>
        <v>0</v>
      </c>
      <c r="G86" s="284">
        <f>AH87</f>
        <v>0</v>
      </c>
      <c r="H86" s="237" t="str">
        <f>IF(B86="","", IFERROR(VLOOKUP(B86, 'DAY 1 SCORES'!B:G, 6, FALSE), 0))</f>
        <v/>
      </c>
      <c r="I86" s="284">
        <f>AG87</f>
        <v>0</v>
      </c>
      <c r="J86" s="276"/>
      <c r="K86" s="121" t="str" cm="1">
        <f t="array" ref="K86">IF(B86="", "", IFERROR(_xlfn.XLOOKUP(TRIM(B86), TRIM('DAY 2 SCORES'!$B$4:$B$152), 'DAY 2 SCORES'!$H$4:$H$152, 12), 12))</f>
        <v/>
      </c>
      <c r="L86" s="121">
        <f>AL87</f>
        <v>0</v>
      </c>
      <c r="M86" s="121">
        <f>AJ87</f>
        <v>0</v>
      </c>
      <c r="N86" s="84" t="str">
        <f>IF(B86="","", IFERROR(VLOOKUP(B86, 'DAY 2 SCORES'!B:G, 6, FALSE), 0))</f>
        <v/>
      </c>
      <c r="O86" s="84">
        <f>IFERROR(VLOOKUP($B86, 'DAY 2 SCORES'!$B:$H, 4, FALSE), 0)</f>
        <v>0</v>
      </c>
      <c r="Q86" s="233" t="str">
        <f>IF(B86="", "", E86+K86)</f>
        <v/>
      </c>
      <c r="R86" s="233" t="str">
        <f t="shared" si="3"/>
        <v/>
      </c>
      <c r="S86" s="287" t="str">
        <f>IF(B86="","", G86+M86)</f>
        <v/>
      </c>
      <c r="T86" s="287" t="str">
        <f>IF(B86="","", MAX(H86, N86))</f>
        <v/>
      </c>
      <c r="U86" s="287" t="str">
        <f t="shared" si="4"/>
        <v/>
      </c>
      <c r="W86" s="83">
        <f t="shared" si="5"/>
        <v>999</v>
      </c>
      <c r="AE86" s="83" t="str">
        <v/>
      </c>
      <c r="AF86" s="83" t="str">
        <v/>
      </c>
      <c r="AG86" s="83">
        <v>0</v>
      </c>
      <c r="AH86" s="83">
        <v>0</v>
      </c>
      <c r="AI86" s="83">
        <v>0</v>
      </c>
      <c r="AJ86" s="83">
        <v>0</v>
      </c>
      <c r="AK86" s="83">
        <v>0</v>
      </c>
      <c r="AL86" s="83">
        <v>0</v>
      </c>
      <c r="AM86" s="83">
        <v>0</v>
      </c>
      <c r="AN86" s="83">
        <v>14400</v>
      </c>
      <c r="AO86" s="83">
        <v>14400</v>
      </c>
      <c r="AP86" s="83">
        <v>999</v>
      </c>
    </row>
    <row r="87" spans="1:42" ht="24.75" customHeight="1">
      <c r="A87" s="84" t="str">
        <f>IF(B87&lt;&gt;"", COUNTA($B$3:B87), "")</f>
        <v/>
      </c>
      <c r="B87" s="231" t="str">
        <f>AE88</f>
        <v/>
      </c>
      <c r="C87" s="231" t="str">
        <f>AF88</f>
        <v/>
      </c>
      <c r="D87" s="276"/>
      <c r="E87" s="283" cm="1">
        <f t="array" ref="E87">IFERROR(_xlfn.XLOOKUP(TRIM(B87), TRIM('DAY 1 SCORES'!$B$4:$B$152), 'DAY 1 SCORES'!$H$4:$H$152, 12), 12)</f>
        <v>120</v>
      </c>
      <c r="F87" s="283">
        <f>AK88</f>
        <v>0</v>
      </c>
      <c r="G87" s="284">
        <f>AH88</f>
        <v>0</v>
      </c>
      <c r="H87" s="237" t="str">
        <f>IF(B87="","", IFERROR(VLOOKUP(B87, 'DAY 1 SCORES'!B:G, 6, FALSE), 0))</f>
        <v/>
      </c>
      <c r="I87" s="284">
        <f>AG88</f>
        <v>0</v>
      </c>
      <c r="J87" s="276"/>
      <c r="K87" s="121" t="str" cm="1">
        <f t="array" ref="K87">IF(B87="", "", IFERROR(_xlfn.XLOOKUP(TRIM(B87), TRIM('DAY 2 SCORES'!$B$4:$B$152), 'DAY 2 SCORES'!$H$4:$H$152, 12), 12))</f>
        <v/>
      </c>
      <c r="L87" s="121">
        <f>AL88</f>
        <v>0</v>
      </c>
      <c r="M87" s="121">
        <f>AJ88</f>
        <v>0</v>
      </c>
      <c r="N87" s="84" t="str">
        <f>IF(B87="","", IFERROR(VLOOKUP(B87, 'DAY 2 SCORES'!B:G, 6, FALSE), 0))</f>
        <v/>
      </c>
      <c r="O87" s="84">
        <f>IFERROR(VLOOKUP($B87, 'DAY 2 SCORES'!$B:$H, 4, FALSE), 0)</f>
        <v>0</v>
      </c>
      <c r="Q87" s="233" t="str">
        <f>IF(B87="", "", E87+K87)</f>
        <v/>
      </c>
      <c r="R87" s="233" t="str">
        <f t="shared" si="3"/>
        <v/>
      </c>
      <c r="S87" s="287" t="str">
        <f>IF(B87="","", G87+M87)</f>
        <v/>
      </c>
      <c r="T87" s="287" t="str">
        <f>IF(B87="","", MAX(H87, N87))</f>
        <v/>
      </c>
      <c r="U87" s="287" t="str">
        <f t="shared" si="4"/>
        <v/>
      </c>
      <c r="W87" s="83">
        <f t="shared" si="5"/>
        <v>999</v>
      </c>
      <c r="AE87" s="83" t="str">
        <v/>
      </c>
      <c r="AF87" s="83" t="str">
        <v/>
      </c>
      <c r="AG87" s="83">
        <v>0</v>
      </c>
      <c r="AH87" s="83">
        <v>0</v>
      </c>
      <c r="AI87" s="83">
        <v>0</v>
      </c>
      <c r="AJ87" s="83">
        <v>0</v>
      </c>
      <c r="AK87" s="83">
        <v>0</v>
      </c>
      <c r="AL87" s="83">
        <v>0</v>
      </c>
      <c r="AM87" s="83">
        <v>0</v>
      </c>
      <c r="AN87" s="83">
        <v>14400</v>
      </c>
      <c r="AO87" s="83">
        <v>14400</v>
      </c>
      <c r="AP87" s="83">
        <v>999</v>
      </c>
    </row>
    <row r="88" spans="1:42" ht="24.75" customHeight="1">
      <c r="A88" s="84" t="str">
        <f>IF(B88&lt;&gt;"", COUNTA($B$3:B88), "")</f>
        <v/>
      </c>
      <c r="B88" s="231" t="str">
        <f>AE89</f>
        <v/>
      </c>
      <c r="C88" s="231" t="str">
        <f>AF89</f>
        <v/>
      </c>
      <c r="D88" s="276"/>
      <c r="E88" s="283" cm="1">
        <f t="array" ref="E88">IFERROR(_xlfn.XLOOKUP(TRIM(B88), TRIM('DAY 1 SCORES'!$B$4:$B$152), 'DAY 1 SCORES'!$H$4:$H$152, 12), 12)</f>
        <v>120</v>
      </c>
      <c r="F88" s="283">
        <f>AK89</f>
        <v>0</v>
      </c>
      <c r="G88" s="284">
        <f>AH89</f>
        <v>0</v>
      </c>
      <c r="H88" s="237" t="str">
        <f>IF(B88="","", IFERROR(VLOOKUP(B88, 'DAY 1 SCORES'!B:G, 6, FALSE), 0))</f>
        <v/>
      </c>
      <c r="I88" s="284">
        <f>AG89</f>
        <v>0</v>
      </c>
      <c r="J88" s="276"/>
      <c r="K88" s="121" t="str" cm="1">
        <f t="array" ref="K88">IF(B88="", "", IFERROR(_xlfn.XLOOKUP(TRIM(B88), TRIM('DAY 2 SCORES'!$B$4:$B$152), 'DAY 2 SCORES'!$H$4:$H$152, 12), 12))</f>
        <v/>
      </c>
      <c r="L88" s="121">
        <f>AL89</f>
        <v>0</v>
      </c>
      <c r="M88" s="121">
        <f>AJ89</f>
        <v>0</v>
      </c>
      <c r="N88" s="84" t="str">
        <f>IF(B88="","", IFERROR(VLOOKUP(B88, 'DAY 2 SCORES'!B:G, 6, FALSE), 0))</f>
        <v/>
      </c>
      <c r="O88" s="84">
        <f>IFERROR(VLOOKUP($B88, 'DAY 2 SCORES'!$B:$H, 4, FALSE), 0)</f>
        <v>0</v>
      </c>
      <c r="Q88" s="233" t="str">
        <f>IF(B88="", "", E88+K88)</f>
        <v/>
      </c>
      <c r="R88" s="233" t="str">
        <f t="shared" si="3"/>
        <v/>
      </c>
      <c r="S88" s="287" t="str">
        <f>IF(B88="","", G88+M88)</f>
        <v/>
      </c>
      <c r="T88" s="287" t="str">
        <f>IF(B88="","", MAX(H88, N88))</f>
        <v/>
      </c>
      <c r="U88" s="287" t="str">
        <f t="shared" si="4"/>
        <v/>
      </c>
      <c r="W88" s="83">
        <f t="shared" si="5"/>
        <v>999</v>
      </c>
      <c r="AE88" s="83" t="str">
        <v/>
      </c>
      <c r="AF88" s="83" t="str">
        <v/>
      </c>
      <c r="AG88" s="83">
        <v>0</v>
      </c>
      <c r="AH88" s="83">
        <v>0</v>
      </c>
      <c r="AI88" s="83">
        <v>0</v>
      </c>
      <c r="AJ88" s="83">
        <v>0</v>
      </c>
      <c r="AK88" s="83">
        <v>0</v>
      </c>
      <c r="AL88" s="83">
        <v>0</v>
      </c>
      <c r="AM88" s="83">
        <v>0</v>
      </c>
      <c r="AN88" s="83">
        <v>14400</v>
      </c>
      <c r="AO88" s="83">
        <v>14400</v>
      </c>
      <c r="AP88" s="83">
        <v>999</v>
      </c>
    </row>
    <row r="89" spans="1:42" ht="24.75" customHeight="1">
      <c r="A89" s="84" t="str">
        <f>IF(B89&lt;&gt;"", COUNTA($B$3:B89), "")</f>
        <v/>
      </c>
      <c r="B89" s="231" t="str">
        <f>AE90</f>
        <v/>
      </c>
      <c r="C89" s="231" t="str">
        <f>AF90</f>
        <v/>
      </c>
      <c r="D89" s="276"/>
      <c r="E89" s="283" cm="1">
        <f t="array" ref="E89">IFERROR(_xlfn.XLOOKUP(TRIM(B89), TRIM('DAY 1 SCORES'!$B$4:$B$152), 'DAY 1 SCORES'!$H$4:$H$152, 12), 12)</f>
        <v>120</v>
      </c>
      <c r="F89" s="283">
        <f>AK90</f>
        <v>0</v>
      </c>
      <c r="G89" s="284">
        <f>AH90</f>
        <v>0</v>
      </c>
      <c r="H89" s="237" t="str">
        <f>IF(B89="","", IFERROR(VLOOKUP(B89, 'DAY 1 SCORES'!B:G, 6, FALSE), 0))</f>
        <v/>
      </c>
      <c r="I89" s="284">
        <f>AG90</f>
        <v>0</v>
      </c>
      <c r="J89" s="276"/>
      <c r="K89" s="121" t="str" cm="1">
        <f t="array" ref="K89">IF(B89="", "", IFERROR(_xlfn.XLOOKUP(TRIM(B89), TRIM('DAY 2 SCORES'!$B$4:$B$152), 'DAY 2 SCORES'!$H$4:$H$152, 12), 12))</f>
        <v/>
      </c>
      <c r="L89" s="121">
        <f>AL90</f>
        <v>0</v>
      </c>
      <c r="M89" s="121">
        <f>AJ90</f>
        <v>0</v>
      </c>
      <c r="N89" s="84" t="str">
        <f>IF(B89="","", IFERROR(VLOOKUP(B89, 'DAY 2 SCORES'!B:G, 6, FALSE), 0))</f>
        <v/>
      </c>
      <c r="O89" s="84">
        <f>IFERROR(VLOOKUP($B89, 'DAY 2 SCORES'!$B:$H, 4, FALSE), 0)</f>
        <v>0</v>
      </c>
      <c r="Q89" s="233" t="str">
        <f>IF(B89="", "", E89+K89)</f>
        <v/>
      </c>
      <c r="R89" s="233" t="str">
        <f t="shared" si="3"/>
        <v/>
      </c>
      <c r="S89" s="287" t="str">
        <f>IF(B89="","", G89+M89)</f>
        <v/>
      </c>
      <c r="T89" s="287" t="str">
        <f>IF(B89="","", MAX(H89, N89))</f>
        <v/>
      </c>
      <c r="U89" s="287" t="str">
        <f t="shared" si="4"/>
        <v/>
      </c>
      <c r="W89" s="83">
        <f t="shared" si="5"/>
        <v>999</v>
      </c>
      <c r="AE89" s="83" t="str">
        <v/>
      </c>
      <c r="AF89" s="83" t="str">
        <v/>
      </c>
      <c r="AG89" s="83">
        <v>0</v>
      </c>
      <c r="AH89" s="83">
        <v>0</v>
      </c>
      <c r="AI89" s="83">
        <v>0</v>
      </c>
      <c r="AJ89" s="83">
        <v>0</v>
      </c>
      <c r="AK89" s="83">
        <v>0</v>
      </c>
      <c r="AL89" s="83">
        <v>0</v>
      </c>
      <c r="AM89" s="83">
        <v>0</v>
      </c>
      <c r="AN89" s="83">
        <v>14400</v>
      </c>
      <c r="AO89" s="83">
        <v>14400</v>
      </c>
      <c r="AP89" s="83">
        <v>999</v>
      </c>
    </row>
    <row r="90" spans="1:42" ht="24.75" customHeight="1">
      <c r="A90" s="84" t="str">
        <f>IF(B90&lt;&gt;"", COUNTA($B$3:B90), "")</f>
        <v/>
      </c>
      <c r="B90" s="231" t="str">
        <f>AE91</f>
        <v/>
      </c>
      <c r="C90" s="231" t="str">
        <f>AF91</f>
        <v/>
      </c>
      <c r="D90" s="276"/>
      <c r="E90" s="283" cm="1">
        <f t="array" ref="E90">IFERROR(_xlfn.XLOOKUP(TRIM(B90), TRIM('DAY 1 SCORES'!$B$4:$B$152), 'DAY 1 SCORES'!$H$4:$H$152, 12), 12)</f>
        <v>120</v>
      </c>
      <c r="F90" s="283">
        <f>AK91</f>
        <v>0</v>
      </c>
      <c r="G90" s="284">
        <f>AH91</f>
        <v>0</v>
      </c>
      <c r="H90" s="237" t="str">
        <f>IF(B90="","", IFERROR(VLOOKUP(B90, 'DAY 1 SCORES'!B:G, 6, FALSE), 0))</f>
        <v/>
      </c>
      <c r="I90" s="284">
        <f>AG91</f>
        <v>0</v>
      </c>
      <c r="J90" s="276"/>
      <c r="K90" s="121" t="str" cm="1">
        <f t="array" ref="K90">IF(B90="", "", IFERROR(_xlfn.XLOOKUP(TRIM(B90), TRIM('DAY 2 SCORES'!$B$4:$B$152), 'DAY 2 SCORES'!$H$4:$H$152, 12), 12))</f>
        <v/>
      </c>
      <c r="L90" s="121">
        <f>AL91</f>
        <v>0</v>
      </c>
      <c r="M90" s="121">
        <f>AJ91</f>
        <v>0</v>
      </c>
      <c r="N90" s="84" t="str">
        <f>IF(B90="","", IFERROR(VLOOKUP(B90, 'DAY 2 SCORES'!B:G, 6, FALSE), 0))</f>
        <v/>
      </c>
      <c r="O90" s="84">
        <f>IFERROR(VLOOKUP($B90, 'DAY 2 SCORES'!$B:$H, 4, FALSE), 0)</f>
        <v>0</v>
      </c>
      <c r="Q90" s="233" t="str">
        <f>IF(B90="", "", E90+K90)</f>
        <v/>
      </c>
      <c r="R90" s="233" t="str">
        <f t="shared" si="3"/>
        <v/>
      </c>
      <c r="S90" s="287" t="str">
        <f>IF(B90="","", G90+M90)</f>
        <v/>
      </c>
      <c r="T90" s="287" t="str">
        <f>IF(B90="","", MAX(H90, N90))</f>
        <v/>
      </c>
      <c r="U90" s="287" t="str">
        <f t="shared" si="4"/>
        <v/>
      </c>
      <c r="W90" s="83">
        <f t="shared" si="5"/>
        <v>999</v>
      </c>
      <c r="AE90" s="83" t="str">
        <v/>
      </c>
      <c r="AF90" s="83" t="str">
        <v/>
      </c>
      <c r="AG90" s="83">
        <v>0</v>
      </c>
      <c r="AH90" s="83">
        <v>0</v>
      </c>
      <c r="AI90" s="83">
        <v>0</v>
      </c>
      <c r="AJ90" s="83">
        <v>0</v>
      </c>
      <c r="AK90" s="83">
        <v>0</v>
      </c>
      <c r="AL90" s="83">
        <v>0</v>
      </c>
      <c r="AM90" s="83">
        <v>0</v>
      </c>
      <c r="AN90" s="83">
        <v>14400</v>
      </c>
      <c r="AO90" s="83">
        <v>14400</v>
      </c>
      <c r="AP90" s="83">
        <v>999</v>
      </c>
    </row>
    <row r="91" spans="1:42" ht="24.75" customHeight="1">
      <c r="A91" s="84" t="str">
        <f>IF(B91&lt;&gt;"", COUNTA($B$3:B91), "")</f>
        <v/>
      </c>
      <c r="B91" s="231" t="str">
        <f>AE92</f>
        <v/>
      </c>
      <c r="C91" s="231" t="str">
        <f>AF92</f>
        <v/>
      </c>
      <c r="D91" s="276"/>
      <c r="E91" s="283" cm="1">
        <f t="array" ref="E91">IFERROR(_xlfn.XLOOKUP(TRIM(B91), TRIM('DAY 1 SCORES'!$B$4:$B$152), 'DAY 1 SCORES'!$H$4:$H$152, 12), 12)</f>
        <v>120</v>
      </c>
      <c r="F91" s="283">
        <f>AK92</f>
        <v>0</v>
      </c>
      <c r="G91" s="284">
        <f>AH92</f>
        <v>0</v>
      </c>
      <c r="H91" s="237" t="str">
        <f>IF(B91="","", IFERROR(VLOOKUP(B91, 'DAY 1 SCORES'!B:G, 6, FALSE), 0))</f>
        <v/>
      </c>
      <c r="I91" s="284">
        <f>AG92</f>
        <v>0</v>
      </c>
      <c r="J91" s="276"/>
      <c r="K91" s="121" t="str" cm="1">
        <f t="array" ref="K91">IF(B91="", "", IFERROR(_xlfn.XLOOKUP(TRIM(B91), TRIM('DAY 2 SCORES'!$B$4:$B$152), 'DAY 2 SCORES'!$H$4:$H$152, 12), 12))</f>
        <v/>
      </c>
      <c r="L91" s="121">
        <f>AL92</f>
        <v>0</v>
      </c>
      <c r="M91" s="121">
        <f>AJ92</f>
        <v>0</v>
      </c>
      <c r="N91" s="84" t="str">
        <f>IF(B91="","", IFERROR(VLOOKUP(B91, 'DAY 2 SCORES'!B:G, 6, FALSE), 0))</f>
        <v/>
      </c>
      <c r="O91" s="84">
        <f>IFERROR(VLOOKUP($B91, 'DAY 2 SCORES'!$B:$H, 4, FALSE), 0)</f>
        <v>0</v>
      </c>
      <c r="Q91" s="233" t="str">
        <f>IF(B91="", "", E91+K91)</f>
        <v/>
      </c>
      <c r="R91" s="233" t="str">
        <f t="shared" si="3"/>
        <v/>
      </c>
      <c r="S91" s="287" t="str">
        <f>IF(B91="","", G91+M91)</f>
        <v/>
      </c>
      <c r="T91" s="287" t="str">
        <f>IF(B91="","", MAX(H91, N91))</f>
        <v/>
      </c>
      <c r="U91" s="287" t="str">
        <f t="shared" si="4"/>
        <v/>
      </c>
      <c r="W91" s="83">
        <f t="shared" si="5"/>
        <v>999</v>
      </c>
      <c r="AE91" s="83" t="str">
        <v/>
      </c>
      <c r="AF91" s="83" t="str">
        <v/>
      </c>
      <c r="AG91" s="83">
        <v>0</v>
      </c>
      <c r="AH91" s="83">
        <v>0</v>
      </c>
      <c r="AI91" s="83">
        <v>0</v>
      </c>
      <c r="AJ91" s="83">
        <v>0</v>
      </c>
      <c r="AK91" s="83">
        <v>0</v>
      </c>
      <c r="AL91" s="83">
        <v>0</v>
      </c>
      <c r="AM91" s="83">
        <v>0</v>
      </c>
      <c r="AN91" s="83">
        <v>14400</v>
      </c>
      <c r="AO91" s="83">
        <v>14400</v>
      </c>
      <c r="AP91" s="83">
        <v>999</v>
      </c>
    </row>
    <row r="92" spans="1:42" ht="24.75" customHeight="1">
      <c r="A92" s="84" t="str">
        <f>IF(B92&lt;&gt;"", COUNTA($B$3:B92), "")</f>
        <v/>
      </c>
      <c r="B92" s="231" t="str">
        <f>AE93</f>
        <v/>
      </c>
      <c r="C92" s="231" t="str">
        <f>AF93</f>
        <v/>
      </c>
      <c r="D92" s="276"/>
      <c r="E92" s="283" cm="1">
        <f t="array" ref="E92">IFERROR(_xlfn.XLOOKUP(TRIM(B92), TRIM('DAY 1 SCORES'!$B$4:$B$152), 'DAY 1 SCORES'!$H$4:$H$152, 12), 12)</f>
        <v>120</v>
      </c>
      <c r="F92" s="283">
        <f>AK93</f>
        <v>0</v>
      </c>
      <c r="G92" s="284">
        <f>AH93</f>
        <v>0</v>
      </c>
      <c r="H92" s="237" t="str">
        <f>IF(B92="","", IFERROR(VLOOKUP(B92, 'DAY 1 SCORES'!B:G, 6, FALSE), 0))</f>
        <v/>
      </c>
      <c r="I92" s="284">
        <f>AG93</f>
        <v>0</v>
      </c>
      <c r="J92" s="276"/>
      <c r="K92" s="121" t="str" cm="1">
        <f t="array" ref="K92">IF(B92="", "", IFERROR(_xlfn.XLOOKUP(TRIM(B92), TRIM('DAY 2 SCORES'!$B$4:$B$152), 'DAY 2 SCORES'!$H$4:$H$152, 12), 12))</f>
        <v/>
      </c>
      <c r="L92" s="121">
        <f>AL93</f>
        <v>0</v>
      </c>
      <c r="M92" s="121">
        <f>AJ93</f>
        <v>0</v>
      </c>
      <c r="N92" s="84" t="str">
        <f>IF(B92="","", IFERROR(VLOOKUP(B92, 'DAY 2 SCORES'!B:G, 6, FALSE), 0))</f>
        <v/>
      </c>
      <c r="O92" s="84">
        <f>IFERROR(VLOOKUP($B92, 'DAY 2 SCORES'!$B:$H, 4, FALSE), 0)</f>
        <v>0</v>
      </c>
      <c r="Q92" s="233" t="str">
        <f>IF(B92="", "", E92+K92)</f>
        <v/>
      </c>
      <c r="R92" s="233" t="str">
        <f t="shared" si="3"/>
        <v/>
      </c>
      <c r="S92" s="287" t="str">
        <f>IF(B92="","", G92+M92)</f>
        <v/>
      </c>
      <c r="T92" s="287" t="str">
        <f>IF(B92="","", MAX(H92, N92))</f>
        <v/>
      </c>
      <c r="U92" s="287" t="str">
        <f t="shared" si="4"/>
        <v/>
      </c>
      <c r="W92" s="83">
        <f t="shared" si="5"/>
        <v>999</v>
      </c>
      <c r="AE92" s="83" t="str">
        <v/>
      </c>
      <c r="AF92" s="83" t="str">
        <v/>
      </c>
      <c r="AG92" s="83">
        <v>0</v>
      </c>
      <c r="AH92" s="83">
        <v>0</v>
      </c>
      <c r="AI92" s="83">
        <v>0</v>
      </c>
      <c r="AJ92" s="83">
        <v>0</v>
      </c>
      <c r="AK92" s="83">
        <v>0</v>
      </c>
      <c r="AL92" s="83">
        <v>0</v>
      </c>
      <c r="AM92" s="83">
        <v>0</v>
      </c>
      <c r="AN92" s="83">
        <v>14400</v>
      </c>
      <c r="AO92" s="83">
        <v>14400</v>
      </c>
      <c r="AP92" s="83">
        <v>999</v>
      </c>
    </row>
    <row r="93" spans="1:42" ht="24.75" customHeight="1">
      <c r="A93" s="84" t="str">
        <f>IF(B93&lt;&gt;"", COUNTA($B$3:B93), "")</f>
        <v/>
      </c>
      <c r="B93" s="231" t="str">
        <f>AE94</f>
        <v/>
      </c>
      <c r="C93" s="231" t="str">
        <f>AF94</f>
        <v/>
      </c>
      <c r="D93" s="276"/>
      <c r="E93" s="283" cm="1">
        <f t="array" ref="E93">IFERROR(_xlfn.XLOOKUP(TRIM(B93), TRIM('DAY 1 SCORES'!$B$4:$B$152), 'DAY 1 SCORES'!$H$4:$H$152, 12), 12)</f>
        <v>120</v>
      </c>
      <c r="F93" s="283">
        <f>AK94</f>
        <v>0</v>
      </c>
      <c r="G93" s="284">
        <f>AH94</f>
        <v>0</v>
      </c>
      <c r="H93" s="237" t="str">
        <f>IF(B93="","", IFERROR(VLOOKUP(B93, 'DAY 1 SCORES'!B:G, 6, FALSE), 0))</f>
        <v/>
      </c>
      <c r="I93" s="284">
        <f>AG94</f>
        <v>0</v>
      </c>
      <c r="J93" s="276"/>
      <c r="K93" s="121" t="str" cm="1">
        <f t="array" ref="K93">IF(B93="", "", IFERROR(_xlfn.XLOOKUP(TRIM(B93), TRIM('DAY 2 SCORES'!$B$4:$B$152), 'DAY 2 SCORES'!$H$4:$H$152, 12), 12))</f>
        <v/>
      </c>
      <c r="L93" s="121">
        <f>AL94</f>
        <v>0</v>
      </c>
      <c r="M93" s="121">
        <f>AJ94</f>
        <v>0</v>
      </c>
      <c r="N93" s="84" t="str">
        <f>IF(B93="","", IFERROR(VLOOKUP(B93, 'DAY 2 SCORES'!B:G, 6, FALSE), 0))</f>
        <v/>
      </c>
      <c r="O93" s="84">
        <f>IFERROR(VLOOKUP($B93, 'DAY 2 SCORES'!$B:$H, 4, FALSE), 0)</f>
        <v>0</v>
      </c>
      <c r="Q93" s="233" t="str">
        <f>IF(B93="", "", E93+K93)</f>
        <v/>
      </c>
      <c r="R93" s="233" t="str">
        <f t="shared" si="3"/>
        <v/>
      </c>
      <c r="S93" s="287" t="str">
        <f>IF(B93="","", G93+M93)</f>
        <v/>
      </c>
      <c r="T93" s="287" t="str">
        <f>IF(B93="","", MAX(H93, N93))</f>
        <v/>
      </c>
      <c r="U93" s="287" t="str">
        <f t="shared" si="4"/>
        <v/>
      </c>
      <c r="W93" s="83">
        <f t="shared" si="5"/>
        <v>999</v>
      </c>
      <c r="AE93" s="83" t="str">
        <v/>
      </c>
      <c r="AF93" s="83" t="str">
        <v/>
      </c>
      <c r="AG93" s="83">
        <v>0</v>
      </c>
      <c r="AH93" s="83">
        <v>0</v>
      </c>
      <c r="AI93" s="83">
        <v>0</v>
      </c>
      <c r="AJ93" s="83">
        <v>0</v>
      </c>
      <c r="AK93" s="83">
        <v>0</v>
      </c>
      <c r="AL93" s="83">
        <v>0</v>
      </c>
      <c r="AM93" s="83">
        <v>0</v>
      </c>
      <c r="AN93" s="83">
        <v>14400</v>
      </c>
      <c r="AO93" s="83">
        <v>14400</v>
      </c>
      <c r="AP93" s="83">
        <v>999</v>
      </c>
    </row>
    <row r="94" spans="1:42" ht="24.75" customHeight="1">
      <c r="A94" s="84" t="str">
        <f>IF(B94&lt;&gt;"", COUNTA($B$3:B94), "")</f>
        <v/>
      </c>
      <c r="B94" s="231" t="str">
        <f>AE95</f>
        <v/>
      </c>
      <c r="C94" s="231" t="str">
        <f>AF95</f>
        <v/>
      </c>
      <c r="D94" s="276"/>
      <c r="E94" s="283" cm="1">
        <f t="array" ref="E94">IFERROR(_xlfn.XLOOKUP(TRIM(B94), TRIM('DAY 1 SCORES'!$B$4:$B$152), 'DAY 1 SCORES'!$H$4:$H$152, 12), 12)</f>
        <v>120</v>
      </c>
      <c r="F94" s="283">
        <f>AK95</f>
        <v>0</v>
      </c>
      <c r="G94" s="284">
        <f>AH95</f>
        <v>0</v>
      </c>
      <c r="H94" s="237" t="str">
        <f>IF(B94="","", IFERROR(VLOOKUP(B94, 'DAY 1 SCORES'!B:G, 6, FALSE), 0))</f>
        <v/>
      </c>
      <c r="I94" s="284">
        <f>AG95</f>
        <v>0</v>
      </c>
      <c r="J94" s="276"/>
      <c r="K94" s="121" t="str" cm="1">
        <f t="array" ref="K94">IF(B94="", "", IFERROR(_xlfn.XLOOKUP(TRIM(B94), TRIM('DAY 2 SCORES'!$B$4:$B$152), 'DAY 2 SCORES'!$H$4:$H$152, 12), 12))</f>
        <v/>
      </c>
      <c r="L94" s="121">
        <f>AL95</f>
        <v>0</v>
      </c>
      <c r="M94" s="121">
        <f>AJ95</f>
        <v>0</v>
      </c>
      <c r="N94" s="84" t="str">
        <f>IF(B94="","", IFERROR(VLOOKUP(B94, 'DAY 2 SCORES'!B:G, 6, FALSE), 0))</f>
        <v/>
      </c>
      <c r="O94" s="84">
        <f>IFERROR(VLOOKUP($B94, 'DAY 2 SCORES'!$B:$H, 4, FALSE), 0)</f>
        <v>0</v>
      </c>
      <c r="Q94" s="233" t="str">
        <f>IF(B94="", "", E94+K94)</f>
        <v/>
      </c>
      <c r="R94" s="233" t="str">
        <f t="shared" si="3"/>
        <v/>
      </c>
      <c r="S94" s="287" t="str">
        <f>IF(B94="","", G94+M94)</f>
        <v/>
      </c>
      <c r="T94" s="287" t="str">
        <f>IF(B94="","", MAX(H94, N94))</f>
        <v/>
      </c>
      <c r="U94" s="287" t="str">
        <f t="shared" si="4"/>
        <v/>
      </c>
      <c r="W94" s="83">
        <f t="shared" si="5"/>
        <v>999</v>
      </c>
      <c r="AE94" s="83" t="str">
        <v/>
      </c>
      <c r="AF94" s="83" t="str">
        <v/>
      </c>
      <c r="AG94" s="83">
        <v>0</v>
      </c>
      <c r="AH94" s="83">
        <v>0</v>
      </c>
      <c r="AI94" s="83">
        <v>0</v>
      </c>
      <c r="AJ94" s="83">
        <v>0</v>
      </c>
      <c r="AK94" s="83">
        <v>0</v>
      </c>
      <c r="AL94" s="83">
        <v>0</v>
      </c>
      <c r="AM94" s="83">
        <v>0</v>
      </c>
      <c r="AN94" s="83">
        <v>14400</v>
      </c>
      <c r="AO94" s="83">
        <v>14400</v>
      </c>
      <c r="AP94" s="83">
        <v>999</v>
      </c>
    </row>
    <row r="95" spans="1:42" ht="24.75" customHeight="1">
      <c r="A95" s="84" t="str">
        <f>IF(B95&lt;&gt;"", COUNTA($B$3:B95), "")</f>
        <v/>
      </c>
      <c r="B95" s="231" t="str">
        <f>AE96</f>
        <v/>
      </c>
      <c r="C95" s="231" t="str">
        <f>AF96</f>
        <v/>
      </c>
      <c r="D95" s="276"/>
      <c r="E95" s="283" cm="1">
        <f t="array" ref="E95">IFERROR(_xlfn.XLOOKUP(TRIM(B95), TRIM('DAY 1 SCORES'!$B$4:$B$152), 'DAY 1 SCORES'!$H$4:$H$152, 12), 12)</f>
        <v>120</v>
      </c>
      <c r="F95" s="283">
        <f>AK96</f>
        <v>0</v>
      </c>
      <c r="G95" s="284">
        <f>AH96</f>
        <v>0</v>
      </c>
      <c r="H95" s="237" t="str">
        <f>IF(B95="","", IFERROR(VLOOKUP(B95, 'DAY 1 SCORES'!B:G, 6, FALSE), 0))</f>
        <v/>
      </c>
      <c r="I95" s="284">
        <f>AG96</f>
        <v>0</v>
      </c>
      <c r="J95" s="276"/>
      <c r="K95" s="121" t="str" cm="1">
        <f t="array" ref="K95">IF(B95="", "", IFERROR(_xlfn.XLOOKUP(TRIM(B95), TRIM('DAY 2 SCORES'!$B$4:$B$152), 'DAY 2 SCORES'!$H$4:$H$152, 12), 12))</f>
        <v/>
      </c>
      <c r="L95" s="121">
        <f>AL96</f>
        <v>0</v>
      </c>
      <c r="M95" s="121">
        <f>AJ96</f>
        <v>0</v>
      </c>
      <c r="N95" s="84" t="str">
        <f>IF(B95="","", IFERROR(VLOOKUP(B95, 'DAY 2 SCORES'!B:G, 6, FALSE), 0))</f>
        <v/>
      </c>
      <c r="O95" s="84">
        <f>IFERROR(VLOOKUP($B95, 'DAY 2 SCORES'!$B:$H, 4, FALSE), 0)</f>
        <v>0</v>
      </c>
      <c r="Q95" s="233" t="str">
        <f>IF(B95="", "", E95+K95)</f>
        <v/>
      </c>
      <c r="R95" s="233" t="str">
        <f t="shared" si="3"/>
        <v/>
      </c>
      <c r="S95" s="287" t="str">
        <f>IF(B95="","", G95+M95)</f>
        <v/>
      </c>
      <c r="T95" s="287" t="str">
        <f>IF(B95="","", MAX(H95, N95))</f>
        <v/>
      </c>
      <c r="U95" s="287" t="str">
        <f t="shared" si="4"/>
        <v/>
      </c>
      <c r="W95" s="83">
        <f t="shared" si="5"/>
        <v>999</v>
      </c>
      <c r="AE95" s="83" t="str">
        <v/>
      </c>
      <c r="AF95" s="83" t="str">
        <v/>
      </c>
      <c r="AG95" s="83">
        <v>0</v>
      </c>
      <c r="AH95" s="83">
        <v>0</v>
      </c>
      <c r="AI95" s="83">
        <v>0</v>
      </c>
      <c r="AJ95" s="83">
        <v>0</v>
      </c>
      <c r="AK95" s="83">
        <v>0</v>
      </c>
      <c r="AL95" s="83">
        <v>0</v>
      </c>
      <c r="AM95" s="83">
        <v>0</v>
      </c>
      <c r="AN95" s="83">
        <v>14400</v>
      </c>
      <c r="AO95" s="83">
        <v>14400</v>
      </c>
      <c r="AP95" s="83">
        <v>999</v>
      </c>
    </row>
    <row r="96" spans="1:42" ht="24.75" customHeight="1">
      <c r="A96" s="84" t="str">
        <f>IF(B96&lt;&gt;"", COUNTA($B$3:B96), "")</f>
        <v/>
      </c>
      <c r="B96" s="231" t="str">
        <f>AE97</f>
        <v/>
      </c>
      <c r="C96" s="231" t="str">
        <f>AF97</f>
        <v/>
      </c>
      <c r="D96" s="276"/>
      <c r="E96" s="283" cm="1">
        <f t="array" ref="E96">IFERROR(_xlfn.XLOOKUP(TRIM(B96), TRIM('DAY 1 SCORES'!$B$4:$B$152), 'DAY 1 SCORES'!$H$4:$H$152, 12), 12)</f>
        <v>120</v>
      </c>
      <c r="F96" s="283">
        <f>AK97</f>
        <v>0</v>
      </c>
      <c r="G96" s="284">
        <f>AH97</f>
        <v>0</v>
      </c>
      <c r="H96" s="237" t="str">
        <f>IF(B96="","", IFERROR(VLOOKUP(B96, 'DAY 1 SCORES'!B:G, 6, FALSE), 0))</f>
        <v/>
      </c>
      <c r="I96" s="284">
        <f>AG97</f>
        <v>0</v>
      </c>
      <c r="J96" s="276"/>
      <c r="K96" s="121" t="str" cm="1">
        <f t="array" ref="K96">IF(B96="", "", IFERROR(_xlfn.XLOOKUP(TRIM(B96), TRIM('DAY 2 SCORES'!$B$4:$B$152), 'DAY 2 SCORES'!$H$4:$H$152, 12), 12))</f>
        <v/>
      </c>
      <c r="L96" s="121">
        <f>AL97</f>
        <v>0</v>
      </c>
      <c r="M96" s="121">
        <f>AJ97</f>
        <v>0</v>
      </c>
      <c r="N96" s="84" t="str">
        <f>IF(B96="","", IFERROR(VLOOKUP(B96, 'DAY 2 SCORES'!B:G, 6, FALSE), 0))</f>
        <v/>
      </c>
      <c r="O96" s="84">
        <f>IFERROR(VLOOKUP($B96, 'DAY 2 SCORES'!$B:$H, 4, FALSE), 0)</f>
        <v>0</v>
      </c>
      <c r="Q96" s="233" t="str">
        <f>IF(B96="", "", E96+K96)</f>
        <v/>
      </c>
      <c r="R96" s="233" t="str">
        <f t="shared" si="3"/>
        <v/>
      </c>
      <c r="S96" s="287" t="str">
        <f>IF(B96="","", G96+M96)</f>
        <v/>
      </c>
      <c r="T96" s="287" t="str">
        <f>IF(B96="","", MAX(H96, N96))</f>
        <v/>
      </c>
      <c r="U96" s="287" t="str">
        <f t="shared" si="4"/>
        <v/>
      </c>
      <c r="W96" s="83">
        <f t="shared" si="5"/>
        <v>999</v>
      </c>
      <c r="AE96" s="83" t="str">
        <v/>
      </c>
      <c r="AF96" s="83" t="str">
        <v/>
      </c>
      <c r="AG96" s="83">
        <v>0</v>
      </c>
      <c r="AH96" s="83">
        <v>0</v>
      </c>
      <c r="AI96" s="83">
        <v>0</v>
      </c>
      <c r="AJ96" s="83">
        <v>0</v>
      </c>
      <c r="AK96" s="83">
        <v>0</v>
      </c>
      <c r="AL96" s="83">
        <v>0</v>
      </c>
      <c r="AM96" s="83">
        <v>0</v>
      </c>
      <c r="AN96" s="83">
        <v>14400</v>
      </c>
      <c r="AO96" s="83">
        <v>14400</v>
      </c>
      <c r="AP96" s="83">
        <v>999</v>
      </c>
    </row>
    <row r="97" spans="1:42" ht="24.75" customHeight="1">
      <c r="A97" s="84" t="str">
        <f>IF(B97&lt;&gt;"", COUNTA($B$3:B97), "")</f>
        <v/>
      </c>
      <c r="B97" s="232" t="str">
        <f>AE98</f>
        <v/>
      </c>
      <c r="C97" s="232" t="str">
        <f>AF98</f>
        <v/>
      </c>
      <c r="D97" s="277"/>
      <c r="E97" s="283" cm="1">
        <f t="array" ref="E97">IFERROR(_xlfn.XLOOKUP(TRIM(B97), TRIM('DAY 1 SCORES'!$B$4:$B$152), 'DAY 1 SCORES'!$H$4:$H$152, 12), 12)</f>
        <v>120</v>
      </c>
      <c r="F97" s="283">
        <f>AK98</f>
        <v>0</v>
      </c>
      <c r="G97" s="285">
        <f>AH98</f>
        <v>0</v>
      </c>
      <c r="H97" s="237" t="str">
        <f>IF(B97="","", IFERROR(VLOOKUP(B97, 'DAY 1 SCORES'!B:G, 6, FALSE), 0))</f>
        <v/>
      </c>
      <c r="I97" s="285">
        <f>AG98</f>
        <v>0</v>
      </c>
      <c r="J97" s="277"/>
      <c r="K97" s="121" t="str" cm="1">
        <f t="array" ref="K97">IF(B97="", "", IFERROR(_xlfn.XLOOKUP(TRIM(B97), TRIM('DAY 2 SCORES'!$B$4:$B$152), 'DAY 2 SCORES'!$H$4:$H$152, 12), 12))</f>
        <v/>
      </c>
      <c r="L97" s="121">
        <f>AM98</f>
        <v>0</v>
      </c>
      <c r="M97" s="121">
        <f>AJ98</f>
        <v>0</v>
      </c>
      <c r="N97" s="84" t="str">
        <f>IF(B97="","", IFERROR(VLOOKUP(B97, 'DAY 2 SCORES'!B:G, 6, FALSE), 0))</f>
        <v/>
      </c>
      <c r="O97" s="84">
        <f>IFERROR(VLOOKUP($B97, 'DAY 2 SCORES'!$B:$H, 4, FALSE), 0)</f>
        <v>0</v>
      </c>
      <c r="Q97" s="233" t="str">
        <f>IF(B97="", "", E97+K97)</f>
        <v/>
      </c>
      <c r="R97" s="233" t="str">
        <f t="shared" si="3"/>
        <v/>
      </c>
      <c r="S97" s="287" t="str">
        <f>IF(B97="","", G97+M97)</f>
        <v/>
      </c>
      <c r="T97" s="287" t="str">
        <f>IF(B97="","", MAX(H97, N97))</f>
        <v/>
      </c>
      <c r="U97" s="287" t="str">
        <f t="shared" si="4"/>
        <v/>
      </c>
      <c r="W97" s="83">
        <f t="shared" si="5"/>
        <v>999</v>
      </c>
      <c r="AE97" s="83" t="str">
        <v/>
      </c>
      <c r="AF97" s="83" t="str">
        <v/>
      </c>
      <c r="AG97" s="83">
        <v>0</v>
      </c>
      <c r="AH97" s="83">
        <v>0</v>
      </c>
      <c r="AI97" s="83">
        <v>0</v>
      </c>
      <c r="AJ97" s="83">
        <v>0</v>
      </c>
      <c r="AK97" s="83">
        <v>0</v>
      </c>
      <c r="AL97" s="83">
        <v>0</v>
      </c>
      <c r="AM97" s="83">
        <v>0</v>
      </c>
      <c r="AN97" s="83">
        <v>14400</v>
      </c>
      <c r="AO97" s="83">
        <v>14400</v>
      </c>
      <c r="AP97" s="83">
        <v>999</v>
      </c>
    </row>
    <row r="98" spans="1:42" ht="24.75" customHeight="1">
      <c r="A98" s="84" t="str">
        <f>IF(B98&lt;&gt;"", COUNTA($B$3:B98), "")</f>
        <v/>
      </c>
      <c r="B98" s="231" t="str">
        <f>AE99</f>
        <v/>
      </c>
      <c r="C98" s="231" t="str">
        <f>AF99</f>
        <v/>
      </c>
      <c r="D98" s="276"/>
      <c r="E98" s="283" cm="1">
        <f t="array" ref="E98">IFERROR(_xlfn.XLOOKUP(TRIM(B98), TRIM('DAY 1 SCORES'!$B$4:$B$152), 'DAY 1 SCORES'!$H$4:$H$152, 12), 12)</f>
        <v>120</v>
      </c>
      <c r="F98" s="283">
        <f>AK99</f>
        <v>0</v>
      </c>
      <c r="G98" s="284">
        <f>AH99</f>
        <v>0</v>
      </c>
      <c r="H98" s="237" t="str">
        <f>IF(B98="","", IFERROR(VLOOKUP(B98, 'DAY 1 SCORES'!B:G, 6, FALSE), 0))</f>
        <v/>
      </c>
      <c r="I98" s="284">
        <f>AG99</f>
        <v>0</v>
      </c>
      <c r="J98" s="276"/>
      <c r="K98" s="121" t="str" cm="1">
        <f t="array" ref="K98">IF(B98="", "", IFERROR(_xlfn.XLOOKUP(TRIM(B98), TRIM('DAY 2 SCORES'!$B$4:$B$152), 'DAY 2 SCORES'!$H$4:$H$152, 12), 12))</f>
        <v/>
      </c>
      <c r="L98" s="121">
        <f>AL99</f>
        <v>0</v>
      </c>
      <c r="M98" s="121">
        <f>AJ99</f>
        <v>0</v>
      </c>
      <c r="N98" s="84" t="str">
        <f>IF(B98="","", IFERROR(VLOOKUP(B98, 'DAY 2 SCORES'!B:G, 6, FALSE), 0))</f>
        <v/>
      </c>
      <c r="O98" s="84">
        <f>IFERROR(VLOOKUP($B98, 'DAY 2 SCORES'!$B:$H, 4, FALSE), 0)</f>
        <v>0</v>
      </c>
      <c r="Q98" s="233" t="str">
        <f>IF(B98="", "", E98+K98)</f>
        <v/>
      </c>
      <c r="R98" s="233" t="str">
        <f t="shared" si="3"/>
        <v/>
      </c>
      <c r="S98" s="287" t="str">
        <f>IF(B98="","", G98+M98)</f>
        <v/>
      </c>
      <c r="T98" s="287" t="str">
        <f>IF(B98="","", MAX(H98, N98))</f>
        <v/>
      </c>
      <c r="U98" s="287" t="str">
        <f t="shared" si="4"/>
        <v/>
      </c>
      <c r="W98" s="83">
        <f t="shared" si="5"/>
        <v>999</v>
      </c>
      <c r="AE98" s="83" t="str">
        <v/>
      </c>
      <c r="AF98" s="83" t="str">
        <v/>
      </c>
      <c r="AG98" s="83">
        <v>0</v>
      </c>
      <c r="AH98" s="83">
        <v>0</v>
      </c>
      <c r="AI98" s="83">
        <v>0</v>
      </c>
      <c r="AJ98" s="83">
        <v>0</v>
      </c>
      <c r="AK98" s="83">
        <v>0</v>
      </c>
      <c r="AL98" s="83">
        <v>0</v>
      </c>
      <c r="AM98" s="83">
        <v>0</v>
      </c>
      <c r="AN98" s="83">
        <v>14400</v>
      </c>
      <c r="AO98" s="83">
        <v>14400</v>
      </c>
      <c r="AP98" s="83">
        <v>999</v>
      </c>
    </row>
    <row r="99" spans="1:42" ht="24.75" customHeight="1">
      <c r="A99" s="84" t="str">
        <f>IF(B99&lt;&gt;"", COUNTA($B$3:B99), "")</f>
        <v/>
      </c>
      <c r="B99" s="231" t="str">
        <f>AE100</f>
        <v/>
      </c>
      <c r="C99" s="231" t="str">
        <f>AF100</f>
        <v/>
      </c>
      <c r="D99" s="276"/>
      <c r="E99" s="283" cm="1">
        <f t="array" ref="E99">IFERROR(_xlfn.XLOOKUP(TRIM(B99), TRIM('DAY 1 SCORES'!$B$4:$B$152), 'DAY 1 SCORES'!$H$4:$H$152, 12), 12)</f>
        <v>120</v>
      </c>
      <c r="F99" s="283">
        <f>AK100</f>
        <v>0</v>
      </c>
      <c r="G99" s="284">
        <f>AH100</f>
        <v>0</v>
      </c>
      <c r="H99" s="237" t="str">
        <f>IF(B99="","", IFERROR(VLOOKUP(B99, 'DAY 1 SCORES'!B:G, 6, FALSE), 0))</f>
        <v/>
      </c>
      <c r="I99" s="284">
        <f>AG100</f>
        <v>0</v>
      </c>
      <c r="J99" s="276"/>
      <c r="K99" s="121" t="str" cm="1">
        <f t="array" ref="K99">IF(B99="", "", IFERROR(_xlfn.XLOOKUP(TRIM(B99), TRIM('DAY 2 SCORES'!$B$4:$B$152), 'DAY 2 SCORES'!$H$4:$H$152, 12), 12))</f>
        <v/>
      </c>
      <c r="L99" s="121">
        <f>AL100</f>
        <v>0</v>
      </c>
      <c r="M99" s="121">
        <f>AJ100</f>
        <v>0</v>
      </c>
      <c r="N99" s="84" t="str">
        <f>IF(B99="","", IFERROR(VLOOKUP(B99, 'DAY 2 SCORES'!B:G, 6, FALSE), 0))</f>
        <v/>
      </c>
      <c r="O99" s="84">
        <f>IFERROR(VLOOKUP($B99, 'DAY 2 SCORES'!$B:$H, 4, FALSE), 0)</f>
        <v>0</v>
      </c>
      <c r="Q99" s="233" t="str">
        <f>IF(B99="", "", E99+K99)</f>
        <v/>
      </c>
      <c r="R99" s="233" t="str">
        <f t="shared" si="3"/>
        <v/>
      </c>
      <c r="S99" s="287" t="str">
        <f>IF(B99="","", G99+M99)</f>
        <v/>
      </c>
      <c r="T99" s="287" t="str">
        <f>IF(B99="","", MAX(H99, N99))</f>
        <v/>
      </c>
      <c r="U99" s="287" t="str">
        <f t="shared" si="4"/>
        <v/>
      </c>
      <c r="W99" s="83">
        <f t="shared" si="5"/>
        <v>999</v>
      </c>
      <c r="AE99" s="83" t="str">
        <v/>
      </c>
      <c r="AF99" s="83" t="str">
        <v/>
      </c>
      <c r="AG99" s="83">
        <v>0</v>
      </c>
      <c r="AH99" s="83">
        <v>0</v>
      </c>
      <c r="AI99" s="83">
        <v>0</v>
      </c>
      <c r="AJ99" s="83">
        <v>0</v>
      </c>
      <c r="AK99" s="83">
        <v>0</v>
      </c>
      <c r="AL99" s="83">
        <v>0</v>
      </c>
      <c r="AM99" s="83">
        <v>0</v>
      </c>
      <c r="AN99" s="83">
        <v>14400</v>
      </c>
      <c r="AO99" s="83">
        <v>14400</v>
      </c>
      <c r="AP99" s="83">
        <v>999</v>
      </c>
    </row>
    <row r="100" spans="1:42" ht="24.75" customHeight="1">
      <c r="A100" s="84" t="str">
        <f>IF(B100&lt;&gt;"", COUNTA($B$3:B100), "")</f>
        <v/>
      </c>
      <c r="B100" s="231" t="str">
        <f>AE101</f>
        <v/>
      </c>
      <c r="C100" s="231" t="str">
        <f>AF101</f>
        <v/>
      </c>
      <c r="D100" s="276"/>
      <c r="E100" s="283" cm="1">
        <f t="array" ref="E100">IFERROR(_xlfn.XLOOKUP(TRIM(B100), TRIM('DAY 1 SCORES'!$B$4:$B$152), 'DAY 1 SCORES'!$H$4:$H$152, 12), 12)</f>
        <v>120</v>
      </c>
      <c r="F100" s="283">
        <f>AK101</f>
        <v>0</v>
      </c>
      <c r="G100" s="284">
        <f>AH101</f>
        <v>0</v>
      </c>
      <c r="H100" s="237" t="str">
        <f>IF(B100="","", IFERROR(VLOOKUP(B100, 'DAY 1 SCORES'!B:G, 6, FALSE), 0))</f>
        <v/>
      </c>
      <c r="I100" s="284">
        <f>AG101</f>
        <v>0</v>
      </c>
      <c r="J100" s="276"/>
      <c r="K100" s="121" t="str" cm="1">
        <f t="array" ref="K100">IF(B100="", "", IFERROR(_xlfn.XLOOKUP(TRIM(B100), TRIM('DAY 2 SCORES'!$B$4:$B$152), 'DAY 2 SCORES'!$H$4:$H$152, 12), 12))</f>
        <v/>
      </c>
      <c r="L100" s="121">
        <f>AL101</f>
        <v>0</v>
      </c>
      <c r="M100" s="121">
        <f>AJ101</f>
        <v>0</v>
      </c>
      <c r="N100" s="84" t="str">
        <f>IF(B100="","", IFERROR(VLOOKUP(B100, 'DAY 2 SCORES'!B:G, 6, FALSE), 0))</f>
        <v/>
      </c>
      <c r="O100" s="84">
        <f>IFERROR(VLOOKUP($B100, 'DAY 2 SCORES'!$B:$H, 4, FALSE), 0)</f>
        <v>0</v>
      </c>
      <c r="Q100" s="233" t="str">
        <f>IF(B100="", "", E100+K100)</f>
        <v/>
      </c>
      <c r="R100" s="233" t="str">
        <f t="shared" si="3"/>
        <v/>
      </c>
      <c r="S100" s="287" t="str">
        <f>IF(B100="","", G100+M100)</f>
        <v/>
      </c>
      <c r="T100" s="287" t="str">
        <f>IF(B100="","", MAX(H100, N100))</f>
        <v/>
      </c>
      <c r="U100" s="287" t="str">
        <f t="shared" si="4"/>
        <v/>
      </c>
      <c r="W100" s="83">
        <f t="shared" si="5"/>
        <v>999</v>
      </c>
      <c r="AE100" s="83" t="str">
        <v/>
      </c>
      <c r="AF100" s="83" t="str">
        <v/>
      </c>
      <c r="AG100" s="83">
        <v>0</v>
      </c>
      <c r="AH100" s="83">
        <v>0</v>
      </c>
      <c r="AI100" s="83">
        <v>0</v>
      </c>
      <c r="AJ100" s="83">
        <v>0</v>
      </c>
      <c r="AK100" s="83">
        <v>0</v>
      </c>
      <c r="AL100" s="83">
        <v>0</v>
      </c>
      <c r="AM100" s="83">
        <v>0</v>
      </c>
      <c r="AN100" s="83">
        <v>14400</v>
      </c>
      <c r="AO100" s="83">
        <v>14400</v>
      </c>
      <c r="AP100" s="83">
        <v>999</v>
      </c>
    </row>
    <row r="101" spans="1:42" ht="24.75" customHeight="1">
      <c r="A101" s="84" t="str">
        <f>IF(B101&lt;&gt;"", COUNTA($B$3:B101), "")</f>
        <v/>
      </c>
      <c r="B101" s="231" t="str">
        <f>AE102</f>
        <v/>
      </c>
      <c r="C101" s="231" t="str">
        <f>AF102</f>
        <v/>
      </c>
      <c r="D101" s="276"/>
      <c r="E101" s="283" cm="1">
        <f t="array" ref="E101">IFERROR(_xlfn.XLOOKUP(TRIM(B101), TRIM('DAY 1 SCORES'!$B$4:$B$152), 'DAY 1 SCORES'!$H$4:$H$152, 12), 12)</f>
        <v>120</v>
      </c>
      <c r="F101" s="283">
        <f>AK102</f>
        <v>0</v>
      </c>
      <c r="G101" s="284">
        <f>AH102</f>
        <v>0</v>
      </c>
      <c r="H101" s="237" t="str">
        <f>IF(B101="","", IFERROR(VLOOKUP(B101, 'DAY 1 SCORES'!B:G, 6, FALSE), 0))</f>
        <v/>
      </c>
      <c r="I101" s="284">
        <f>AG102</f>
        <v>0</v>
      </c>
      <c r="J101" s="276"/>
      <c r="K101" s="121" t="str" cm="1">
        <f t="array" ref="K101">IF(B101="", "", IFERROR(_xlfn.XLOOKUP(TRIM(B101), TRIM('DAY 2 SCORES'!$B$4:$B$152), 'DAY 2 SCORES'!$H$4:$H$152, 12), 12))</f>
        <v/>
      </c>
      <c r="L101" s="121">
        <f>AL102</f>
        <v>0</v>
      </c>
      <c r="M101" s="121">
        <f>AJ102</f>
        <v>0</v>
      </c>
      <c r="N101" s="84" t="str">
        <f>IF(B101="","", IFERROR(VLOOKUP(B101, 'DAY 2 SCORES'!B:G, 6, FALSE), 0))</f>
        <v/>
      </c>
      <c r="O101" s="84">
        <f>IFERROR(VLOOKUP($B101, 'DAY 2 SCORES'!$B:$H, 4, FALSE), 0)</f>
        <v>0</v>
      </c>
      <c r="Q101" s="233" t="str">
        <f>IF(B101="", "", E101+K101)</f>
        <v/>
      </c>
      <c r="R101" s="233" t="str">
        <f t="shared" si="3"/>
        <v/>
      </c>
      <c r="S101" s="287" t="str">
        <f>IF(B101="","", G101+M101)</f>
        <v/>
      </c>
      <c r="T101" s="287" t="str">
        <f>IF(B101="","", MAX(H101, N101))</f>
        <v/>
      </c>
      <c r="U101" s="287" t="str">
        <f t="shared" si="4"/>
        <v/>
      </c>
      <c r="W101" s="83">
        <f t="shared" si="5"/>
        <v>999</v>
      </c>
      <c r="AE101" s="83" t="str">
        <v/>
      </c>
      <c r="AF101" s="83" t="str">
        <v/>
      </c>
      <c r="AG101" s="83">
        <v>0</v>
      </c>
      <c r="AH101" s="83">
        <v>0</v>
      </c>
      <c r="AI101" s="83">
        <v>0</v>
      </c>
      <c r="AJ101" s="83">
        <v>0</v>
      </c>
      <c r="AK101" s="83">
        <v>0</v>
      </c>
      <c r="AL101" s="83">
        <v>0</v>
      </c>
      <c r="AM101" s="83">
        <v>0</v>
      </c>
      <c r="AN101" s="83">
        <v>14400</v>
      </c>
      <c r="AO101" s="83">
        <v>14400</v>
      </c>
      <c r="AP101" s="83">
        <v>999</v>
      </c>
    </row>
    <row r="102" spans="1:42" ht="24.75" customHeight="1">
      <c r="A102" s="84" t="str">
        <f>IF(B102&lt;&gt;"", COUNTA($B$3:B102), "")</f>
        <v/>
      </c>
      <c r="B102" s="231" t="str">
        <f>AE103</f>
        <v/>
      </c>
      <c r="C102" s="231" t="str">
        <f>AF103</f>
        <v/>
      </c>
      <c r="D102" s="276"/>
      <c r="E102" s="283" cm="1">
        <f t="array" ref="E102">IFERROR(_xlfn.XLOOKUP(TRIM(B102), TRIM('DAY 1 SCORES'!$B$4:$B$152), 'DAY 1 SCORES'!$H$4:$H$152, 12), 12)</f>
        <v>120</v>
      </c>
      <c r="F102" s="283">
        <f>AK103</f>
        <v>0</v>
      </c>
      <c r="G102" s="284">
        <f>AH103</f>
        <v>0</v>
      </c>
      <c r="H102" s="237" t="str">
        <f>IF(B102="","", IFERROR(VLOOKUP(B102, 'DAY 1 SCORES'!B:G, 6, FALSE), 0))</f>
        <v/>
      </c>
      <c r="I102" s="284">
        <f>AG103</f>
        <v>0</v>
      </c>
      <c r="J102" s="276"/>
      <c r="K102" s="121" t="str" cm="1">
        <f t="array" ref="K102">IF(B102="", "", IFERROR(_xlfn.XLOOKUP(TRIM(B102), TRIM('DAY 2 SCORES'!$B$4:$B$152), 'DAY 2 SCORES'!$H$4:$H$152, 12), 12))</f>
        <v/>
      </c>
      <c r="L102" s="121">
        <f>AL103</f>
        <v>0</v>
      </c>
      <c r="M102" s="121">
        <f>AJ103</f>
        <v>0</v>
      </c>
      <c r="N102" s="84" t="str">
        <f>IF(B102="","", IFERROR(VLOOKUP(B102, 'DAY 2 SCORES'!B:G, 6, FALSE), 0))</f>
        <v/>
      </c>
      <c r="O102" s="84">
        <f>IFERROR(VLOOKUP($B102, 'DAY 2 SCORES'!$B:$H, 4, FALSE), 0)</f>
        <v>0</v>
      </c>
      <c r="Q102" s="233" t="str">
        <f>IF(B102="", "", E102+K102)</f>
        <v/>
      </c>
      <c r="R102" s="233" t="str">
        <f t="shared" si="3"/>
        <v/>
      </c>
      <c r="S102" s="287" t="str">
        <f>IF(B102="","", G102+M102)</f>
        <v/>
      </c>
      <c r="T102" s="287" t="str">
        <f>IF(B102="","", MAX(H102, N102))</f>
        <v/>
      </c>
      <c r="U102" s="287" t="str">
        <f t="shared" si="4"/>
        <v/>
      </c>
      <c r="W102" s="83">
        <f t="shared" si="5"/>
        <v>999</v>
      </c>
      <c r="AE102" s="83" t="str">
        <v/>
      </c>
      <c r="AF102" s="83" t="str">
        <v/>
      </c>
      <c r="AG102" s="83">
        <v>0</v>
      </c>
      <c r="AH102" s="83">
        <v>0</v>
      </c>
      <c r="AI102" s="83">
        <v>0</v>
      </c>
      <c r="AJ102" s="83">
        <v>0</v>
      </c>
      <c r="AK102" s="83">
        <v>0</v>
      </c>
      <c r="AL102" s="83">
        <v>0</v>
      </c>
      <c r="AM102" s="83">
        <v>0</v>
      </c>
      <c r="AN102" s="83">
        <v>14400</v>
      </c>
      <c r="AO102" s="83">
        <v>14400</v>
      </c>
      <c r="AP102" s="83">
        <v>999</v>
      </c>
    </row>
    <row r="103" spans="1:42" ht="24.75" customHeight="1">
      <c r="A103" s="84" t="str">
        <f>IF(B103&lt;&gt;"", COUNTA($B$3:B103), "")</f>
        <v/>
      </c>
      <c r="B103" s="231" t="str">
        <f>AE104</f>
        <v/>
      </c>
      <c r="C103" s="231" t="str">
        <f>AF104</f>
        <v/>
      </c>
      <c r="D103" s="276"/>
      <c r="E103" s="283" cm="1">
        <f t="array" ref="E103">IFERROR(_xlfn.XLOOKUP(TRIM(B103), TRIM('DAY 1 SCORES'!$B$4:$B$152), 'DAY 1 SCORES'!$H$4:$H$152, 12), 12)</f>
        <v>120</v>
      </c>
      <c r="F103" s="283">
        <f>AK104</f>
        <v>0</v>
      </c>
      <c r="G103" s="284">
        <f>AH104</f>
        <v>0</v>
      </c>
      <c r="H103" s="237" t="str">
        <f>IF(B103="","", IFERROR(VLOOKUP(B103, 'DAY 1 SCORES'!B:G, 6, FALSE), 0))</f>
        <v/>
      </c>
      <c r="I103" s="284">
        <f>AG104</f>
        <v>0</v>
      </c>
      <c r="J103" s="276"/>
      <c r="K103" s="121" t="str" cm="1">
        <f t="array" ref="K103">IF(B103="", "", IFERROR(_xlfn.XLOOKUP(TRIM(B103), TRIM('DAY 2 SCORES'!$B$4:$B$152), 'DAY 2 SCORES'!$H$4:$H$152, 12), 12))</f>
        <v/>
      </c>
      <c r="L103" s="121">
        <f>AL104</f>
        <v>0</v>
      </c>
      <c r="M103" s="121">
        <f>AJ104</f>
        <v>0</v>
      </c>
      <c r="N103" s="84" t="str">
        <f>IF(B103="","", IFERROR(VLOOKUP(B103, 'DAY 2 SCORES'!B:G, 6, FALSE), 0))</f>
        <v/>
      </c>
      <c r="O103" s="84">
        <f>IFERROR(VLOOKUP($B103, 'DAY 2 SCORES'!$B:$H, 4, FALSE), 0)</f>
        <v>0</v>
      </c>
      <c r="Q103" s="233" t="str">
        <f>IF(B103="", "", E103+K103)</f>
        <v/>
      </c>
      <c r="R103" s="233" t="str">
        <f t="shared" si="3"/>
        <v/>
      </c>
      <c r="S103" s="287" t="str">
        <f>IF(B103="","", G103+M103)</f>
        <v/>
      </c>
      <c r="T103" s="287" t="str">
        <f>IF(B103="","", MAX(H103, N103))</f>
        <v/>
      </c>
      <c r="U103" s="287" t="str">
        <f t="shared" si="4"/>
        <v/>
      </c>
      <c r="W103" s="83">
        <f t="shared" si="5"/>
        <v>999</v>
      </c>
      <c r="AE103" s="83" t="str">
        <v/>
      </c>
      <c r="AF103" s="83" t="str">
        <v/>
      </c>
      <c r="AG103" s="83">
        <v>0</v>
      </c>
      <c r="AH103" s="83">
        <v>0</v>
      </c>
      <c r="AI103" s="83">
        <v>0</v>
      </c>
      <c r="AJ103" s="83">
        <v>0</v>
      </c>
      <c r="AK103" s="83">
        <v>0</v>
      </c>
      <c r="AL103" s="83">
        <v>0</v>
      </c>
      <c r="AM103" s="83">
        <v>0</v>
      </c>
      <c r="AN103" s="83">
        <v>14400</v>
      </c>
      <c r="AO103" s="83">
        <v>14400</v>
      </c>
      <c r="AP103" s="83">
        <v>999</v>
      </c>
    </row>
    <row r="104" spans="1:42" ht="24.75" customHeight="1">
      <c r="A104" s="84" t="str">
        <f>IF(B104&lt;&gt;"", COUNTA($B$3:B104), "")</f>
        <v/>
      </c>
      <c r="B104" s="231" t="str">
        <f>AE105</f>
        <v/>
      </c>
      <c r="C104" s="231" t="str">
        <f>AF105</f>
        <v/>
      </c>
      <c r="D104" s="276"/>
      <c r="E104" s="283" cm="1">
        <f t="array" ref="E104">IFERROR(_xlfn.XLOOKUP(TRIM(B104), TRIM('DAY 1 SCORES'!$B$4:$B$152), 'DAY 1 SCORES'!$H$4:$H$152, 12), 12)</f>
        <v>120</v>
      </c>
      <c r="F104" s="283">
        <f>AK105</f>
        <v>0</v>
      </c>
      <c r="G104" s="284">
        <f>AH105</f>
        <v>0</v>
      </c>
      <c r="H104" s="237" t="str">
        <f>IF(B104="","", IFERROR(VLOOKUP(B104, 'DAY 1 SCORES'!B:G, 6, FALSE), 0))</f>
        <v/>
      </c>
      <c r="I104" s="284">
        <f>AG105</f>
        <v>0</v>
      </c>
      <c r="J104" s="276"/>
      <c r="K104" s="121" t="str" cm="1">
        <f t="array" ref="K104">IF(B104="", "", IFERROR(_xlfn.XLOOKUP(TRIM(B104), TRIM('DAY 2 SCORES'!$B$4:$B$152), 'DAY 2 SCORES'!$H$4:$H$152, 12), 12))</f>
        <v/>
      </c>
      <c r="L104" s="121">
        <f>AL105</f>
        <v>0</v>
      </c>
      <c r="M104" s="121">
        <f>AJ105</f>
        <v>0</v>
      </c>
      <c r="N104" s="84" t="str">
        <f>IF(B104="","", IFERROR(VLOOKUP(B104, 'DAY 2 SCORES'!B:G, 6, FALSE), 0))</f>
        <v/>
      </c>
      <c r="O104" s="84">
        <f>IFERROR(VLOOKUP($B104, 'DAY 2 SCORES'!$B:$H, 4, FALSE), 0)</f>
        <v>0</v>
      </c>
      <c r="Q104" s="233" t="str">
        <f>IF(B104="", "", E104+K104)</f>
        <v/>
      </c>
      <c r="R104" s="233" t="str">
        <f t="shared" si="3"/>
        <v/>
      </c>
      <c r="S104" s="287" t="str">
        <f>IF(B104="","", G104+M104)</f>
        <v/>
      </c>
      <c r="T104" s="287" t="str">
        <f>IF(B104="","", MAX(H104, N104))</f>
        <v/>
      </c>
      <c r="U104" s="287" t="str">
        <f t="shared" si="4"/>
        <v/>
      </c>
      <c r="W104" s="83">
        <f t="shared" si="5"/>
        <v>999</v>
      </c>
      <c r="AE104" s="83" t="str">
        <v/>
      </c>
      <c r="AF104" s="83" t="str">
        <v/>
      </c>
      <c r="AG104" s="83">
        <v>0</v>
      </c>
      <c r="AH104" s="83">
        <v>0</v>
      </c>
      <c r="AI104" s="83">
        <v>0</v>
      </c>
      <c r="AJ104" s="83">
        <v>0</v>
      </c>
      <c r="AK104" s="83">
        <v>0</v>
      </c>
      <c r="AL104" s="83">
        <v>0</v>
      </c>
      <c r="AM104" s="83">
        <v>0</v>
      </c>
      <c r="AN104" s="83">
        <v>14400</v>
      </c>
      <c r="AO104" s="83">
        <v>14400</v>
      </c>
      <c r="AP104" s="83">
        <v>999</v>
      </c>
    </row>
    <row r="105" spans="1:42" ht="24.75" customHeight="1">
      <c r="A105" s="84" t="str">
        <f>IF(B105&lt;&gt;"", COUNTA($B$3:B105), "")</f>
        <v/>
      </c>
      <c r="B105" s="231" t="str">
        <f>AE106</f>
        <v/>
      </c>
      <c r="C105" s="231" t="str">
        <f>AF106</f>
        <v/>
      </c>
      <c r="D105" s="276"/>
      <c r="E105" s="283" cm="1">
        <f t="array" ref="E105">IFERROR(_xlfn.XLOOKUP(TRIM(B105), TRIM('DAY 1 SCORES'!$B$4:$B$152), 'DAY 1 SCORES'!$H$4:$H$152, 12), 12)</f>
        <v>120</v>
      </c>
      <c r="F105" s="283">
        <f>AK106</f>
        <v>0</v>
      </c>
      <c r="G105" s="284">
        <f>AH106</f>
        <v>0</v>
      </c>
      <c r="H105" s="237" t="str">
        <f>IF(B105="","", IFERROR(VLOOKUP(B105, 'DAY 1 SCORES'!B:G, 6, FALSE), 0))</f>
        <v/>
      </c>
      <c r="I105" s="284">
        <f>AG106</f>
        <v>0</v>
      </c>
      <c r="J105" s="276"/>
      <c r="K105" s="121" t="str" cm="1">
        <f t="array" ref="K105">IF(B105="", "", IFERROR(_xlfn.XLOOKUP(TRIM(B105), TRIM('DAY 2 SCORES'!$B$4:$B$152), 'DAY 2 SCORES'!$H$4:$H$152, 12), 12))</f>
        <v/>
      </c>
      <c r="L105" s="121">
        <f>AL106</f>
        <v>0</v>
      </c>
      <c r="M105" s="121">
        <f>AJ106</f>
        <v>0</v>
      </c>
      <c r="N105" s="84" t="str">
        <f>IF(B105="","", IFERROR(VLOOKUP(B105, 'DAY 2 SCORES'!B:G, 6, FALSE), 0))</f>
        <v/>
      </c>
      <c r="O105" s="84">
        <f>IFERROR(VLOOKUP($B105, 'DAY 2 SCORES'!$B:$H, 4, FALSE), 0)</f>
        <v>0</v>
      </c>
      <c r="Q105" s="233" t="str">
        <f>IF(B105="", "", E105+K105)</f>
        <v/>
      </c>
      <c r="R105" s="233" t="str">
        <f t="shared" si="3"/>
        <v/>
      </c>
      <c r="S105" s="287" t="str">
        <f>IF(B105="","", G105+M105)</f>
        <v/>
      </c>
      <c r="T105" s="287" t="str">
        <f>IF(B105="","", MAX(H105, N105))</f>
        <v/>
      </c>
      <c r="U105" s="287" t="str">
        <f t="shared" si="4"/>
        <v/>
      </c>
      <c r="W105" s="83">
        <f t="shared" si="5"/>
        <v>999</v>
      </c>
      <c r="AE105" s="83" t="str">
        <v/>
      </c>
      <c r="AF105" s="83" t="str">
        <v/>
      </c>
      <c r="AG105" s="83">
        <v>0</v>
      </c>
      <c r="AH105" s="83">
        <v>0</v>
      </c>
      <c r="AI105" s="83">
        <v>0</v>
      </c>
      <c r="AJ105" s="83">
        <v>0</v>
      </c>
      <c r="AK105" s="83">
        <v>0</v>
      </c>
      <c r="AL105" s="83">
        <v>0</v>
      </c>
      <c r="AM105" s="83">
        <v>0</v>
      </c>
      <c r="AN105" s="83">
        <v>14400</v>
      </c>
      <c r="AO105" s="83">
        <v>14400</v>
      </c>
      <c r="AP105" s="83">
        <v>999</v>
      </c>
    </row>
    <row r="106" spans="1:42" ht="24.75" customHeight="1">
      <c r="A106" s="84" t="str">
        <f>IF(B106&lt;&gt;"", COUNTA($B$3:B106), "")</f>
        <v/>
      </c>
      <c r="B106" s="231" t="str">
        <f>AE107</f>
        <v/>
      </c>
      <c r="C106" s="231" t="str">
        <f>AF107</f>
        <v/>
      </c>
      <c r="D106" s="276"/>
      <c r="E106" s="283" cm="1">
        <f t="array" ref="E106">IFERROR(_xlfn.XLOOKUP(TRIM(B106), TRIM('DAY 1 SCORES'!$B$4:$B$152), 'DAY 1 SCORES'!$H$4:$H$152, 12), 12)</f>
        <v>120</v>
      </c>
      <c r="F106" s="283">
        <f>AK107</f>
        <v>0</v>
      </c>
      <c r="G106" s="284">
        <f>AH107</f>
        <v>0</v>
      </c>
      <c r="H106" s="237" t="str">
        <f>IF(B106="","", IFERROR(VLOOKUP(B106, 'DAY 1 SCORES'!B:G, 6, FALSE), 0))</f>
        <v/>
      </c>
      <c r="I106" s="284">
        <f>AG107</f>
        <v>0</v>
      </c>
      <c r="J106" s="276"/>
      <c r="K106" s="121" t="str" cm="1">
        <f t="array" ref="K106">IF(B106="", "", IFERROR(_xlfn.XLOOKUP(TRIM(B106), TRIM('DAY 2 SCORES'!$B$4:$B$152), 'DAY 2 SCORES'!$H$4:$H$152, 12), 12))</f>
        <v/>
      </c>
      <c r="L106" s="121">
        <f>AL107</f>
        <v>0</v>
      </c>
      <c r="M106" s="121">
        <f>AJ107</f>
        <v>0</v>
      </c>
      <c r="N106" s="84" t="str">
        <f>IF(B106="","", IFERROR(VLOOKUP(B106, 'DAY 2 SCORES'!B:G, 6, FALSE), 0))</f>
        <v/>
      </c>
      <c r="O106" s="84">
        <f>IFERROR(VLOOKUP($B106, 'DAY 2 SCORES'!$B:$H, 4, FALSE), 0)</f>
        <v>0</v>
      </c>
      <c r="Q106" s="233" t="str">
        <f>IF(B106="", "", E106+K106)</f>
        <v/>
      </c>
      <c r="R106" s="233" t="str">
        <f t="shared" si="3"/>
        <v/>
      </c>
      <c r="S106" s="287" t="str">
        <f>IF(B106="","", G106+M106)</f>
        <v/>
      </c>
      <c r="T106" s="287" t="str">
        <f>IF(B106="","", MAX(H106, N106))</f>
        <v/>
      </c>
      <c r="U106" s="287" t="str">
        <f t="shared" si="4"/>
        <v/>
      </c>
      <c r="W106" s="83">
        <f t="shared" si="5"/>
        <v>999</v>
      </c>
      <c r="AE106" s="83" t="str">
        <v/>
      </c>
      <c r="AF106" s="83" t="str">
        <v/>
      </c>
      <c r="AG106" s="83">
        <v>0</v>
      </c>
      <c r="AH106" s="83">
        <v>0</v>
      </c>
      <c r="AI106" s="83">
        <v>0</v>
      </c>
      <c r="AJ106" s="83">
        <v>0</v>
      </c>
      <c r="AK106" s="83">
        <v>0</v>
      </c>
      <c r="AL106" s="83">
        <v>0</v>
      </c>
      <c r="AM106" s="83">
        <v>0</v>
      </c>
      <c r="AN106" s="83">
        <v>14400</v>
      </c>
      <c r="AO106" s="83">
        <v>14400</v>
      </c>
      <c r="AP106" s="83">
        <v>999</v>
      </c>
    </row>
    <row r="107" spans="1:42" ht="24.75" customHeight="1">
      <c r="A107" s="84" t="str">
        <f>IF(B107&lt;&gt;"", COUNTA($B$3:B107), "")</f>
        <v/>
      </c>
      <c r="B107" s="231" t="str">
        <f>AE108</f>
        <v/>
      </c>
      <c r="C107" s="231" t="str">
        <f>AF108</f>
        <v/>
      </c>
      <c r="D107" s="276"/>
      <c r="E107" s="283" cm="1">
        <f t="array" ref="E107">IFERROR(_xlfn.XLOOKUP(TRIM(B107), TRIM('DAY 1 SCORES'!$B$4:$B$152), 'DAY 1 SCORES'!$H$4:$H$152, 12), 12)</f>
        <v>120</v>
      </c>
      <c r="F107" s="283">
        <f>AK108</f>
        <v>0</v>
      </c>
      <c r="G107" s="284">
        <f>AH108</f>
        <v>0</v>
      </c>
      <c r="H107" s="237" t="str">
        <f>IF(B107="","", IFERROR(VLOOKUP(B107, 'DAY 1 SCORES'!B:G, 6, FALSE), 0))</f>
        <v/>
      </c>
      <c r="I107" s="284">
        <f>AG108</f>
        <v>0</v>
      </c>
      <c r="J107" s="276"/>
      <c r="K107" s="121" t="str" cm="1">
        <f t="array" ref="K107">IF(B107="", "", IFERROR(_xlfn.XLOOKUP(TRIM(B107), TRIM('DAY 2 SCORES'!$B$4:$B$152), 'DAY 2 SCORES'!$H$4:$H$152, 12), 12))</f>
        <v/>
      </c>
      <c r="L107" s="121">
        <f>AL108</f>
        <v>0</v>
      </c>
      <c r="M107" s="121">
        <f>AJ108</f>
        <v>0</v>
      </c>
      <c r="N107" s="84" t="str">
        <f>IF(B107="","", IFERROR(VLOOKUP(B107, 'DAY 2 SCORES'!B:G, 6, FALSE), 0))</f>
        <v/>
      </c>
      <c r="O107" s="84">
        <f>IFERROR(VLOOKUP($B107, 'DAY 2 SCORES'!$B:$H, 4, FALSE), 0)</f>
        <v>0</v>
      </c>
      <c r="Q107" s="233" t="str">
        <f>IF(B107="", "", E107+K107)</f>
        <v/>
      </c>
      <c r="R107" s="233" t="str">
        <f t="shared" si="3"/>
        <v/>
      </c>
      <c r="S107" s="287" t="str">
        <f>IF(B107="","", G107+M107)</f>
        <v/>
      </c>
      <c r="T107" s="287" t="str">
        <f>IF(B107="","", MAX(H107, N107))</f>
        <v/>
      </c>
      <c r="U107" s="287" t="str">
        <f t="shared" si="4"/>
        <v/>
      </c>
      <c r="W107" s="83">
        <f t="shared" si="5"/>
        <v>999</v>
      </c>
      <c r="AE107" s="83" t="str">
        <v/>
      </c>
      <c r="AF107" s="83" t="str">
        <v/>
      </c>
      <c r="AG107" s="83">
        <v>0</v>
      </c>
      <c r="AH107" s="83">
        <v>0</v>
      </c>
      <c r="AI107" s="83">
        <v>0</v>
      </c>
      <c r="AJ107" s="83">
        <v>0</v>
      </c>
      <c r="AK107" s="83">
        <v>0</v>
      </c>
      <c r="AL107" s="83">
        <v>0</v>
      </c>
      <c r="AM107" s="83">
        <v>0</v>
      </c>
      <c r="AN107" s="83">
        <v>14400</v>
      </c>
      <c r="AO107" s="83">
        <v>14400</v>
      </c>
      <c r="AP107" s="83">
        <v>999</v>
      </c>
    </row>
    <row r="108" spans="1:42" ht="24.75" customHeight="1">
      <c r="A108" s="84" t="str">
        <f>IF(B108&lt;&gt;"", COUNTA($B$3:B108), "")</f>
        <v/>
      </c>
      <c r="B108" s="231" t="str">
        <f>AE109</f>
        <v/>
      </c>
      <c r="C108" s="231" t="str">
        <f>AF109</f>
        <v/>
      </c>
      <c r="D108" s="276"/>
      <c r="E108" s="283" cm="1">
        <f t="array" ref="E108">IFERROR(_xlfn.XLOOKUP(TRIM(B108), TRIM('DAY 1 SCORES'!$B$4:$B$152), 'DAY 1 SCORES'!$H$4:$H$152, 12), 12)</f>
        <v>120</v>
      </c>
      <c r="F108" s="283">
        <f>AK109</f>
        <v>0</v>
      </c>
      <c r="G108" s="284">
        <f>AH109</f>
        <v>0</v>
      </c>
      <c r="H108" s="237" t="str">
        <f>IF(B108="","", IFERROR(VLOOKUP(B108, 'DAY 1 SCORES'!B:G, 6, FALSE), 0))</f>
        <v/>
      </c>
      <c r="I108" s="284">
        <f>AG109</f>
        <v>0</v>
      </c>
      <c r="J108" s="276"/>
      <c r="K108" s="121" t="str" cm="1">
        <f t="array" ref="K108">IF(B108="", "", IFERROR(_xlfn.XLOOKUP(TRIM(B108), TRIM('DAY 2 SCORES'!$B$4:$B$152), 'DAY 2 SCORES'!$H$4:$H$152, 12), 12))</f>
        <v/>
      </c>
      <c r="L108" s="121">
        <f>AL109</f>
        <v>0</v>
      </c>
      <c r="M108" s="121">
        <f>AJ109</f>
        <v>0</v>
      </c>
      <c r="N108" s="84" t="str">
        <f>IF(B108="","", IFERROR(VLOOKUP(B108, 'DAY 2 SCORES'!B:G, 6, FALSE), 0))</f>
        <v/>
      </c>
      <c r="O108" s="84">
        <f>IFERROR(VLOOKUP($B108, 'DAY 2 SCORES'!$B:$H, 4, FALSE), 0)</f>
        <v>0</v>
      </c>
      <c r="Q108" s="233" t="str">
        <f>IF(B108="", "", E108+K108)</f>
        <v/>
      </c>
      <c r="R108" s="233" t="str">
        <f t="shared" si="3"/>
        <v/>
      </c>
      <c r="S108" s="287" t="str">
        <f>IF(B108="","", G108+M108)</f>
        <v/>
      </c>
      <c r="T108" s="287" t="str">
        <f>IF(B108="","", MAX(H108, N108))</f>
        <v/>
      </c>
      <c r="U108" s="287" t="str">
        <f t="shared" si="4"/>
        <v/>
      </c>
      <c r="W108" s="83">
        <f t="shared" si="5"/>
        <v>999</v>
      </c>
      <c r="AE108" s="83" t="str">
        <v/>
      </c>
      <c r="AF108" s="83" t="str">
        <v/>
      </c>
      <c r="AG108" s="83">
        <v>0</v>
      </c>
      <c r="AH108" s="83">
        <v>0</v>
      </c>
      <c r="AI108" s="83">
        <v>0</v>
      </c>
      <c r="AJ108" s="83">
        <v>0</v>
      </c>
      <c r="AK108" s="83">
        <v>0</v>
      </c>
      <c r="AL108" s="83">
        <v>0</v>
      </c>
      <c r="AM108" s="83">
        <v>0</v>
      </c>
      <c r="AN108" s="83">
        <v>14400</v>
      </c>
      <c r="AO108" s="83">
        <v>14400</v>
      </c>
      <c r="AP108" s="83">
        <v>999</v>
      </c>
    </row>
    <row r="109" spans="1:42" ht="24.75" customHeight="1">
      <c r="A109" s="84" t="str">
        <f>IF(B109&lt;&gt;"", COUNTA($B$3:B109), "")</f>
        <v/>
      </c>
      <c r="B109" s="231" t="str">
        <f>AE110</f>
        <v/>
      </c>
      <c r="C109" s="231" t="str">
        <f>AF110</f>
        <v/>
      </c>
      <c r="D109" s="276"/>
      <c r="E109" s="283" cm="1">
        <f t="array" ref="E109">IFERROR(_xlfn.XLOOKUP(TRIM(B109), TRIM('DAY 1 SCORES'!$B$4:$B$152), 'DAY 1 SCORES'!$H$4:$H$152, 12), 12)</f>
        <v>120</v>
      </c>
      <c r="F109" s="283">
        <f>AK110</f>
        <v>0</v>
      </c>
      <c r="G109" s="284">
        <f>AH110</f>
        <v>0</v>
      </c>
      <c r="H109" s="237" t="str">
        <f>IF(B109="","", IFERROR(VLOOKUP(B109, 'DAY 1 SCORES'!B:G, 6, FALSE), 0))</f>
        <v/>
      </c>
      <c r="I109" s="284">
        <f>AG110</f>
        <v>0</v>
      </c>
      <c r="J109" s="276"/>
      <c r="K109" s="121" t="str" cm="1">
        <f t="array" ref="K109">IF(B109="", "", IFERROR(_xlfn.XLOOKUP(TRIM(B109), TRIM('DAY 2 SCORES'!$B$4:$B$152), 'DAY 2 SCORES'!$H$4:$H$152, 12), 12))</f>
        <v/>
      </c>
      <c r="L109" s="121">
        <f>AL110</f>
        <v>0</v>
      </c>
      <c r="M109" s="121">
        <f>AJ110</f>
        <v>0</v>
      </c>
      <c r="N109" s="84" t="str">
        <f>IF(B109="","", IFERROR(VLOOKUP(B109, 'DAY 2 SCORES'!B:G, 6, FALSE), 0))</f>
        <v/>
      </c>
      <c r="O109" s="84">
        <f>IFERROR(VLOOKUP($B109, 'DAY 2 SCORES'!$B:$H, 4, FALSE), 0)</f>
        <v>0</v>
      </c>
      <c r="Q109" s="233" t="str">
        <f>IF(B109="", "", E109+K109)</f>
        <v/>
      </c>
      <c r="R109" s="233" t="str">
        <f t="shared" si="3"/>
        <v/>
      </c>
      <c r="S109" s="287" t="str">
        <f>IF(B109="","", G109+M109)</f>
        <v/>
      </c>
      <c r="T109" s="287" t="str">
        <f>IF(B109="","", MAX(H109, N109))</f>
        <v/>
      </c>
      <c r="U109" s="287" t="str">
        <f t="shared" si="4"/>
        <v/>
      </c>
      <c r="W109" s="83">
        <f t="shared" si="5"/>
        <v>999</v>
      </c>
      <c r="AE109" s="83" t="str">
        <v/>
      </c>
      <c r="AF109" s="83" t="str">
        <v/>
      </c>
      <c r="AG109" s="83">
        <v>0</v>
      </c>
      <c r="AH109" s="83">
        <v>0</v>
      </c>
      <c r="AI109" s="83">
        <v>0</v>
      </c>
      <c r="AJ109" s="83">
        <v>0</v>
      </c>
      <c r="AK109" s="83">
        <v>0</v>
      </c>
      <c r="AL109" s="83">
        <v>0</v>
      </c>
      <c r="AM109" s="83">
        <v>0</v>
      </c>
      <c r="AN109" s="83">
        <v>14400</v>
      </c>
      <c r="AO109" s="83">
        <v>14400</v>
      </c>
      <c r="AP109" s="83">
        <v>999</v>
      </c>
    </row>
    <row r="110" spans="1:42" ht="24.75" customHeight="1">
      <c r="A110" s="84" t="str">
        <f>IF(B110&lt;&gt;"", COUNTA($B$3:B110), "")</f>
        <v/>
      </c>
      <c r="B110" s="231" t="str">
        <f>AE111</f>
        <v/>
      </c>
      <c r="C110" s="231" t="str">
        <f>AF111</f>
        <v/>
      </c>
      <c r="D110" s="276"/>
      <c r="E110" s="283" cm="1">
        <f t="array" ref="E110">IFERROR(_xlfn.XLOOKUP(TRIM(B110), TRIM('DAY 1 SCORES'!$B$4:$B$152), 'DAY 1 SCORES'!$H$4:$H$152, 12), 12)</f>
        <v>120</v>
      </c>
      <c r="F110" s="283">
        <f>AK111</f>
        <v>0</v>
      </c>
      <c r="G110" s="284">
        <f>AH111</f>
        <v>0</v>
      </c>
      <c r="H110" s="237" t="str">
        <f>IF(B110="","", IFERROR(VLOOKUP(B110, 'DAY 1 SCORES'!B:G, 6, FALSE), 0))</f>
        <v/>
      </c>
      <c r="I110" s="284">
        <f>AG111</f>
        <v>0</v>
      </c>
      <c r="J110" s="276"/>
      <c r="K110" s="121" t="str" cm="1">
        <f t="array" ref="K110">IF(B110="", "", IFERROR(_xlfn.XLOOKUP(TRIM(B110), TRIM('DAY 2 SCORES'!$B$4:$B$152), 'DAY 2 SCORES'!$H$4:$H$152, 12), 12))</f>
        <v/>
      </c>
      <c r="L110" s="121">
        <f>AL111</f>
        <v>0</v>
      </c>
      <c r="M110" s="121">
        <f>AJ111</f>
        <v>0</v>
      </c>
      <c r="N110" s="84" t="str">
        <f>IF(B110="","", IFERROR(VLOOKUP(B110, 'DAY 2 SCORES'!B:G, 6, FALSE), 0))</f>
        <v/>
      </c>
      <c r="O110" s="84">
        <f>IFERROR(VLOOKUP($B110, 'DAY 2 SCORES'!$B:$H, 4, FALSE), 0)</f>
        <v>0</v>
      </c>
      <c r="Q110" s="233" t="str">
        <f>IF(B110="", "", E110+K110)</f>
        <v/>
      </c>
      <c r="R110" s="233" t="str">
        <f t="shared" si="3"/>
        <v/>
      </c>
      <c r="S110" s="287" t="str">
        <f>IF(B110="","", G110+M110)</f>
        <v/>
      </c>
      <c r="T110" s="287" t="str">
        <f>IF(B110="","", MAX(H110, N110))</f>
        <v/>
      </c>
      <c r="U110" s="287" t="str">
        <f t="shared" si="4"/>
        <v/>
      </c>
      <c r="W110" s="83">
        <f t="shared" si="5"/>
        <v>999</v>
      </c>
      <c r="AE110" s="83" t="str">
        <v/>
      </c>
      <c r="AF110" s="83" t="str">
        <v/>
      </c>
      <c r="AG110" s="83">
        <v>0</v>
      </c>
      <c r="AH110" s="83">
        <v>0</v>
      </c>
      <c r="AI110" s="83">
        <v>0</v>
      </c>
      <c r="AJ110" s="83">
        <v>0</v>
      </c>
      <c r="AK110" s="83">
        <v>0</v>
      </c>
      <c r="AL110" s="83">
        <v>0</v>
      </c>
      <c r="AM110" s="83">
        <v>0</v>
      </c>
      <c r="AN110" s="83">
        <v>14400</v>
      </c>
      <c r="AO110" s="83">
        <v>14400</v>
      </c>
      <c r="AP110" s="83">
        <v>999</v>
      </c>
    </row>
    <row r="111" spans="1:42" ht="24.75" customHeight="1">
      <c r="A111" s="84" t="str">
        <f>IF(B111&lt;&gt;"", COUNTA($B$3:B111), "")</f>
        <v/>
      </c>
      <c r="B111" s="231" t="str">
        <f>AE112</f>
        <v/>
      </c>
      <c r="C111" s="231" t="str">
        <f>AF112</f>
        <v/>
      </c>
      <c r="D111" s="276"/>
      <c r="E111" s="283" cm="1">
        <f t="array" ref="E111">IFERROR(_xlfn.XLOOKUP(TRIM(B111), TRIM('DAY 1 SCORES'!$B$4:$B$152), 'DAY 1 SCORES'!$H$4:$H$152, 12), 12)</f>
        <v>120</v>
      </c>
      <c r="F111" s="283">
        <f>AK112</f>
        <v>0</v>
      </c>
      <c r="G111" s="284">
        <f>AH112</f>
        <v>0</v>
      </c>
      <c r="H111" s="237" t="str">
        <f>IF(B111="","", IFERROR(VLOOKUP(B111, 'DAY 1 SCORES'!B:G, 6, FALSE), 0))</f>
        <v/>
      </c>
      <c r="I111" s="284">
        <f>AG112</f>
        <v>0</v>
      </c>
      <c r="J111" s="276"/>
      <c r="K111" s="121" t="str" cm="1">
        <f t="array" ref="K111">IF(B111="", "", IFERROR(_xlfn.XLOOKUP(TRIM(B111), TRIM('DAY 2 SCORES'!$B$4:$B$152), 'DAY 2 SCORES'!$H$4:$H$152, 12), 12))</f>
        <v/>
      </c>
      <c r="L111" s="121">
        <f>AL112</f>
        <v>0</v>
      </c>
      <c r="M111" s="121">
        <f>AJ112</f>
        <v>0</v>
      </c>
      <c r="N111" s="84" t="str">
        <f>IF(B111="","", IFERROR(VLOOKUP(B111, 'DAY 2 SCORES'!B:G, 6, FALSE), 0))</f>
        <v/>
      </c>
      <c r="O111" s="84">
        <f>IFERROR(VLOOKUP($B111, 'DAY 2 SCORES'!$B:$H, 4, FALSE), 0)</f>
        <v>0</v>
      </c>
      <c r="Q111" s="233" t="str">
        <f>IF(B111="", "", E111+K111)</f>
        <v/>
      </c>
      <c r="R111" s="233" t="str">
        <f t="shared" si="3"/>
        <v/>
      </c>
      <c r="S111" s="287" t="str">
        <f>IF(B111="","", G111+M111)</f>
        <v/>
      </c>
      <c r="T111" s="287" t="str">
        <f>IF(B111="","", MAX(H111, N111))</f>
        <v/>
      </c>
      <c r="U111" s="287" t="str">
        <f t="shared" si="4"/>
        <v/>
      </c>
      <c r="W111" s="83">
        <f t="shared" si="5"/>
        <v>999</v>
      </c>
      <c r="AE111" s="83" t="str">
        <v/>
      </c>
      <c r="AF111" s="83" t="str">
        <v/>
      </c>
      <c r="AG111" s="83">
        <v>0</v>
      </c>
      <c r="AH111" s="83">
        <v>0</v>
      </c>
      <c r="AI111" s="83">
        <v>0</v>
      </c>
      <c r="AJ111" s="83">
        <v>0</v>
      </c>
      <c r="AK111" s="83">
        <v>0</v>
      </c>
      <c r="AL111" s="83">
        <v>0</v>
      </c>
      <c r="AM111" s="83">
        <v>0</v>
      </c>
      <c r="AN111" s="83">
        <v>14400</v>
      </c>
      <c r="AO111" s="83">
        <v>14400</v>
      </c>
      <c r="AP111" s="83">
        <v>999</v>
      </c>
    </row>
    <row r="112" spans="1:42" ht="24.75" customHeight="1">
      <c r="A112" s="84" t="str">
        <f>IF(B112&lt;&gt;"", COUNTA($B$3:B112), "")</f>
        <v/>
      </c>
      <c r="B112" s="231" t="str">
        <f>AE113</f>
        <v/>
      </c>
      <c r="C112" s="231" t="str">
        <f>AF113</f>
        <v/>
      </c>
      <c r="D112" s="276"/>
      <c r="E112" s="283" cm="1">
        <f t="array" ref="E112">IFERROR(_xlfn.XLOOKUP(TRIM(B112), TRIM('DAY 1 SCORES'!$B$4:$B$152), 'DAY 1 SCORES'!$H$4:$H$152, 12), 12)</f>
        <v>120</v>
      </c>
      <c r="F112" s="283">
        <f>AK113</f>
        <v>0</v>
      </c>
      <c r="G112" s="284">
        <f>AH113</f>
        <v>0</v>
      </c>
      <c r="H112" s="237" t="str">
        <f>IF(B112="","", IFERROR(VLOOKUP(B112, 'DAY 1 SCORES'!B:G, 6, FALSE), 0))</f>
        <v/>
      </c>
      <c r="I112" s="284">
        <f>AG113</f>
        <v>0</v>
      </c>
      <c r="J112" s="276"/>
      <c r="K112" s="121" t="str" cm="1">
        <f t="array" ref="K112">IF(B112="", "", IFERROR(_xlfn.XLOOKUP(TRIM(B112), TRIM('DAY 2 SCORES'!$B$4:$B$152), 'DAY 2 SCORES'!$H$4:$H$152, 12), 12))</f>
        <v/>
      </c>
      <c r="L112" s="121">
        <f>AL113</f>
        <v>0</v>
      </c>
      <c r="M112" s="121">
        <f>AJ113</f>
        <v>0</v>
      </c>
      <c r="N112" s="84" t="str">
        <f>IF(B112="","", IFERROR(VLOOKUP(B112, 'DAY 2 SCORES'!B:G, 6, FALSE), 0))</f>
        <v/>
      </c>
      <c r="O112" s="84">
        <f>IFERROR(VLOOKUP($B112, 'DAY 2 SCORES'!$B:$H, 4, FALSE), 0)</f>
        <v>0</v>
      </c>
      <c r="Q112" s="233" t="str">
        <f>IF(B112="", "", E112+K112)</f>
        <v/>
      </c>
      <c r="R112" s="233" t="str">
        <f t="shared" si="3"/>
        <v/>
      </c>
      <c r="S112" s="287" t="str">
        <f>IF(B112="","", G112+M112)</f>
        <v/>
      </c>
      <c r="T112" s="287" t="str">
        <f>IF(B112="","", MAX(H112, N112))</f>
        <v/>
      </c>
      <c r="U112" s="287" t="str">
        <f t="shared" si="4"/>
        <v/>
      </c>
      <c r="W112" s="83">
        <f t="shared" si="5"/>
        <v>999</v>
      </c>
      <c r="AE112" s="83" t="str">
        <v/>
      </c>
      <c r="AF112" s="83" t="str">
        <v/>
      </c>
      <c r="AG112" s="83">
        <v>0</v>
      </c>
      <c r="AH112" s="83">
        <v>0</v>
      </c>
      <c r="AI112" s="83">
        <v>0</v>
      </c>
      <c r="AJ112" s="83">
        <v>0</v>
      </c>
      <c r="AK112" s="83">
        <v>0</v>
      </c>
      <c r="AL112" s="83">
        <v>0</v>
      </c>
      <c r="AM112" s="83">
        <v>0</v>
      </c>
      <c r="AN112" s="83">
        <v>14400</v>
      </c>
      <c r="AO112" s="83">
        <v>14400</v>
      </c>
      <c r="AP112" s="83">
        <v>999</v>
      </c>
    </row>
    <row r="113" spans="1:42" ht="24.75" customHeight="1">
      <c r="A113" s="84" t="str">
        <f>IF(B113&lt;&gt;"", COUNTA($B$3:B113), "")</f>
        <v/>
      </c>
      <c r="B113" s="231" t="str">
        <f>AE114</f>
        <v/>
      </c>
      <c r="C113" s="231" t="str">
        <f>AF114</f>
        <v/>
      </c>
      <c r="D113" s="276"/>
      <c r="E113" s="283" cm="1">
        <f t="array" ref="E113">IFERROR(_xlfn.XLOOKUP(TRIM(B113), TRIM('DAY 1 SCORES'!$B$4:$B$152), 'DAY 1 SCORES'!$H$4:$H$152, 12), 12)</f>
        <v>120</v>
      </c>
      <c r="F113" s="283">
        <f>AK114</f>
        <v>0</v>
      </c>
      <c r="G113" s="284">
        <f>AH114</f>
        <v>0</v>
      </c>
      <c r="H113" s="237" t="str">
        <f>IF(B113="","", IFERROR(VLOOKUP(B113, 'DAY 1 SCORES'!B:G, 6, FALSE), 0))</f>
        <v/>
      </c>
      <c r="I113" s="284">
        <f>AG114</f>
        <v>0</v>
      </c>
      <c r="J113" s="276"/>
      <c r="K113" s="121" t="str" cm="1">
        <f t="array" ref="K113">IF(B113="", "", IFERROR(_xlfn.XLOOKUP(TRIM(B113), TRIM('DAY 2 SCORES'!$B$4:$B$152), 'DAY 2 SCORES'!$H$4:$H$152, 12), 12))</f>
        <v/>
      </c>
      <c r="L113" s="121">
        <f>AL114</f>
        <v>0</v>
      </c>
      <c r="M113" s="121">
        <f>AJ114</f>
        <v>0</v>
      </c>
      <c r="N113" s="84" t="str">
        <f>IF(B113="","", IFERROR(VLOOKUP(B113, 'DAY 2 SCORES'!B:G, 6, FALSE), 0))</f>
        <v/>
      </c>
      <c r="O113" s="84">
        <f>IFERROR(VLOOKUP($B113, 'DAY 2 SCORES'!$B:$H, 4, FALSE), 0)</f>
        <v>0</v>
      </c>
      <c r="Q113" s="233" t="str">
        <f>IF(B113="", "", E113+K113)</f>
        <v/>
      </c>
      <c r="R113" s="233" t="str">
        <f t="shared" si="3"/>
        <v/>
      </c>
      <c r="S113" s="287" t="str">
        <f>IF(B113="","", G113+M113)</f>
        <v/>
      </c>
      <c r="T113" s="287" t="str">
        <f>IF(B113="","", MAX(H113, N113))</f>
        <v/>
      </c>
      <c r="U113" s="287" t="str">
        <f t="shared" si="4"/>
        <v/>
      </c>
      <c r="W113" s="83">
        <f t="shared" si="5"/>
        <v>999</v>
      </c>
      <c r="AE113" s="83" t="str">
        <v/>
      </c>
      <c r="AF113" s="83" t="str">
        <v/>
      </c>
      <c r="AG113" s="83">
        <v>0</v>
      </c>
      <c r="AH113" s="83">
        <v>0</v>
      </c>
      <c r="AI113" s="83">
        <v>0</v>
      </c>
      <c r="AJ113" s="83">
        <v>0</v>
      </c>
      <c r="AK113" s="83">
        <v>0</v>
      </c>
      <c r="AL113" s="83">
        <v>0</v>
      </c>
      <c r="AM113" s="83">
        <v>0</v>
      </c>
      <c r="AN113" s="83">
        <v>14400</v>
      </c>
      <c r="AO113" s="83">
        <v>14400</v>
      </c>
      <c r="AP113" s="83">
        <v>999</v>
      </c>
    </row>
    <row r="114" spans="1:42" ht="24.75" customHeight="1">
      <c r="A114" s="84" t="str">
        <f>IF(B114&lt;&gt;"", COUNTA($B$3:B114), "")</f>
        <v/>
      </c>
      <c r="B114" s="231" t="str">
        <f>AE115</f>
        <v/>
      </c>
      <c r="C114" s="231" t="str">
        <f>AF115</f>
        <v/>
      </c>
      <c r="D114" s="276"/>
      <c r="E114" s="283" cm="1">
        <f t="array" ref="E114">IFERROR(_xlfn.XLOOKUP(TRIM(B114), TRIM('DAY 1 SCORES'!$B$4:$B$152), 'DAY 1 SCORES'!$H$4:$H$152, 12), 12)</f>
        <v>120</v>
      </c>
      <c r="F114" s="283">
        <f>AK115</f>
        <v>0</v>
      </c>
      <c r="G114" s="284">
        <f>AH115</f>
        <v>0</v>
      </c>
      <c r="H114" s="237" t="str">
        <f>IF(B114="","", IFERROR(VLOOKUP(B114, 'DAY 1 SCORES'!B:G, 6, FALSE), 0))</f>
        <v/>
      </c>
      <c r="I114" s="284">
        <f>AG115</f>
        <v>0</v>
      </c>
      <c r="J114" s="276"/>
      <c r="K114" s="121" t="str" cm="1">
        <f t="array" ref="K114">IF(B114="", "", IFERROR(_xlfn.XLOOKUP(TRIM(B114), TRIM('DAY 2 SCORES'!$B$4:$B$152), 'DAY 2 SCORES'!$H$4:$H$152, 12), 12))</f>
        <v/>
      </c>
      <c r="L114" s="121">
        <f>AL115</f>
        <v>0</v>
      </c>
      <c r="M114" s="121">
        <f>AJ115</f>
        <v>0</v>
      </c>
      <c r="N114" s="84" t="str">
        <f>IF(B114="","", IFERROR(VLOOKUP(B114, 'DAY 2 SCORES'!B:G, 6, FALSE), 0))</f>
        <v/>
      </c>
      <c r="O114" s="84">
        <f>IFERROR(VLOOKUP($B114, 'DAY 2 SCORES'!$B:$H, 4, FALSE), 0)</f>
        <v>0</v>
      </c>
      <c r="Q114" s="233" t="str">
        <f>IF(B114="", "", E114+K114)</f>
        <v/>
      </c>
      <c r="R114" s="233" t="str">
        <f t="shared" si="3"/>
        <v/>
      </c>
      <c r="S114" s="287" t="str">
        <f>IF(B114="","", G114+M114)</f>
        <v/>
      </c>
      <c r="T114" s="287" t="str">
        <f>IF(B114="","", MAX(H114, N114))</f>
        <v/>
      </c>
      <c r="U114" s="287" t="str">
        <f t="shared" si="4"/>
        <v/>
      </c>
      <c r="W114" s="83">
        <f t="shared" si="5"/>
        <v>999</v>
      </c>
      <c r="AE114" s="83" t="str">
        <v/>
      </c>
      <c r="AF114" s="83" t="str">
        <v/>
      </c>
      <c r="AG114" s="83">
        <v>0</v>
      </c>
      <c r="AH114" s="83">
        <v>0</v>
      </c>
      <c r="AI114" s="83">
        <v>0</v>
      </c>
      <c r="AJ114" s="83">
        <v>0</v>
      </c>
      <c r="AK114" s="83">
        <v>0</v>
      </c>
      <c r="AL114" s="83">
        <v>0</v>
      </c>
      <c r="AM114" s="83">
        <v>0</v>
      </c>
      <c r="AN114" s="83">
        <v>14400</v>
      </c>
      <c r="AO114" s="83">
        <v>14400</v>
      </c>
      <c r="AP114" s="83">
        <v>999</v>
      </c>
    </row>
    <row r="115" spans="1:42" ht="24.75" customHeight="1">
      <c r="A115" s="84" t="str">
        <f>IF(B115&lt;&gt;"", COUNTA($B$3:B115), "")</f>
        <v/>
      </c>
      <c r="B115" s="231" t="str">
        <f>AE116</f>
        <v/>
      </c>
      <c r="C115" s="231" t="str">
        <f>AF116</f>
        <v/>
      </c>
      <c r="D115" s="276"/>
      <c r="E115" s="283" cm="1">
        <f t="array" ref="E115">IFERROR(_xlfn.XLOOKUP(TRIM(B115), TRIM('DAY 1 SCORES'!$B$4:$B$152), 'DAY 1 SCORES'!$H$4:$H$152, 12), 12)</f>
        <v>120</v>
      </c>
      <c r="F115" s="283">
        <f>AK116</f>
        <v>0</v>
      </c>
      <c r="G115" s="284">
        <f>AH116</f>
        <v>0</v>
      </c>
      <c r="H115" s="237" t="str">
        <f>IF(B115="","", IFERROR(VLOOKUP(B115, 'DAY 1 SCORES'!B:G, 6, FALSE), 0))</f>
        <v/>
      </c>
      <c r="I115" s="284">
        <f>AG116</f>
        <v>0</v>
      </c>
      <c r="J115" s="276"/>
      <c r="K115" s="121" t="str" cm="1">
        <f t="array" ref="K115">IF(B115="", "", IFERROR(_xlfn.XLOOKUP(TRIM(B115), TRIM('DAY 2 SCORES'!$B$4:$B$152), 'DAY 2 SCORES'!$H$4:$H$152, 12), 12))</f>
        <v/>
      </c>
      <c r="L115" s="121">
        <f>AL116</f>
        <v>0</v>
      </c>
      <c r="M115" s="121">
        <f>AJ116</f>
        <v>0</v>
      </c>
      <c r="N115" s="84" t="str">
        <f>IF(B115="","", IFERROR(VLOOKUP(B115, 'DAY 2 SCORES'!B:G, 6, FALSE), 0))</f>
        <v/>
      </c>
      <c r="O115" s="84">
        <f>IFERROR(VLOOKUP($B115, 'DAY 2 SCORES'!$B:$H, 4, FALSE), 0)</f>
        <v>0</v>
      </c>
      <c r="Q115" s="233" t="str">
        <f>IF(B115="", "", E115+K115)</f>
        <v/>
      </c>
      <c r="R115" s="233" t="str">
        <f t="shared" si="3"/>
        <v/>
      </c>
      <c r="S115" s="287" t="str">
        <f>IF(B115="","", G115+M115)</f>
        <v/>
      </c>
      <c r="T115" s="287" t="str">
        <f>IF(B115="","", MAX(H115, N115))</f>
        <v/>
      </c>
      <c r="U115" s="287" t="str">
        <f t="shared" si="4"/>
        <v/>
      </c>
      <c r="W115" s="83">
        <f t="shared" si="5"/>
        <v>999</v>
      </c>
      <c r="AE115" s="83" t="str">
        <v/>
      </c>
      <c r="AF115" s="83" t="str">
        <v/>
      </c>
      <c r="AG115" s="83">
        <v>0</v>
      </c>
      <c r="AH115" s="83">
        <v>0</v>
      </c>
      <c r="AI115" s="83">
        <v>0</v>
      </c>
      <c r="AJ115" s="83">
        <v>0</v>
      </c>
      <c r="AK115" s="83">
        <v>0</v>
      </c>
      <c r="AL115" s="83">
        <v>0</v>
      </c>
      <c r="AM115" s="83">
        <v>0</v>
      </c>
      <c r="AN115" s="83">
        <v>14400</v>
      </c>
      <c r="AO115" s="83">
        <v>14400</v>
      </c>
      <c r="AP115" s="83">
        <v>999</v>
      </c>
    </row>
    <row r="116" spans="1:42" ht="24.75" customHeight="1">
      <c r="A116" s="84" t="str">
        <f>IF(B116&lt;&gt;"", COUNTA($B$3:B116), "")</f>
        <v/>
      </c>
      <c r="B116" s="231" t="str">
        <f>AE117</f>
        <v/>
      </c>
      <c r="C116" s="231" t="str">
        <f>AF117</f>
        <v/>
      </c>
      <c r="D116" s="276"/>
      <c r="E116" s="283" cm="1">
        <f t="array" ref="E116">IFERROR(_xlfn.XLOOKUP(TRIM(B116), TRIM('DAY 1 SCORES'!$B$4:$B$152), 'DAY 1 SCORES'!$H$4:$H$152, 12), 12)</f>
        <v>120</v>
      </c>
      <c r="F116" s="283">
        <f>AK117</f>
        <v>0</v>
      </c>
      <c r="G116" s="284">
        <f>AH117</f>
        <v>0</v>
      </c>
      <c r="H116" s="237" t="str">
        <f>IF(B116="","", IFERROR(VLOOKUP(B116, 'DAY 1 SCORES'!B:G, 6, FALSE), 0))</f>
        <v/>
      </c>
      <c r="I116" s="284">
        <f>AG117</f>
        <v>0</v>
      </c>
      <c r="J116" s="276"/>
      <c r="K116" s="121" t="str" cm="1">
        <f t="array" ref="K116">IF(B116="", "", IFERROR(_xlfn.XLOOKUP(TRIM(B116), TRIM('DAY 2 SCORES'!$B$4:$B$152), 'DAY 2 SCORES'!$H$4:$H$152, 12), 12))</f>
        <v/>
      </c>
      <c r="L116" s="121">
        <f>AL117</f>
        <v>0</v>
      </c>
      <c r="M116" s="121">
        <f>AJ117</f>
        <v>0</v>
      </c>
      <c r="N116" s="84" t="str">
        <f>IF(B116="","", IFERROR(VLOOKUP(B116, 'DAY 2 SCORES'!B:G, 6, FALSE), 0))</f>
        <v/>
      </c>
      <c r="O116" s="84">
        <f>IFERROR(VLOOKUP($B116, 'DAY 2 SCORES'!$B:$H, 4, FALSE), 0)</f>
        <v>0</v>
      </c>
      <c r="Q116" s="233" t="str">
        <f>IF(B116="", "", E116+K116)</f>
        <v/>
      </c>
      <c r="R116" s="233" t="str">
        <f t="shared" si="3"/>
        <v/>
      </c>
      <c r="S116" s="287" t="str">
        <f>IF(B116="","", G116+M116)</f>
        <v/>
      </c>
      <c r="T116" s="287" t="str">
        <f>IF(B116="","", MAX(H116, N116))</f>
        <v/>
      </c>
      <c r="U116" s="287" t="str">
        <f t="shared" si="4"/>
        <v/>
      </c>
      <c r="W116" s="83">
        <f t="shared" si="5"/>
        <v>999</v>
      </c>
      <c r="AE116" s="83" t="str">
        <v/>
      </c>
      <c r="AF116" s="83" t="str">
        <v/>
      </c>
      <c r="AG116" s="83">
        <v>0</v>
      </c>
      <c r="AH116" s="83">
        <v>0</v>
      </c>
      <c r="AI116" s="83">
        <v>0</v>
      </c>
      <c r="AJ116" s="83">
        <v>0</v>
      </c>
      <c r="AK116" s="83">
        <v>0</v>
      </c>
      <c r="AL116" s="83">
        <v>0</v>
      </c>
      <c r="AM116" s="83">
        <v>0</v>
      </c>
      <c r="AN116" s="83">
        <v>14400</v>
      </c>
      <c r="AO116" s="83">
        <v>14400</v>
      </c>
      <c r="AP116" s="83">
        <v>999</v>
      </c>
    </row>
    <row r="117" spans="1:42" ht="24.75" customHeight="1">
      <c r="A117" s="84" t="str">
        <f>IF(B117&lt;&gt;"", COUNTA($B$3:B117), "")</f>
        <v/>
      </c>
      <c r="B117" s="231" t="str">
        <f>AE118</f>
        <v/>
      </c>
      <c r="C117" s="231" t="str">
        <f>AF118</f>
        <v/>
      </c>
      <c r="D117" s="276"/>
      <c r="E117" s="283" cm="1">
        <f t="array" ref="E117">IFERROR(_xlfn.XLOOKUP(TRIM(B117), TRIM('DAY 1 SCORES'!$B$4:$B$152), 'DAY 1 SCORES'!$H$4:$H$152, 12), 12)</f>
        <v>120</v>
      </c>
      <c r="F117" s="283">
        <f>AK118</f>
        <v>0</v>
      </c>
      <c r="G117" s="284">
        <f>AH118</f>
        <v>0</v>
      </c>
      <c r="H117" s="237" t="str">
        <f>IF(B117="","", IFERROR(VLOOKUP(B117, 'DAY 1 SCORES'!B:G, 6, FALSE), 0))</f>
        <v/>
      </c>
      <c r="I117" s="284">
        <f>AG118</f>
        <v>0</v>
      </c>
      <c r="J117" s="276"/>
      <c r="K117" s="121" t="str" cm="1">
        <f t="array" ref="K117">IF(B117="", "", IFERROR(_xlfn.XLOOKUP(TRIM(B117), TRIM('DAY 2 SCORES'!$B$4:$B$152), 'DAY 2 SCORES'!$H$4:$H$152, 12), 12))</f>
        <v/>
      </c>
      <c r="L117" s="121">
        <f>AL118</f>
        <v>0</v>
      </c>
      <c r="M117" s="121">
        <f>AJ118</f>
        <v>0</v>
      </c>
      <c r="N117" s="84" t="str">
        <f>IF(B117="","", IFERROR(VLOOKUP(B117, 'DAY 2 SCORES'!B:G, 6, FALSE), 0))</f>
        <v/>
      </c>
      <c r="O117" s="84">
        <f>IFERROR(VLOOKUP($B117, 'DAY 2 SCORES'!$B:$H, 4, FALSE), 0)</f>
        <v>0</v>
      </c>
      <c r="Q117" s="233" t="str">
        <f>IF(B117="", "", E117+K117)</f>
        <v/>
      </c>
      <c r="R117" s="233" t="str">
        <f t="shared" si="3"/>
        <v/>
      </c>
      <c r="S117" s="287" t="str">
        <f>IF(B117="","", G117+M117)</f>
        <v/>
      </c>
      <c r="T117" s="287" t="str">
        <f>IF(B117="","", MAX(H117, N117))</f>
        <v/>
      </c>
      <c r="U117" s="287" t="str">
        <f t="shared" si="4"/>
        <v/>
      </c>
      <c r="W117" s="83">
        <f t="shared" si="5"/>
        <v>999</v>
      </c>
      <c r="AE117" s="83" t="str">
        <v/>
      </c>
      <c r="AF117" s="83" t="str">
        <v/>
      </c>
      <c r="AG117" s="83">
        <v>0</v>
      </c>
      <c r="AH117" s="83">
        <v>0</v>
      </c>
      <c r="AI117" s="83">
        <v>0</v>
      </c>
      <c r="AJ117" s="83">
        <v>0</v>
      </c>
      <c r="AK117" s="83">
        <v>0</v>
      </c>
      <c r="AL117" s="83">
        <v>0</v>
      </c>
      <c r="AM117" s="83">
        <v>0</v>
      </c>
      <c r="AN117" s="83">
        <v>14400</v>
      </c>
      <c r="AO117" s="83">
        <v>14400</v>
      </c>
      <c r="AP117" s="83">
        <v>999</v>
      </c>
    </row>
    <row r="118" spans="1:42" ht="24.75" customHeight="1">
      <c r="A118" s="84" t="str">
        <f>IF(B118&lt;&gt;"", COUNTA($B$3:B118), "")</f>
        <v/>
      </c>
      <c r="B118" s="231" t="str">
        <f>AE119</f>
        <v/>
      </c>
      <c r="C118" s="231" t="str">
        <f>AF119</f>
        <v/>
      </c>
      <c r="D118" s="276"/>
      <c r="E118" s="283" cm="1">
        <f t="array" ref="E118">IFERROR(_xlfn.XLOOKUP(TRIM(B118), TRIM('DAY 1 SCORES'!$B$4:$B$152), 'DAY 1 SCORES'!$H$4:$H$152, 12), 12)</f>
        <v>120</v>
      </c>
      <c r="F118" s="283">
        <f>AK119</f>
        <v>0</v>
      </c>
      <c r="G118" s="284">
        <f>AH119</f>
        <v>0</v>
      </c>
      <c r="H118" s="237" t="str">
        <f>IF(B118="","", IFERROR(VLOOKUP(B118, 'DAY 1 SCORES'!B:G, 6, FALSE), 0))</f>
        <v/>
      </c>
      <c r="I118" s="284">
        <f>AG119</f>
        <v>0</v>
      </c>
      <c r="J118" s="276"/>
      <c r="K118" s="121" t="str" cm="1">
        <f t="array" ref="K118">IF(B118="", "", IFERROR(_xlfn.XLOOKUP(TRIM(B118), TRIM('DAY 2 SCORES'!$B$4:$B$152), 'DAY 2 SCORES'!$H$4:$H$152, 12), 12))</f>
        <v/>
      </c>
      <c r="L118" s="121">
        <f>AL119</f>
        <v>0</v>
      </c>
      <c r="M118" s="121">
        <f>AJ119</f>
        <v>0</v>
      </c>
      <c r="N118" s="84" t="str">
        <f>IF(B118="","", IFERROR(VLOOKUP(B118, 'DAY 2 SCORES'!B:G, 6, FALSE), 0))</f>
        <v/>
      </c>
      <c r="O118" s="84">
        <f>IFERROR(VLOOKUP($B118, 'DAY 2 SCORES'!$B:$H, 4, FALSE), 0)</f>
        <v>0</v>
      </c>
      <c r="Q118" s="233" t="str">
        <f>IF(B118="", "", E118+K118)</f>
        <v/>
      </c>
      <c r="R118" s="233" t="str">
        <f t="shared" si="3"/>
        <v/>
      </c>
      <c r="S118" s="287" t="str">
        <f>IF(B118="","", G118+M118)</f>
        <v/>
      </c>
      <c r="T118" s="287" t="str">
        <f>IF(B118="","", MAX(H118, N118))</f>
        <v/>
      </c>
      <c r="U118" s="287" t="str">
        <f t="shared" si="4"/>
        <v/>
      </c>
      <c r="W118" s="83">
        <f t="shared" si="5"/>
        <v>999</v>
      </c>
      <c r="AE118" s="83" t="str">
        <v/>
      </c>
      <c r="AF118" s="83" t="str">
        <v/>
      </c>
      <c r="AG118" s="83">
        <v>0</v>
      </c>
      <c r="AH118" s="83">
        <v>0</v>
      </c>
      <c r="AI118" s="83">
        <v>0</v>
      </c>
      <c r="AJ118" s="83">
        <v>0</v>
      </c>
      <c r="AK118" s="83">
        <v>0</v>
      </c>
      <c r="AL118" s="83">
        <v>0</v>
      </c>
      <c r="AM118" s="83">
        <v>0</v>
      </c>
      <c r="AN118" s="83">
        <v>14400</v>
      </c>
      <c r="AO118" s="83">
        <v>14400</v>
      </c>
      <c r="AP118" s="83">
        <v>999</v>
      </c>
    </row>
    <row r="119" spans="1:42" ht="24.75" customHeight="1">
      <c r="A119" s="84" t="str">
        <f>IF(B119&lt;&gt;"", COUNTA($B$3:B119), "")</f>
        <v/>
      </c>
      <c r="B119" s="231" t="str">
        <f>AE120</f>
        <v/>
      </c>
      <c r="C119" s="231" t="str">
        <f>AF120</f>
        <v/>
      </c>
      <c r="D119" s="276"/>
      <c r="E119" s="283" cm="1">
        <f t="array" ref="E119">IFERROR(_xlfn.XLOOKUP(TRIM(B119), TRIM('DAY 1 SCORES'!$B$4:$B$152), 'DAY 1 SCORES'!$H$4:$H$152, 12), 12)</f>
        <v>120</v>
      </c>
      <c r="F119" s="283">
        <f>AK120</f>
        <v>0</v>
      </c>
      <c r="G119" s="284">
        <f>AH120</f>
        <v>0</v>
      </c>
      <c r="H119" s="237" t="str">
        <f>IF(B119="","", IFERROR(VLOOKUP(B119, 'DAY 1 SCORES'!B:G, 6, FALSE), 0))</f>
        <v/>
      </c>
      <c r="I119" s="284">
        <f>AG120</f>
        <v>0</v>
      </c>
      <c r="J119" s="276"/>
      <c r="K119" s="121" t="str" cm="1">
        <f t="array" ref="K119">IF(B119="", "", IFERROR(_xlfn.XLOOKUP(TRIM(B119), TRIM('DAY 2 SCORES'!$B$4:$B$152), 'DAY 2 SCORES'!$H$4:$H$152, 12), 12))</f>
        <v/>
      </c>
      <c r="L119" s="121">
        <f>AL120</f>
        <v>0</v>
      </c>
      <c r="M119" s="121">
        <f>AJ120</f>
        <v>0</v>
      </c>
      <c r="N119" s="84" t="str">
        <f>IF(B119="","", IFERROR(VLOOKUP(B119, 'DAY 2 SCORES'!B:G, 6, FALSE), 0))</f>
        <v/>
      </c>
      <c r="O119" s="84">
        <f>IFERROR(VLOOKUP($B119, 'DAY 2 SCORES'!$B:$H, 4, FALSE), 0)</f>
        <v>0</v>
      </c>
      <c r="Q119" s="233" t="str">
        <f>IF(B119="", "", E119+K119)</f>
        <v/>
      </c>
      <c r="R119" s="233" t="str">
        <f t="shared" si="3"/>
        <v/>
      </c>
      <c r="S119" s="287" t="str">
        <f>IF(B119="","", G119+M119)</f>
        <v/>
      </c>
      <c r="T119" s="287" t="str">
        <f>IF(B119="","", MAX(H119, N119))</f>
        <v/>
      </c>
      <c r="U119" s="287" t="str">
        <f t="shared" si="4"/>
        <v/>
      </c>
      <c r="W119" s="83">
        <f t="shared" si="5"/>
        <v>999</v>
      </c>
      <c r="AE119" s="83" t="str">
        <v/>
      </c>
      <c r="AF119" s="83" t="str">
        <v/>
      </c>
      <c r="AG119" s="83">
        <v>0</v>
      </c>
      <c r="AH119" s="83">
        <v>0</v>
      </c>
      <c r="AI119" s="83">
        <v>0</v>
      </c>
      <c r="AJ119" s="83">
        <v>0</v>
      </c>
      <c r="AK119" s="83">
        <v>0</v>
      </c>
      <c r="AL119" s="83">
        <v>0</v>
      </c>
      <c r="AM119" s="83">
        <v>0</v>
      </c>
      <c r="AN119" s="83">
        <v>14400</v>
      </c>
      <c r="AO119" s="83">
        <v>14400</v>
      </c>
      <c r="AP119" s="83">
        <v>999</v>
      </c>
    </row>
    <row r="120" spans="1:42" ht="24.75" customHeight="1">
      <c r="A120" s="84" t="str">
        <f>IF(B120&lt;&gt;"", COUNTA($B$3:B120), "")</f>
        <v/>
      </c>
      <c r="B120" s="231" t="str">
        <f>AE121</f>
        <v/>
      </c>
      <c r="C120" s="231" t="str">
        <f>AF121</f>
        <v/>
      </c>
      <c r="D120" s="276"/>
      <c r="E120" s="283" cm="1">
        <f t="array" ref="E120">IFERROR(_xlfn.XLOOKUP(TRIM(B120), TRIM('DAY 1 SCORES'!$B$4:$B$152), 'DAY 1 SCORES'!$H$4:$H$152, 12), 12)</f>
        <v>120</v>
      </c>
      <c r="F120" s="283">
        <f>AK121</f>
        <v>0</v>
      </c>
      <c r="G120" s="284">
        <f>AH121</f>
        <v>0</v>
      </c>
      <c r="H120" s="237" t="str">
        <f>IF(B120="","", IFERROR(VLOOKUP(B120, 'DAY 1 SCORES'!B:G, 6, FALSE), 0))</f>
        <v/>
      </c>
      <c r="I120" s="284">
        <f>AG121</f>
        <v>0</v>
      </c>
      <c r="J120" s="276"/>
      <c r="K120" s="121" t="str" cm="1">
        <f t="array" ref="K120">IF(B120="", "", IFERROR(_xlfn.XLOOKUP(TRIM(B120), TRIM('DAY 2 SCORES'!$B$4:$B$152), 'DAY 2 SCORES'!$H$4:$H$152, 12), 12))</f>
        <v/>
      </c>
      <c r="L120" s="121">
        <f>AL121</f>
        <v>0</v>
      </c>
      <c r="M120" s="121">
        <f>AJ121</f>
        <v>0</v>
      </c>
      <c r="N120" s="84" t="str">
        <f>IF(B120="","", IFERROR(VLOOKUP(B120, 'DAY 2 SCORES'!B:G, 6, FALSE), 0))</f>
        <v/>
      </c>
      <c r="O120" s="84">
        <f>IFERROR(VLOOKUP($B120, 'DAY 2 SCORES'!$B:$H, 4, FALSE), 0)</f>
        <v>0</v>
      </c>
      <c r="Q120" s="233" t="str">
        <f>IF(B120="", "", E120+K120)</f>
        <v/>
      </c>
      <c r="R120" s="233" t="str">
        <f t="shared" si="3"/>
        <v/>
      </c>
      <c r="S120" s="287" t="str">
        <f>IF(B120="","", G120+M120)</f>
        <v/>
      </c>
      <c r="T120" s="287" t="str">
        <f>IF(B120="","", MAX(H120, N120))</f>
        <v/>
      </c>
      <c r="U120" s="287" t="str">
        <f t="shared" si="4"/>
        <v/>
      </c>
      <c r="W120" s="83">
        <f t="shared" si="5"/>
        <v>999</v>
      </c>
      <c r="AE120" s="83" t="str">
        <v/>
      </c>
      <c r="AF120" s="83" t="str">
        <v/>
      </c>
      <c r="AG120" s="83">
        <v>0</v>
      </c>
      <c r="AH120" s="83">
        <v>0</v>
      </c>
      <c r="AI120" s="83">
        <v>0</v>
      </c>
      <c r="AJ120" s="83">
        <v>0</v>
      </c>
      <c r="AK120" s="83">
        <v>0</v>
      </c>
      <c r="AL120" s="83">
        <v>0</v>
      </c>
      <c r="AM120" s="83">
        <v>0</v>
      </c>
      <c r="AN120" s="83">
        <v>14400</v>
      </c>
      <c r="AO120" s="83">
        <v>14400</v>
      </c>
      <c r="AP120" s="83">
        <v>999</v>
      </c>
    </row>
    <row r="121" spans="1:42" ht="24.75" customHeight="1">
      <c r="A121" s="84" t="str">
        <f>IF(B121&lt;&gt;"", COUNTA($B$3:B121), "")</f>
        <v/>
      </c>
      <c r="B121" s="231" t="str">
        <f>AE122</f>
        <v/>
      </c>
      <c r="C121" s="231" t="str">
        <f>AF122</f>
        <v/>
      </c>
      <c r="D121" s="276"/>
      <c r="E121" s="283" cm="1">
        <f t="array" ref="E121">IFERROR(_xlfn.XLOOKUP(TRIM(B121), TRIM('DAY 1 SCORES'!$B$4:$B$152), 'DAY 1 SCORES'!$H$4:$H$152, 12), 12)</f>
        <v>120</v>
      </c>
      <c r="F121" s="283">
        <f>AK122</f>
        <v>0</v>
      </c>
      <c r="G121" s="284">
        <f>AH122</f>
        <v>0</v>
      </c>
      <c r="H121" s="237" t="str">
        <f>IF(B121="","", IFERROR(VLOOKUP(B121, 'DAY 1 SCORES'!B:G, 6, FALSE), 0))</f>
        <v/>
      </c>
      <c r="I121" s="284">
        <f>AG122</f>
        <v>0</v>
      </c>
      <c r="J121" s="276"/>
      <c r="K121" s="121" t="str" cm="1">
        <f t="array" ref="K121">IF(B121="", "", IFERROR(_xlfn.XLOOKUP(TRIM(B121), TRIM('DAY 2 SCORES'!$B$4:$B$152), 'DAY 2 SCORES'!$H$4:$H$152, 12), 12))</f>
        <v/>
      </c>
      <c r="L121" s="121">
        <f>AL122</f>
        <v>0</v>
      </c>
      <c r="M121" s="121">
        <f>AJ122</f>
        <v>0</v>
      </c>
      <c r="N121" s="84"/>
      <c r="O121" s="84">
        <f>IFERROR(VLOOKUP($B121, 'DAY 2 SCORES'!$B:$H, 4, FALSE), 0)</f>
        <v>0</v>
      </c>
      <c r="Q121" s="233" t="str">
        <f>IF(B121="", "", E121+K121)</f>
        <v/>
      </c>
      <c r="R121" s="233" t="str">
        <f t="shared" si="3"/>
        <v/>
      </c>
      <c r="S121" s="287"/>
      <c r="T121" s="287"/>
      <c r="U121" s="287" t="str">
        <f t="shared" si="4"/>
        <v/>
      </c>
      <c r="W121" s="83">
        <f t="shared" si="5"/>
        <v>999</v>
      </c>
      <c r="AE121" s="83" t="str">
        <v/>
      </c>
      <c r="AF121" s="83" t="str">
        <v/>
      </c>
      <c r="AG121" s="83">
        <v>0</v>
      </c>
      <c r="AH121" s="83">
        <v>0</v>
      </c>
      <c r="AI121" s="83">
        <v>0</v>
      </c>
      <c r="AJ121" s="83">
        <v>0</v>
      </c>
      <c r="AK121" s="83">
        <v>0</v>
      </c>
      <c r="AL121" s="83">
        <v>0</v>
      </c>
      <c r="AM121" s="83">
        <v>0</v>
      </c>
      <c r="AN121" s="83">
        <v>14400</v>
      </c>
      <c r="AO121" s="83">
        <v>14400</v>
      </c>
      <c r="AP121" s="83">
        <v>999</v>
      </c>
    </row>
    <row r="122" spans="1:42" ht="24.75" customHeight="1">
      <c r="B122" s="122"/>
      <c r="C122" s="122"/>
      <c r="D122" s="277"/>
      <c r="E122" s="122"/>
      <c r="F122" s="122"/>
      <c r="G122" s="122"/>
      <c r="I122" s="122"/>
      <c r="J122" s="277"/>
      <c r="K122" s="122"/>
      <c r="L122" s="122"/>
      <c r="M122" s="122"/>
      <c r="O122" s="85" t="s">
        <v>112</v>
      </c>
      <c r="Q122" s="122"/>
      <c r="R122" s="122"/>
      <c r="AE122" s="83" t="str">
        <v/>
      </c>
      <c r="AF122" s="83" t="str">
        <v/>
      </c>
      <c r="AG122" s="83">
        <v>0</v>
      </c>
      <c r="AH122" s="83">
        <v>0</v>
      </c>
      <c r="AI122" s="83">
        <v>0</v>
      </c>
      <c r="AJ122" s="83">
        <v>0</v>
      </c>
      <c r="AK122" s="83">
        <v>0</v>
      </c>
      <c r="AL122" s="83">
        <v>0</v>
      </c>
      <c r="AM122" s="83">
        <v>0</v>
      </c>
      <c r="AN122" s="83">
        <v>14400</v>
      </c>
      <c r="AO122" s="83">
        <v>14400</v>
      </c>
      <c r="AP122" s="83">
        <v>999</v>
      </c>
    </row>
    <row r="123" spans="1:42" ht="24.75" customHeight="1">
      <c r="B123" s="122"/>
      <c r="C123" s="122"/>
      <c r="D123" s="277"/>
      <c r="E123" s="122"/>
      <c r="F123" s="122"/>
      <c r="G123" s="122"/>
      <c r="I123" s="122"/>
      <c r="J123" s="277"/>
      <c r="K123" s="122"/>
      <c r="L123" s="122"/>
      <c r="M123" s="122"/>
      <c r="Q123" s="122"/>
      <c r="R123" s="122"/>
      <c r="AE123" s="83">
        <v>0</v>
      </c>
      <c r="AF123" s="83">
        <v>0</v>
      </c>
      <c r="AG123" s="83">
        <v>0</v>
      </c>
      <c r="AH123" s="83">
        <v>0</v>
      </c>
      <c r="AI123" s="83">
        <v>0</v>
      </c>
      <c r="AJ123" s="83">
        <v>0</v>
      </c>
      <c r="AK123" s="83">
        <v>0</v>
      </c>
      <c r="AL123" s="83">
        <v>0</v>
      </c>
      <c r="AM123" s="83">
        <v>0</v>
      </c>
      <c r="AN123" s="83">
        <v>0</v>
      </c>
      <c r="AO123" s="83">
        <v>0</v>
      </c>
      <c r="AP123" s="83">
        <v>0</v>
      </c>
    </row>
    <row r="124" spans="1:42" ht="24.75" customHeight="1">
      <c r="B124" s="122"/>
      <c r="C124" s="122"/>
      <c r="D124" s="277"/>
      <c r="E124" s="122"/>
      <c r="F124" s="122"/>
      <c r="G124" s="122"/>
      <c r="I124" s="122"/>
      <c r="J124" s="277"/>
      <c r="K124" s="122"/>
      <c r="L124" s="122"/>
      <c r="M124" s="122"/>
      <c r="Q124" s="122"/>
      <c r="R124" s="122"/>
    </row>
    <row r="125" spans="1:42" ht="24.75" customHeight="1">
      <c r="B125" s="122"/>
      <c r="C125" s="122"/>
      <c r="D125" s="277"/>
      <c r="E125" s="122"/>
      <c r="F125" s="122"/>
      <c r="G125" s="122"/>
      <c r="I125" s="122"/>
      <c r="J125" s="277"/>
      <c r="K125" s="122"/>
      <c r="L125" s="122"/>
      <c r="M125" s="122"/>
      <c r="Q125" s="122"/>
      <c r="R125" s="122"/>
    </row>
    <row r="126" spans="1:42" ht="24.75" customHeight="1">
      <c r="B126" s="122"/>
      <c r="C126" s="122"/>
      <c r="D126" s="277"/>
      <c r="E126" s="122"/>
      <c r="F126" s="122"/>
      <c r="G126" s="122"/>
      <c r="I126" s="122"/>
      <c r="J126" s="277"/>
      <c r="K126" s="122"/>
      <c r="L126" s="122"/>
      <c r="M126" s="122"/>
      <c r="Q126" s="122"/>
      <c r="R126" s="122"/>
    </row>
    <row r="127" spans="1:42" ht="24.75" customHeight="1">
      <c r="B127" s="122"/>
      <c r="C127" s="122"/>
      <c r="D127" s="277"/>
      <c r="E127" s="122"/>
      <c r="F127" s="122"/>
      <c r="G127" s="122"/>
      <c r="I127" s="122"/>
      <c r="J127" s="277"/>
      <c r="K127" s="122"/>
      <c r="L127" s="122"/>
      <c r="M127" s="122"/>
      <c r="Q127" s="122"/>
      <c r="R127" s="122"/>
    </row>
    <row r="128" spans="1:42" ht="24.75" customHeight="1">
      <c r="B128" s="122"/>
      <c r="C128" s="122"/>
      <c r="D128" s="277"/>
      <c r="E128" s="122"/>
      <c r="F128" s="122"/>
      <c r="G128" s="122"/>
      <c r="I128" s="122"/>
      <c r="J128" s="277"/>
      <c r="K128" s="122"/>
      <c r="L128" s="122"/>
      <c r="M128" s="122"/>
      <c r="Q128" s="122"/>
      <c r="R128" s="122"/>
    </row>
    <row r="129" spans="2:18" ht="24.75" customHeight="1">
      <c r="B129" s="122"/>
      <c r="C129" s="122"/>
      <c r="D129" s="277"/>
      <c r="E129" s="122"/>
      <c r="F129" s="122"/>
      <c r="G129" s="122"/>
      <c r="I129" s="122"/>
      <c r="J129" s="277"/>
      <c r="K129" s="122"/>
      <c r="L129" s="122"/>
      <c r="M129" s="122"/>
      <c r="Q129" s="122"/>
      <c r="R129" s="122"/>
    </row>
    <row r="130" spans="2:18" ht="24.75" customHeight="1">
      <c r="B130" s="122"/>
      <c r="C130" s="122"/>
      <c r="D130" s="277"/>
      <c r="E130" s="122"/>
      <c r="F130" s="122"/>
      <c r="G130" s="122"/>
      <c r="I130" s="122"/>
      <c r="J130" s="277"/>
      <c r="K130" s="122"/>
      <c r="L130" s="122"/>
      <c r="M130" s="122"/>
      <c r="Q130" s="122"/>
      <c r="R130" s="122"/>
    </row>
    <row r="131" spans="2:18" ht="24.75" customHeight="1">
      <c r="B131" s="122"/>
      <c r="C131" s="122"/>
      <c r="D131" s="277"/>
      <c r="E131" s="122"/>
      <c r="F131" s="122"/>
      <c r="G131" s="122"/>
      <c r="I131" s="122"/>
      <c r="J131" s="277"/>
      <c r="K131" s="122"/>
      <c r="L131" s="122"/>
      <c r="M131" s="122"/>
      <c r="Q131" s="122"/>
      <c r="R131" s="122"/>
    </row>
    <row r="132" spans="2:18" ht="24.75" customHeight="1">
      <c r="B132" s="122"/>
      <c r="C132" s="122"/>
      <c r="D132" s="277"/>
      <c r="E132" s="122"/>
      <c r="F132" s="122"/>
      <c r="G132" s="122"/>
      <c r="I132" s="122"/>
      <c r="J132" s="277"/>
      <c r="K132" s="122"/>
      <c r="L132" s="122"/>
      <c r="M132" s="122"/>
      <c r="Q132" s="122"/>
      <c r="R132" s="122"/>
    </row>
    <row r="133" spans="2:18" ht="24.75" customHeight="1">
      <c r="B133" s="122"/>
      <c r="C133" s="122"/>
      <c r="D133" s="277"/>
      <c r="E133" s="122"/>
      <c r="F133" s="122"/>
      <c r="G133" s="122"/>
      <c r="I133" s="122"/>
      <c r="J133" s="277"/>
      <c r="K133" s="122"/>
      <c r="L133" s="122"/>
      <c r="M133" s="122"/>
      <c r="Q133" s="122"/>
      <c r="R133" s="122"/>
    </row>
    <row r="134" spans="2:18" ht="24.75" customHeight="1">
      <c r="B134" s="122"/>
      <c r="C134" s="122"/>
      <c r="D134" s="277"/>
      <c r="E134" s="122"/>
      <c r="F134" s="122"/>
      <c r="G134" s="122"/>
      <c r="I134" s="122"/>
      <c r="J134" s="277"/>
      <c r="K134" s="122"/>
      <c r="L134" s="122"/>
      <c r="M134" s="122"/>
      <c r="Q134" s="122"/>
      <c r="R134" s="122"/>
    </row>
    <row r="135" spans="2:18" ht="24.75" customHeight="1">
      <c r="B135" s="122"/>
      <c r="C135" s="122"/>
      <c r="D135" s="277"/>
      <c r="E135" s="122"/>
      <c r="F135" s="122"/>
      <c r="G135" s="122"/>
      <c r="I135" s="122"/>
      <c r="J135" s="277"/>
      <c r="K135" s="122"/>
      <c r="L135" s="122"/>
      <c r="M135" s="122"/>
      <c r="Q135" s="122"/>
      <c r="R135" s="122"/>
    </row>
  </sheetData>
  <sheetProtection sheet="1" objects="1" scenarios="1"/>
  <mergeCells count="4">
    <mergeCell ref="K1:N1"/>
    <mergeCell ref="B1:B2"/>
    <mergeCell ref="C1:C2"/>
    <mergeCell ref="E1:I1"/>
  </mergeCells>
  <pageMargins left="0.25" right="0.25" top="0.75" bottom="0.75" header="0.3" footer="0.3"/>
  <pageSetup paperSize="9" fitToHeight="0" orientation="landscape"/>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F1A220-4838-4098-9CAC-5F513F288623}">
  <dimension ref="A1"/>
  <sheetViews>
    <sheetView workbookViewId="0">
      <selection activeCell="E14" sqref="E14"/>
    </sheetView>
  </sheetViews>
  <sheetFormatPr defaultRowHeight="12.75"/>
  <cols>
    <col min="1" max="1" width="36.5703125" bestFit="1" customWidth="1"/>
  </cols>
  <sheetData>
    <row r="1" spans="1:1">
      <c r="A1" s="81"/>
    </row>
  </sheetData>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938F856-B29A-4FA6-B17F-4C694F6AEDE3}">
  <dimension ref="A1:F150"/>
  <sheetViews>
    <sheetView workbookViewId="0">
      <selection activeCell="G1" sqref="G1"/>
    </sheetView>
  </sheetViews>
  <sheetFormatPr defaultRowHeight="12.75"/>
  <cols>
    <col min="1" max="1" width="15.5703125" bestFit="1" customWidth="1"/>
    <col min="2" max="2" width="15.5703125" customWidth="1"/>
    <col min="3" max="4" width="13.7109375" bestFit="1" customWidth="1"/>
    <col min="5" max="5" width="21.42578125" customWidth="1"/>
    <col min="6" max="6" width="34.140625" bestFit="1" customWidth="1"/>
  </cols>
  <sheetData>
    <row r="1" spans="1:6">
      <c r="A1" t="s">
        <v>113</v>
      </c>
      <c r="B1" t="s">
        <v>63</v>
      </c>
      <c r="C1" t="s">
        <v>114</v>
      </c>
      <c r="D1" t="s">
        <v>115</v>
      </c>
      <c r="E1" t="s">
        <v>73</v>
      </c>
      <c r="F1" t="s">
        <v>116</v>
      </c>
    </row>
    <row r="2" spans="1:6">
      <c r="A2" t="str">
        <f>REGISTRATION!B2</f>
        <v/>
      </c>
      <c r="B2" t="str">
        <f>REGISTRATION!C2</f>
        <v/>
      </c>
      <c r="C2">
        <f>IFERROR(VLOOKUP(A2, 'DAY 1 SCORES'!$B$4:$H$152, 7, FALSE), 12)</f>
        <v>120</v>
      </c>
      <c r="D2">
        <f>IFERROR(VLOOKUP(A2, 'DAY 2 SCORES'!$B$4:$H$152, 7, FALSE), 12)</f>
        <v>120</v>
      </c>
      <c r="E2">
        <f>C2+D2</f>
        <v>240</v>
      </c>
      <c r="F2">
        <f>IFERROR(VLOOKUP(A2, 'DAY 1 SCORES'!$B$4:$H$152, 3, FALSE), 0) + IFERROR(VLOOKUP(A2, 'DAY 2 SCORES'!$B$4:$H$152, 3, FALSE), 0)</f>
        <v>0</v>
      </c>
    </row>
    <row r="3" spans="1:6">
      <c r="A3" t="str">
        <f>REGISTRATION!B3</f>
        <v/>
      </c>
      <c r="B3" t="str">
        <f>REGISTRATION!C3</f>
        <v/>
      </c>
      <c r="C3">
        <f>IFERROR(VLOOKUP(A3, 'DAY 1 SCORES'!$B$4:$H$152, 7, FALSE), 12)</f>
        <v>120</v>
      </c>
      <c r="D3">
        <f>IFERROR(VLOOKUP(A3, 'DAY 2 SCORES'!$B$4:$H$152, 7, FALSE), 12)</f>
        <v>120</v>
      </c>
      <c r="E3">
        <f t="shared" ref="E3:E66" si="0">C3+D3</f>
        <v>240</v>
      </c>
      <c r="F3">
        <f>IFERROR(VLOOKUP(A3, 'DAY 1 SCORES'!$B$4:$H$152, 3, FALSE), 0) + IFERROR(VLOOKUP(A3, 'DAY 2 SCORES'!$B$4:$H$152, 3, FALSE), 0)</f>
        <v>0</v>
      </c>
    </row>
    <row r="4" spans="1:6">
      <c r="A4" t="str">
        <f>REGISTRATION!B4</f>
        <v/>
      </c>
      <c r="B4" t="str">
        <f>REGISTRATION!C4</f>
        <v/>
      </c>
      <c r="C4">
        <f>IFERROR(VLOOKUP(A4, 'DAY 1 SCORES'!$B$4:$H$152, 7, FALSE), 12)</f>
        <v>120</v>
      </c>
      <c r="D4">
        <f>IFERROR(VLOOKUP(A4, 'DAY 2 SCORES'!$B$4:$H$152, 7, FALSE), 12)</f>
        <v>120</v>
      </c>
      <c r="E4">
        <f t="shared" si="0"/>
        <v>240</v>
      </c>
      <c r="F4">
        <f>IFERROR(VLOOKUP(A4, 'DAY 1 SCORES'!$B$4:$H$152, 3, FALSE), 0) + IFERROR(VLOOKUP(A4, 'DAY 2 SCORES'!$B$4:$H$152, 3, FALSE), 0)</f>
        <v>0</v>
      </c>
    </row>
    <row r="5" spans="1:6">
      <c r="A5" t="str">
        <f>REGISTRATION!B5</f>
        <v/>
      </c>
      <c r="B5" t="str">
        <f>REGISTRATION!C5</f>
        <v/>
      </c>
      <c r="C5">
        <f>IFERROR(VLOOKUP(A5, 'DAY 1 SCORES'!$B$4:$H$152, 7, FALSE), 12)</f>
        <v>120</v>
      </c>
      <c r="D5">
        <f>IFERROR(VLOOKUP(A5, 'DAY 2 SCORES'!$B$4:$H$152, 7, FALSE), 12)</f>
        <v>120</v>
      </c>
      <c r="E5">
        <f t="shared" si="0"/>
        <v>240</v>
      </c>
      <c r="F5">
        <f>IFERROR(VLOOKUP(A5, 'DAY 1 SCORES'!$B$4:$H$152, 3, FALSE), 0) + IFERROR(VLOOKUP(A5, 'DAY 2 SCORES'!$B$4:$H$152, 3, FALSE), 0)</f>
        <v>0</v>
      </c>
    </row>
    <row r="6" spans="1:6">
      <c r="A6" t="str">
        <f>REGISTRATION!B6</f>
        <v/>
      </c>
      <c r="B6" t="str">
        <f>REGISTRATION!C6</f>
        <v/>
      </c>
      <c r="C6">
        <f>IFERROR(VLOOKUP(A6, 'DAY 1 SCORES'!$B$4:$H$152, 7, FALSE), 12)</f>
        <v>120</v>
      </c>
      <c r="D6">
        <f>IFERROR(VLOOKUP(A6, 'DAY 2 SCORES'!$B$4:$H$152, 7, FALSE), 12)</f>
        <v>120</v>
      </c>
      <c r="E6">
        <f t="shared" si="0"/>
        <v>240</v>
      </c>
      <c r="F6">
        <f>IFERROR(VLOOKUP(A6, 'DAY 1 SCORES'!$B$4:$H$152, 3, FALSE), 0) + IFERROR(VLOOKUP(A6, 'DAY 2 SCORES'!$B$4:$H$152, 3, FALSE), 0)</f>
        <v>0</v>
      </c>
    </row>
    <row r="7" spans="1:6">
      <c r="A7" t="str">
        <f>REGISTRATION!B7</f>
        <v/>
      </c>
      <c r="B7" t="str">
        <f>REGISTRATION!C7</f>
        <v/>
      </c>
      <c r="C7">
        <f>IFERROR(VLOOKUP(A7, 'DAY 1 SCORES'!$B$4:$H$152, 7, FALSE), 12)</f>
        <v>120</v>
      </c>
      <c r="D7">
        <f>IFERROR(VLOOKUP(A7, 'DAY 2 SCORES'!$B$4:$H$152, 7, FALSE), 12)</f>
        <v>120</v>
      </c>
      <c r="E7">
        <f t="shared" si="0"/>
        <v>240</v>
      </c>
      <c r="F7">
        <f>IFERROR(VLOOKUP(A7, 'DAY 1 SCORES'!$B$4:$H$152, 3, FALSE), 0) + IFERROR(VLOOKUP(A7, 'DAY 2 SCORES'!$B$4:$H$152, 3, FALSE), 0)</f>
        <v>0</v>
      </c>
    </row>
    <row r="8" spans="1:6">
      <c r="A8" t="str">
        <f>REGISTRATION!B8</f>
        <v/>
      </c>
      <c r="B8" t="str">
        <f>REGISTRATION!C8</f>
        <v/>
      </c>
      <c r="C8">
        <f>IFERROR(VLOOKUP(A8, 'DAY 1 SCORES'!$B$4:$H$152, 7, FALSE), 12)</f>
        <v>120</v>
      </c>
      <c r="D8">
        <f>IFERROR(VLOOKUP(A8, 'DAY 2 SCORES'!$B$4:$H$152, 7, FALSE), 12)</f>
        <v>120</v>
      </c>
      <c r="E8">
        <f t="shared" si="0"/>
        <v>240</v>
      </c>
      <c r="F8">
        <f>IFERROR(VLOOKUP(A8, 'DAY 1 SCORES'!$B$4:$H$152, 3, FALSE), 0) + IFERROR(VLOOKUP(A8, 'DAY 2 SCORES'!$B$4:$H$152, 3, FALSE), 0)</f>
        <v>0</v>
      </c>
    </row>
    <row r="9" spans="1:6">
      <c r="A9" t="str">
        <f>REGISTRATION!B9</f>
        <v/>
      </c>
      <c r="B9" t="str">
        <f>REGISTRATION!C9</f>
        <v/>
      </c>
      <c r="C9">
        <f>IFERROR(VLOOKUP(A9, 'DAY 1 SCORES'!$B$4:$H$152, 7, FALSE), 12)</f>
        <v>120</v>
      </c>
      <c r="D9">
        <f>IFERROR(VLOOKUP(A9, 'DAY 2 SCORES'!$B$4:$H$152, 7, FALSE), 12)</f>
        <v>120</v>
      </c>
      <c r="E9">
        <f t="shared" si="0"/>
        <v>240</v>
      </c>
      <c r="F9">
        <f>IFERROR(VLOOKUP(A9, 'DAY 1 SCORES'!$B$4:$H$152, 3, FALSE), 0) + IFERROR(VLOOKUP(A9, 'DAY 2 SCORES'!$B$4:$H$152, 3, FALSE), 0)</f>
        <v>0</v>
      </c>
    </row>
    <row r="10" spans="1:6">
      <c r="A10" t="str">
        <f>REGISTRATION!B10</f>
        <v/>
      </c>
      <c r="B10" t="str">
        <f>REGISTRATION!C10</f>
        <v/>
      </c>
      <c r="C10">
        <f>IFERROR(VLOOKUP(A10, 'DAY 1 SCORES'!$B$4:$H$152, 7, FALSE), 12)</f>
        <v>120</v>
      </c>
      <c r="D10">
        <f>IFERROR(VLOOKUP(A10, 'DAY 2 SCORES'!$B$4:$H$152, 7, FALSE), 12)</f>
        <v>120</v>
      </c>
      <c r="E10">
        <f t="shared" si="0"/>
        <v>240</v>
      </c>
      <c r="F10">
        <f>IFERROR(VLOOKUP(A10, 'DAY 1 SCORES'!$B$4:$H$152, 3, FALSE), 0) + IFERROR(VLOOKUP(A10, 'DAY 2 SCORES'!$B$4:$H$152, 3, FALSE), 0)</f>
        <v>0</v>
      </c>
    </row>
    <row r="11" spans="1:6">
      <c r="A11" t="str">
        <f>REGISTRATION!B11</f>
        <v/>
      </c>
      <c r="B11" t="str">
        <f>REGISTRATION!C11</f>
        <v/>
      </c>
      <c r="C11">
        <f>IFERROR(VLOOKUP(A11, 'DAY 1 SCORES'!$B$4:$H$152, 7, FALSE), 12)</f>
        <v>120</v>
      </c>
      <c r="D11">
        <f>IFERROR(VLOOKUP(A11, 'DAY 2 SCORES'!$B$4:$H$152, 7, FALSE), 12)</f>
        <v>120</v>
      </c>
      <c r="E11">
        <f t="shared" si="0"/>
        <v>240</v>
      </c>
      <c r="F11">
        <f>IFERROR(VLOOKUP(A11, 'DAY 1 SCORES'!$B$4:$H$152, 3, FALSE), 0) + IFERROR(VLOOKUP(A11, 'DAY 2 SCORES'!$B$4:$H$152, 3, FALSE), 0)</f>
        <v>0</v>
      </c>
    </row>
    <row r="12" spans="1:6">
      <c r="A12" t="str">
        <f>REGISTRATION!B12</f>
        <v/>
      </c>
      <c r="B12" t="str">
        <f>REGISTRATION!C12</f>
        <v/>
      </c>
      <c r="C12">
        <f>IFERROR(VLOOKUP(A12, 'DAY 1 SCORES'!$B$4:$H$152, 7, FALSE), 12)</f>
        <v>120</v>
      </c>
      <c r="D12">
        <f>IFERROR(VLOOKUP(A12, 'DAY 2 SCORES'!$B$4:$H$152, 7, FALSE), 12)</f>
        <v>120</v>
      </c>
      <c r="E12">
        <f t="shared" si="0"/>
        <v>240</v>
      </c>
      <c r="F12">
        <f>IFERROR(VLOOKUP(A12, 'DAY 1 SCORES'!$B$4:$H$152, 3, FALSE), 0) + IFERROR(VLOOKUP(A12, 'DAY 2 SCORES'!$B$4:$H$152, 3, FALSE), 0)</f>
        <v>0</v>
      </c>
    </row>
    <row r="13" spans="1:6">
      <c r="A13" t="str">
        <f>REGISTRATION!B13</f>
        <v/>
      </c>
      <c r="B13" t="str">
        <f>REGISTRATION!C13</f>
        <v/>
      </c>
      <c r="C13">
        <f>IFERROR(VLOOKUP(A13, 'DAY 1 SCORES'!$B$4:$H$152, 7, FALSE), 12)</f>
        <v>120</v>
      </c>
      <c r="D13">
        <f>IFERROR(VLOOKUP(A13, 'DAY 2 SCORES'!$B$4:$H$152, 7, FALSE), 12)</f>
        <v>120</v>
      </c>
      <c r="E13">
        <f t="shared" si="0"/>
        <v>240</v>
      </c>
      <c r="F13">
        <f>IFERROR(VLOOKUP(A13, 'DAY 1 SCORES'!$B$4:$H$152, 3, FALSE), 0) + IFERROR(VLOOKUP(A13, 'DAY 2 SCORES'!$B$4:$H$152, 3, FALSE), 0)</f>
        <v>0</v>
      </c>
    </row>
    <row r="14" spans="1:6">
      <c r="A14" t="str">
        <f>REGISTRATION!B14</f>
        <v/>
      </c>
      <c r="B14" t="str">
        <f>REGISTRATION!C14</f>
        <v/>
      </c>
      <c r="C14">
        <f>IFERROR(VLOOKUP(A14, 'DAY 1 SCORES'!$B$4:$H$152, 7, FALSE), 12)</f>
        <v>120</v>
      </c>
      <c r="D14">
        <f>IFERROR(VLOOKUP(A14, 'DAY 2 SCORES'!$B$4:$H$152, 7, FALSE), 12)</f>
        <v>120</v>
      </c>
      <c r="E14">
        <f t="shared" si="0"/>
        <v>240</v>
      </c>
      <c r="F14">
        <f>IFERROR(VLOOKUP(A14, 'DAY 1 SCORES'!$B$4:$H$152, 3, FALSE), 0) + IFERROR(VLOOKUP(A14, 'DAY 2 SCORES'!$B$4:$H$152, 3, FALSE), 0)</f>
        <v>0</v>
      </c>
    </row>
    <row r="15" spans="1:6">
      <c r="A15" t="str">
        <f>REGISTRATION!B15</f>
        <v/>
      </c>
      <c r="B15" t="str">
        <f>REGISTRATION!C15</f>
        <v/>
      </c>
      <c r="C15">
        <f>IFERROR(VLOOKUP(A15, 'DAY 1 SCORES'!$B$4:$H$152, 7, FALSE), 12)</f>
        <v>120</v>
      </c>
      <c r="D15">
        <f>IFERROR(VLOOKUP(A15, 'DAY 2 SCORES'!$B$4:$H$152, 7, FALSE), 12)</f>
        <v>120</v>
      </c>
      <c r="E15">
        <f t="shared" si="0"/>
        <v>240</v>
      </c>
      <c r="F15">
        <f>IFERROR(VLOOKUP(A15, 'DAY 1 SCORES'!$B$4:$H$152, 3, FALSE), 0) + IFERROR(VLOOKUP(A15, 'DAY 2 SCORES'!$B$4:$H$152, 3, FALSE), 0)</f>
        <v>0</v>
      </c>
    </row>
    <row r="16" spans="1:6">
      <c r="A16" t="str">
        <f>REGISTRATION!B16</f>
        <v/>
      </c>
      <c r="B16" t="str">
        <f>REGISTRATION!C16</f>
        <v/>
      </c>
      <c r="C16">
        <f>IFERROR(VLOOKUP(A16, 'DAY 1 SCORES'!$B$4:$H$152, 7, FALSE), 12)</f>
        <v>120</v>
      </c>
      <c r="D16">
        <f>IFERROR(VLOOKUP(A16, 'DAY 2 SCORES'!$B$4:$H$152, 7, FALSE), 12)</f>
        <v>120</v>
      </c>
      <c r="E16">
        <f t="shared" si="0"/>
        <v>240</v>
      </c>
      <c r="F16">
        <f>IFERROR(VLOOKUP(A16, 'DAY 1 SCORES'!$B$4:$H$152, 3, FALSE), 0) + IFERROR(VLOOKUP(A16, 'DAY 2 SCORES'!$B$4:$H$152, 3, FALSE), 0)</f>
        <v>0</v>
      </c>
    </row>
    <row r="17" spans="1:6">
      <c r="A17" t="str">
        <f>REGISTRATION!B17</f>
        <v/>
      </c>
      <c r="B17" t="str">
        <f>REGISTRATION!C17</f>
        <v/>
      </c>
      <c r="C17">
        <f>IFERROR(VLOOKUP(A17, 'DAY 1 SCORES'!$B$4:$H$152, 7, FALSE), 12)</f>
        <v>120</v>
      </c>
      <c r="D17">
        <f>IFERROR(VLOOKUP(A17, 'DAY 2 SCORES'!$B$4:$H$152, 7, FALSE), 12)</f>
        <v>120</v>
      </c>
      <c r="E17">
        <f t="shared" si="0"/>
        <v>240</v>
      </c>
      <c r="F17">
        <f>IFERROR(VLOOKUP(A17, 'DAY 1 SCORES'!$B$4:$H$152, 3, FALSE), 0) + IFERROR(VLOOKUP(A17, 'DAY 2 SCORES'!$B$4:$H$152, 3, FALSE), 0)</f>
        <v>0</v>
      </c>
    </row>
    <row r="18" spans="1:6">
      <c r="A18" t="str">
        <f>REGISTRATION!B18</f>
        <v/>
      </c>
      <c r="B18" t="str">
        <f>REGISTRATION!C18</f>
        <v/>
      </c>
      <c r="C18">
        <f>IFERROR(VLOOKUP(A18, 'DAY 1 SCORES'!$B$4:$H$152, 7, FALSE), 12)</f>
        <v>120</v>
      </c>
      <c r="D18">
        <f>IFERROR(VLOOKUP(A18, 'DAY 2 SCORES'!$B$4:$H$152, 7, FALSE), 12)</f>
        <v>120</v>
      </c>
      <c r="E18">
        <f t="shared" si="0"/>
        <v>240</v>
      </c>
      <c r="F18">
        <f>IFERROR(VLOOKUP(A18, 'DAY 1 SCORES'!$B$4:$H$152, 3, FALSE), 0) + IFERROR(VLOOKUP(A18, 'DAY 2 SCORES'!$B$4:$H$152, 3, FALSE), 0)</f>
        <v>0</v>
      </c>
    </row>
    <row r="19" spans="1:6">
      <c r="A19" t="str">
        <f>REGISTRATION!B19</f>
        <v/>
      </c>
      <c r="B19" t="str">
        <f>REGISTRATION!C19</f>
        <v/>
      </c>
      <c r="C19">
        <f>IFERROR(VLOOKUP(A19, 'DAY 1 SCORES'!$B$4:$H$152, 7, FALSE), 12)</f>
        <v>120</v>
      </c>
      <c r="D19">
        <f>IFERROR(VLOOKUP(A19, 'DAY 2 SCORES'!$B$4:$H$152, 7, FALSE), 12)</f>
        <v>120</v>
      </c>
      <c r="E19">
        <f t="shared" si="0"/>
        <v>240</v>
      </c>
      <c r="F19">
        <f>IFERROR(VLOOKUP(A19, 'DAY 1 SCORES'!$B$4:$H$152, 3, FALSE), 0) + IFERROR(VLOOKUP(A19, 'DAY 2 SCORES'!$B$4:$H$152, 3, FALSE), 0)</f>
        <v>0</v>
      </c>
    </row>
    <row r="20" spans="1:6">
      <c r="A20" t="str">
        <f>REGISTRATION!B20</f>
        <v/>
      </c>
      <c r="B20" t="str">
        <f>REGISTRATION!C20</f>
        <v/>
      </c>
      <c r="C20">
        <f>IFERROR(VLOOKUP(A20, 'DAY 1 SCORES'!$B$4:$H$152, 7, FALSE), 12)</f>
        <v>120</v>
      </c>
      <c r="D20">
        <f>IFERROR(VLOOKUP(A20, 'DAY 2 SCORES'!$B$4:$H$152, 7, FALSE), 12)</f>
        <v>120</v>
      </c>
      <c r="E20">
        <f t="shared" si="0"/>
        <v>240</v>
      </c>
      <c r="F20">
        <f>IFERROR(VLOOKUP(A20, 'DAY 1 SCORES'!$B$4:$H$152, 3, FALSE), 0) + IFERROR(VLOOKUP(A20, 'DAY 2 SCORES'!$B$4:$H$152, 3, FALSE), 0)</f>
        <v>0</v>
      </c>
    </row>
    <row r="21" spans="1:6">
      <c r="A21" t="str">
        <f>REGISTRATION!B21</f>
        <v/>
      </c>
      <c r="B21" t="str">
        <f>REGISTRATION!C21</f>
        <v/>
      </c>
      <c r="C21">
        <f>IFERROR(VLOOKUP(A21, 'DAY 1 SCORES'!$B$4:$H$152, 7, FALSE), 12)</f>
        <v>120</v>
      </c>
      <c r="D21">
        <f>IFERROR(VLOOKUP(A21, 'DAY 2 SCORES'!$B$4:$H$152, 7, FALSE), 12)</f>
        <v>120</v>
      </c>
      <c r="E21">
        <f t="shared" si="0"/>
        <v>240</v>
      </c>
      <c r="F21">
        <f>IFERROR(VLOOKUP(A21, 'DAY 1 SCORES'!$B$4:$H$152, 3, FALSE), 0) + IFERROR(VLOOKUP(A21, 'DAY 2 SCORES'!$B$4:$H$152, 3, FALSE), 0)</f>
        <v>0</v>
      </c>
    </row>
    <row r="22" spans="1:6">
      <c r="A22" t="str">
        <f>REGISTRATION!B22</f>
        <v/>
      </c>
      <c r="B22" t="str">
        <f>REGISTRATION!C22</f>
        <v/>
      </c>
      <c r="C22">
        <f>IFERROR(VLOOKUP(A22, 'DAY 1 SCORES'!$B$4:$H$152, 7, FALSE), 12)</f>
        <v>120</v>
      </c>
      <c r="D22">
        <f>IFERROR(VLOOKUP(A22, 'DAY 2 SCORES'!$B$4:$H$152, 7, FALSE), 12)</f>
        <v>120</v>
      </c>
      <c r="E22">
        <f t="shared" si="0"/>
        <v>240</v>
      </c>
      <c r="F22">
        <f>IFERROR(VLOOKUP(A22, 'DAY 1 SCORES'!$B$4:$H$152, 3, FALSE), 0) + IFERROR(VLOOKUP(A22, 'DAY 2 SCORES'!$B$4:$H$152, 3, FALSE), 0)</f>
        <v>0</v>
      </c>
    </row>
    <row r="23" spans="1:6">
      <c r="A23" t="str">
        <f>REGISTRATION!B23</f>
        <v/>
      </c>
      <c r="B23" t="str">
        <f>REGISTRATION!C23</f>
        <v/>
      </c>
      <c r="C23">
        <f>IFERROR(VLOOKUP(A23, 'DAY 1 SCORES'!$B$4:$H$152, 7, FALSE), 12)</f>
        <v>120</v>
      </c>
      <c r="D23">
        <f>IFERROR(VLOOKUP(A23, 'DAY 2 SCORES'!$B$4:$H$152, 7, FALSE), 12)</f>
        <v>120</v>
      </c>
      <c r="E23">
        <f t="shared" si="0"/>
        <v>240</v>
      </c>
      <c r="F23">
        <f>IFERROR(VLOOKUP(A23, 'DAY 1 SCORES'!$B$4:$H$152, 3, FALSE), 0) + IFERROR(VLOOKUP(A23, 'DAY 2 SCORES'!$B$4:$H$152, 3, FALSE), 0)</f>
        <v>0</v>
      </c>
    </row>
    <row r="24" spans="1:6">
      <c r="A24" t="str">
        <f>REGISTRATION!B24</f>
        <v/>
      </c>
      <c r="B24" t="str">
        <f>REGISTRATION!C24</f>
        <v/>
      </c>
      <c r="C24">
        <f>IFERROR(VLOOKUP(A24, 'DAY 1 SCORES'!$B$4:$H$152, 7, FALSE), 12)</f>
        <v>120</v>
      </c>
      <c r="D24">
        <f>IFERROR(VLOOKUP(A24, 'DAY 2 SCORES'!$B$4:$H$152, 7, FALSE), 12)</f>
        <v>120</v>
      </c>
      <c r="E24">
        <f t="shared" si="0"/>
        <v>240</v>
      </c>
      <c r="F24">
        <f>IFERROR(VLOOKUP(A24, 'DAY 1 SCORES'!$B$4:$H$152, 3, FALSE), 0) + IFERROR(VLOOKUP(A24, 'DAY 2 SCORES'!$B$4:$H$152, 3, FALSE), 0)</f>
        <v>0</v>
      </c>
    </row>
    <row r="25" spans="1:6">
      <c r="A25" t="str">
        <f>REGISTRATION!B25</f>
        <v/>
      </c>
      <c r="B25" t="str">
        <f>REGISTRATION!C25</f>
        <v/>
      </c>
      <c r="C25">
        <f>IFERROR(VLOOKUP(A25, 'DAY 1 SCORES'!$B$4:$H$152, 7, FALSE), 12)</f>
        <v>120</v>
      </c>
      <c r="D25">
        <f>IFERROR(VLOOKUP(A25, 'DAY 2 SCORES'!$B$4:$H$152, 7, FALSE), 12)</f>
        <v>120</v>
      </c>
      <c r="E25">
        <f t="shared" si="0"/>
        <v>240</v>
      </c>
      <c r="F25">
        <f>IFERROR(VLOOKUP(A25, 'DAY 1 SCORES'!$B$4:$H$152, 3, FALSE), 0) + IFERROR(VLOOKUP(A25, 'DAY 2 SCORES'!$B$4:$H$152, 3, FALSE), 0)</f>
        <v>0</v>
      </c>
    </row>
    <row r="26" spans="1:6">
      <c r="A26" t="str">
        <f>REGISTRATION!B26</f>
        <v/>
      </c>
      <c r="B26" t="str">
        <f>REGISTRATION!C26</f>
        <v/>
      </c>
      <c r="C26">
        <f>IFERROR(VLOOKUP(A26, 'DAY 1 SCORES'!$B$4:$H$152, 7, FALSE), 12)</f>
        <v>120</v>
      </c>
      <c r="D26">
        <f>IFERROR(VLOOKUP(A26, 'DAY 2 SCORES'!$B$4:$H$152, 7, FALSE), 12)</f>
        <v>120</v>
      </c>
      <c r="E26">
        <f t="shared" si="0"/>
        <v>240</v>
      </c>
      <c r="F26">
        <f>IFERROR(VLOOKUP(A26, 'DAY 1 SCORES'!$B$4:$H$152, 3, FALSE), 0) + IFERROR(VLOOKUP(A26, 'DAY 2 SCORES'!$B$4:$H$152, 3, FALSE), 0)</f>
        <v>0</v>
      </c>
    </row>
    <row r="27" spans="1:6">
      <c r="A27" t="str">
        <f>REGISTRATION!B27</f>
        <v/>
      </c>
      <c r="B27" t="str">
        <f>REGISTRATION!C27</f>
        <v/>
      </c>
      <c r="C27">
        <f>IFERROR(VLOOKUP(A27, 'DAY 1 SCORES'!$B$4:$H$152, 7, FALSE), 12)</f>
        <v>120</v>
      </c>
      <c r="D27">
        <f>IFERROR(VLOOKUP(A27, 'DAY 2 SCORES'!$B$4:$H$152, 7, FALSE), 12)</f>
        <v>120</v>
      </c>
      <c r="E27">
        <f t="shared" si="0"/>
        <v>240</v>
      </c>
      <c r="F27">
        <f>IFERROR(VLOOKUP(A27, 'DAY 1 SCORES'!$B$4:$H$152, 3, FALSE), 0) + IFERROR(VLOOKUP(A27, 'DAY 2 SCORES'!$B$4:$H$152, 3, FALSE), 0)</f>
        <v>0</v>
      </c>
    </row>
    <row r="28" spans="1:6">
      <c r="A28" t="str">
        <f>REGISTRATION!B28</f>
        <v/>
      </c>
      <c r="B28" t="str">
        <f>REGISTRATION!C28</f>
        <v/>
      </c>
      <c r="C28">
        <f>IFERROR(VLOOKUP(A28, 'DAY 1 SCORES'!$B$4:$H$152, 7, FALSE), 12)</f>
        <v>120</v>
      </c>
      <c r="D28">
        <f>IFERROR(VLOOKUP(A28, 'DAY 2 SCORES'!$B$4:$H$152, 7, FALSE), 12)</f>
        <v>120</v>
      </c>
      <c r="E28">
        <f t="shared" si="0"/>
        <v>240</v>
      </c>
      <c r="F28">
        <f>IFERROR(VLOOKUP(A28, 'DAY 1 SCORES'!$B$4:$H$152, 3, FALSE), 0) + IFERROR(VLOOKUP(A28, 'DAY 2 SCORES'!$B$4:$H$152, 3, FALSE), 0)</f>
        <v>0</v>
      </c>
    </row>
    <row r="29" spans="1:6">
      <c r="A29" t="str">
        <f>REGISTRATION!B29</f>
        <v/>
      </c>
      <c r="B29" t="str">
        <f>REGISTRATION!C29</f>
        <v/>
      </c>
      <c r="C29">
        <f>IFERROR(VLOOKUP(A29, 'DAY 1 SCORES'!$B$4:$H$152, 7, FALSE), 12)</f>
        <v>120</v>
      </c>
      <c r="D29">
        <f>IFERROR(VLOOKUP(A29, 'DAY 2 SCORES'!$B$4:$H$152, 7, FALSE), 12)</f>
        <v>120</v>
      </c>
      <c r="E29">
        <f t="shared" si="0"/>
        <v>240</v>
      </c>
      <c r="F29">
        <f>IFERROR(VLOOKUP(A29, 'DAY 1 SCORES'!$B$4:$H$152, 3, FALSE), 0) + IFERROR(VLOOKUP(A29, 'DAY 2 SCORES'!$B$4:$H$152, 3, FALSE), 0)</f>
        <v>0</v>
      </c>
    </row>
    <row r="30" spans="1:6">
      <c r="A30" t="str">
        <f>REGISTRATION!B30</f>
        <v/>
      </c>
      <c r="B30" t="str">
        <f>REGISTRATION!C30</f>
        <v/>
      </c>
      <c r="C30">
        <f>IFERROR(VLOOKUP(A30, 'DAY 1 SCORES'!$B$4:$H$152, 7, FALSE), 12)</f>
        <v>120</v>
      </c>
      <c r="D30">
        <f>IFERROR(VLOOKUP(A30, 'DAY 2 SCORES'!$B$4:$H$152, 7, FALSE), 12)</f>
        <v>120</v>
      </c>
      <c r="E30">
        <f t="shared" si="0"/>
        <v>240</v>
      </c>
      <c r="F30">
        <f>IFERROR(VLOOKUP(A30, 'DAY 1 SCORES'!$B$4:$H$152, 3, FALSE), 0) + IFERROR(VLOOKUP(A30, 'DAY 2 SCORES'!$B$4:$H$152, 3, FALSE), 0)</f>
        <v>0</v>
      </c>
    </row>
    <row r="31" spans="1:6">
      <c r="A31" t="str">
        <f>REGISTRATION!B31</f>
        <v/>
      </c>
      <c r="B31" t="str">
        <f>REGISTRATION!C31</f>
        <v/>
      </c>
      <c r="C31">
        <f>IFERROR(VLOOKUP(A31, 'DAY 1 SCORES'!$B$4:$H$152, 7, FALSE), 12)</f>
        <v>120</v>
      </c>
      <c r="D31">
        <f>IFERROR(VLOOKUP(A31, 'DAY 2 SCORES'!$B$4:$H$152, 7, FALSE), 12)</f>
        <v>120</v>
      </c>
      <c r="E31">
        <f t="shared" si="0"/>
        <v>240</v>
      </c>
      <c r="F31">
        <f>IFERROR(VLOOKUP(A31, 'DAY 1 SCORES'!$B$4:$H$152, 3, FALSE), 0) + IFERROR(VLOOKUP(A31, 'DAY 2 SCORES'!$B$4:$H$152, 3, FALSE), 0)</f>
        <v>0</v>
      </c>
    </row>
    <row r="32" spans="1:6">
      <c r="A32" t="str">
        <f>REGISTRATION!B32</f>
        <v/>
      </c>
      <c r="B32" t="str">
        <f>REGISTRATION!C32</f>
        <v/>
      </c>
      <c r="C32">
        <f>IFERROR(VLOOKUP(A32, 'DAY 1 SCORES'!$B$4:$H$152, 7, FALSE), 12)</f>
        <v>120</v>
      </c>
      <c r="D32">
        <f>IFERROR(VLOOKUP(A32, 'DAY 2 SCORES'!$B$4:$H$152, 7, FALSE), 12)</f>
        <v>120</v>
      </c>
      <c r="E32">
        <f t="shared" si="0"/>
        <v>240</v>
      </c>
      <c r="F32">
        <f>IFERROR(VLOOKUP(A32, 'DAY 1 SCORES'!$B$4:$H$152, 3, FALSE), 0) + IFERROR(VLOOKUP(A32, 'DAY 2 SCORES'!$B$4:$H$152, 3, FALSE), 0)</f>
        <v>0</v>
      </c>
    </row>
    <row r="33" spans="1:6">
      <c r="A33" t="str">
        <f>REGISTRATION!B33</f>
        <v/>
      </c>
      <c r="B33" t="str">
        <f>REGISTRATION!C33</f>
        <v/>
      </c>
      <c r="C33">
        <f>IFERROR(VLOOKUP(A33, 'DAY 1 SCORES'!$B$4:$H$152, 7, FALSE), 12)</f>
        <v>120</v>
      </c>
      <c r="D33">
        <f>IFERROR(VLOOKUP(A33, 'DAY 2 SCORES'!$B$4:$H$152, 7, FALSE), 12)</f>
        <v>120</v>
      </c>
      <c r="E33">
        <f t="shared" si="0"/>
        <v>240</v>
      </c>
      <c r="F33">
        <f>IFERROR(VLOOKUP(A33, 'DAY 1 SCORES'!$B$4:$H$152, 3, FALSE), 0) + IFERROR(VLOOKUP(A33, 'DAY 2 SCORES'!$B$4:$H$152, 3, FALSE), 0)</f>
        <v>0</v>
      </c>
    </row>
    <row r="34" spans="1:6">
      <c r="A34" t="str">
        <f>REGISTRATION!B34</f>
        <v/>
      </c>
      <c r="B34" t="str">
        <f>REGISTRATION!C34</f>
        <v/>
      </c>
      <c r="C34">
        <f>IFERROR(VLOOKUP(A34, 'DAY 1 SCORES'!$B$4:$H$152, 7, FALSE), 12)</f>
        <v>120</v>
      </c>
      <c r="D34">
        <f>IFERROR(VLOOKUP(A34, 'DAY 2 SCORES'!$B$4:$H$152, 7, FALSE), 12)</f>
        <v>120</v>
      </c>
      <c r="E34">
        <f t="shared" si="0"/>
        <v>240</v>
      </c>
      <c r="F34">
        <f>IFERROR(VLOOKUP(A34, 'DAY 1 SCORES'!$B$4:$H$152, 3, FALSE), 0) + IFERROR(VLOOKUP(A34, 'DAY 2 SCORES'!$B$4:$H$152, 3, FALSE), 0)</f>
        <v>0</v>
      </c>
    </row>
    <row r="35" spans="1:6">
      <c r="A35" t="str">
        <f>REGISTRATION!B35</f>
        <v/>
      </c>
      <c r="B35" t="str">
        <f>REGISTRATION!C35</f>
        <v/>
      </c>
      <c r="C35">
        <f>IFERROR(VLOOKUP(A35, 'DAY 1 SCORES'!$B$4:$H$152, 7, FALSE), 12)</f>
        <v>120</v>
      </c>
      <c r="D35">
        <f>IFERROR(VLOOKUP(A35, 'DAY 2 SCORES'!$B$4:$H$152, 7, FALSE), 12)</f>
        <v>120</v>
      </c>
      <c r="E35">
        <f t="shared" si="0"/>
        <v>240</v>
      </c>
      <c r="F35">
        <f>IFERROR(VLOOKUP(A35, 'DAY 1 SCORES'!$B$4:$H$152, 3, FALSE), 0) + IFERROR(VLOOKUP(A35, 'DAY 2 SCORES'!$B$4:$H$152, 3, FALSE), 0)</f>
        <v>0</v>
      </c>
    </row>
    <row r="36" spans="1:6">
      <c r="A36" t="str">
        <f>REGISTRATION!B36</f>
        <v/>
      </c>
      <c r="B36" t="str">
        <f>REGISTRATION!C36</f>
        <v/>
      </c>
      <c r="C36">
        <f>IFERROR(VLOOKUP(A36, 'DAY 1 SCORES'!$B$4:$H$152, 7, FALSE), 12)</f>
        <v>120</v>
      </c>
      <c r="D36">
        <f>IFERROR(VLOOKUP(A36, 'DAY 2 SCORES'!$B$4:$H$152, 7, FALSE), 12)</f>
        <v>120</v>
      </c>
      <c r="E36">
        <f t="shared" si="0"/>
        <v>240</v>
      </c>
      <c r="F36">
        <f>IFERROR(VLOOKUP(A36, 'DAY 1 SCORES'!$B$4:$H$152, 3, FALSE), 0) + IFERROR(VLOOKUP(A36, 'DAY 2 SCORES'!$B$4:$H$152, 3, FALSE), 0)</f>
        <v>0</v>
      </c>
    </row>
    <row r="37" spans="1:6">
      <c r="A37" t="str">
        <f>REGISTRATION!B37</f>
        <v/>
      </c>
      <c r="B37" t="str">
        <f>REGISTRATION!C37</f>
        <v/>
      </c>
      <c r="C37">
        <f>IFERROR(VLOOKUP(A37, 'DAY 1 SCORES'!$B$4:$H$152, 7, FALSE), 12)</f>
        <v>120</v>
      </c>
      <c r="D37">
        <f>IFERROR(VLOOKUP(A37, 'DAY 2 SCORES'!$B$4:$H$152, 7, FALSE), 12)</f>
        <v>120</v>
      </c>
      <c r="E37">
        <f t="shared" si="0"/>
        <v>240</v>
      </c>
      <c r="F37">
        <f>IFERROR(VLOOKUP(A37, 'DAY 1 SCORES'!$B$4:$H$152, 3, FALSE), 0) + IFERROR(VLOOKUP(A37, 'DAY 2 SCORES'!$B$4:$H$152, 3, FALSE), 0)</f>
        <v>0</v>
      </c>
    </row>
    <row r="38" spans="1:6">
      <c r="A38" t="str">
        <f>REGISTRATION!B38</f>
        <v/>
      </c>
      <c r="B38" t="str">
        <f>REGISTRATION!C38</f>
        <v/>
      </c>
      <c r="C38">
        <f>IFERROR(VLOOKUP(A38, 'DAY 1 SCORES'!$B$4:$H$152, 7, FALSE), 12)</f>
        <v>120</v>
      </c>
      <c r="D38">
        <f>IFERROR(VLOOKUP(A38, 'DAY 2 SCORES'!$B$4:$H$152, 7, FALSE), 12)</f>
        <v>120</v>
      </c>
      <c r="E38">
        <f t="shared" si="0"/>
        <v>240</v>
      </c>
      <c r="F38">
        <f>IFERROR(VLOOKUP(A38, 'DAY 1 SCORES'!$B$4:$H$152, 3, FALSE), 0) + IFERROR(VLOOKUP(A38, 'DAY 2 SCORES'!$B$4:$H$152, 3, FALSE), 0)</f>
        <v>0</v>
      </c>
    </row>
    <row r="39" spans="1:6">
      <c r="A39" t="str">
        <f>REGISTRATION!B39</f>
        <v/>
      </c>
      <c r="B39" t="str">
        <f>REGISTRATION!C39</f>
        <v/>
      </c>
      <c r="C39">
        <f>IFERROR(VLOOKUP(A39, 'DAY 1 SCORES'!$B$4:$H$152, 7, FALSE), 12)</f>
        <v>120</v>
      </c>
      <c r="D39">
        <f>IFERROR(VLOOKUP(A39, 'DAY 2 SCORES'!$B$4:$H$152, 7, FALSE), 12)</f>
        <v>120</v>
      </c>
      <c r="E39">
        <f t="shared" si="0"/>
        <v>240</v>
      </c>
      <c r="F39">
        <f>IFERROR(VLOOKUP(A39, 'DAY 1 SCORES'!$B$4:$H$152, 3, FALSE), 0) + IFERROR(VLOOKUP(A39, 'DAY 2 SCORES'!$B$4:$H$152, 3, FALSE), 0)</f>
        <v>0</v>
      </c>
    </row>
    <row r="40" spans="1:6">
      <c r="A40" t="str">
        <f>REGISTRATION!B40</f>
        <v/>
      </c>
      <c r="B40" t="str">
        <f>REGISTRATION!C40</f>
        <v/>
      </c>
      <c r="C40">
        <f>IFERROR(VLOOKUP(A40, 'DAY 1 SCORES'!$B$4:$H$152, 7, FALSE), 12)</f>
        <v>120</v>
      </c>
      <c r="D40">
        <f>IFERROR(VLOOKUP(A40, 'DAY 2 SCORES'!$B$4:$H$152, 7, FALSE), 12)</f>
        <v>120</v>
      </c>
      <c r="E40">
        <f t="shared" si="0"/>
        <v>240</v>
      </c>
      <c r="F40">
        <f>IFERROR(VLOOKUP(A40, 'DAY 1 SCORES'!$B$4:$H$152, 3, FALSE), 0) + IFERROR(VLOOKUP(A40, 'DAY 2 SCORES'!$B$4:$H$152, 3, FALSE), 0)</f>
        <v>0</v>
      </c>
    </row>
    <row r="41" spans="1:6">
      <c r="A41" t="str">
        <f>REGISTRATION!B41</f>
        <v/>
      </c>
      <c r="B41" t="str">
        <f>REGISTRATION!C41</f>
        <v/>
      </c>
      <c r="C41">
        <f>IFERROR(VLOOKUP(A41, 'DAY 1 SCORES'!$B$4:$H$152, 7, FALSE), 12)</f>
        <v>120</v>
      </c>
      <c r="D41">
        <f>IFERROR(VLOOKUP(A41, 'DAY 2 SCORES'!$B$4:$H$152, 7, FALSE), 12)</f>
        <v>120</v>
      </c>
      <c r="E41">
        <f t="shared" si="0"/>
        <v>240</v>
      </c>
      <c r="F41">
        <f>IFERROR(VLOOKUP(A41, 'DAY 1 SCORES'!$B$4:$H$152, 3, FALSE), 0) + IFERROR(VLOOKUP(A41, 'DAY 2 SCORES'!$B$4:$H$152, 3, FALSE), 0)</f>
        <v>0</v>
      </c>
    </row>
    <row r="42" spans="1:6">
      <c r="A42" t="str">
        <f>REGISTRATION!B42</f>
        <v/>
      </c>
      <c r="B42" t="str">
        <f>REGISTRATION!C42</f>
        <v/>
      </c>
      <c r="C42">
        <f>IFERROR(VLOOKUP(A42, 'DAY 1 SCORES'!$B$4:$H$152, 7, FALSE), 12)</f>
        <v>120</v>
      </c>
      <c r="D42">
        <f>IFERROR(VLOOKUP(A42, 'DAY 2 SCORES'!$B$4:$H$152, 7, FALSE), 12)</f>
        <v>120</v>
      </c>
      <c r="E42">
        <f t="shared" si="0"/>
        <v>240</v>
      </c>
      <c r="F42">
        <f>IFERROR(VLOOKUP(A42, 'DAY 1 SCORES'!$B$4:$H$152, 3, FALSE), 0) + IFERROR(VLOOKUP(A42, 'DAY 2 SCORES'!$B$4:$H$152, 3, FALSE), 0)</f>
        <v>0</v>
      </c>
    </row>
    <row r="43" spans="1:6">
      <c r="A43" t="str">
        <f>REGISTRATION!B43</f>
        <v/>
      </c>
      <c r="B43" t="str">
        <f>REGISTRATION!C43</f>
        <v/>
      </c>
      <c r="C43">
        <f>IFERROR(VLOOKUP(A43, 'DAY 1 SCORES'!$B$4:$H$152, 7, FALSE), 12)</f>
        <v>120</v>
      </c>
      <c r="D43">
        <f>IFERROR(VLOOKUP(A43, 'DAY 2 SCORES'!$B$4:$H$152, 7, FALSE), 12)</f>
        <v>120</v>
      </c>
      <c r="E43">
        <f t="shared" si="0"/>
        <v>240</v>
      </c>
      <c r="F43">
        <f>IFERROR(VLOOKUP(A43, 'DAY 1 SCORES'!$B$4:$H$152, 3, FALSE), 0) + IFERROR(VLOOKUP(A43, 'DAY 2 SCORES'!$B$4:$H$152, 3, FALSE), 0)</f>
        <v>0</v>
      </c>
    </row>
    <row r="44" spans="1:6">
      <c r="A44" t="str">
        <f>REGISTRATION!B44</f>
        <v/>
      </c>
      <c r="B44" t="str">
        <f>REGISTRATION!C44</f>
        <v/>
      </c>
      <c r="C44">
        <f>IFERROR(VLOOKUP(A44, 'DAY 1 SCORES'!$B$4:$H$152, 7, FALSE), 12)</f>
        <v>120</v>
      </c>
      <c r="D44">
        <f>IFERROR(VLOOKUP(A44, 'DAY 2 SCORES'!$B$4:$H$152, 7, FALSE), 12)</f>
        <v>120</v>
      </c>
      <c r="E44">
        <f t="shared" si="0"/>
        <v>240</v>
      </c>
      <c r="F44">
        <f>IFERROR(VLOOKUP(A44, 'DAY 1 SCORES'!$B$4:$H$152, 3, FALSE), 0) + IFERROR(VLOOKUP(A44, 'DAY 2 SCORES'!$B$4:$H$152, 3, FALSE), 0)</f>
        <v>0</v>
      </c>
    </row>
    <row r="45" spans="1:6">
      <c r="A45" t="str">
        <f>REGISTRATION!B45</f>
        <v/>
      </c>
      <c r="B45" t="str">
        <f>REGISTRATION!C45</f>
        <v/>
      </c>
      <c r="C45">
        <f>IFERROR(VLOOKUP(A45, 'DAY 1 SCORES'!$B$4:$H$152, 7, FALSE), 12)</f>
        <v>120</v>
      </c>
      <c r="D45">
        <f>IFERROR(VLOOKUP(A45, 'DAY 2 SCORES'!$B$4:$H$152, 7, FALSE), 12)</f>
        <v>120</v>
      </c>
      <c r="E45">
        <f t="shared" si="0"/>
        <v>240</v>
      </c>
      <c r="F45">
        <f>IFERROR(VLOOKUP(A45, 'DAY 1 SCORES'!$B$4:$H$152, 3, FALSE), 0) + IFERROR(VLOOKUP(A45, 'DAY 2 SCORES'!$B$4:$H$152, 3, FALSE), 0)</f>
        <v>0</v>
      </c>
    </row>
    <row r="46" spans="1:6">
      <c r="A46" t="str">
        <f>REGISTRATION!B46</f>
        <v/>
      </c>
      <c r="B46" t="str">
        <f>REGISTRATION!C46</f>
        <v/>
      </c>
      <c r="C46">
        <f>IFERROR(VLOOKUP(A46, 'DAY 1 SCORES'!$B$4:$H$152, 7, FALSE), 12)</f>
        <v>120</v>
      </c>
      <c r="D46">
        <f>IFERROR(VLOOKUP(A46, 'DAY 2 SCORES'!$B$4:$H$152, 7, FALSE), 12)</f>
        <v>120</v>
      </c>
      <c r="E46">
        <f t="shared" si="0"/>
        <v>240</v>
      </c>
      <c r="F46">
        <f>IFERROR(VLOOKUP(A46, 'DAY 1 SCORES'!$B$4:$H$152, 3, FALSE), 0) + IFERROR(VLOOKUP(A46, 'DAY 2 SCORES'!$B$4:$H$152, 3, FALSE), 0)</f>
        <v>0</v>
      </c>
    </row>
    <row r="47" spans="1:6">
      <c r="A47" t="str">
        <f>REGISTRATION!B47</f>
        <v/>
      </c>
      <c r="B47" t="str">
        <f>REGISTRATION!C47</f>
        <v/>
      </c>
      <c r="C47">
        <f>IFERROR(VLOOKUP(A47, 'DAY 1 SCORES'!$B$4:$H$152, 7, FALSE), 12)</f>
        <v>120</v>
      </c>
      <c r="D47">
        <f>IFERROR(VLOOKUP(A47, 'DAY 2 SCORES'!$B$4:$H$152, 7, FALSE), 12)</f>
        <v>120</v>
      </c>
      <c r="E47">
        <f t="shared" si="0"/>
        <v>240</v>
      </c>
      <c r="F47">
        <f>IFERROR(VLOOKUP(A47, 'DAY 1 SCORES'!$B$4:$H$152, 3, FALSE), 0) + IFERROR(VLOOKUP(A47, 'DAY 2 SCORES'!$B$4:$H$152, 3, FALSE), 0)</f>
        <v>0</v>
      </c>
    </row>
    <row r="48" spans="1:6">
      <c r="A48" t="str">
        <f>REGISTRATION!B48</f>
        <v/>
      </c>
      <c r="B48" t="str">
        <f>REGISTRATION!C48</f>
        <v/>
      </c>
      <c r="C48">
        <f>IFERROR(VLOOKUP(A48, 'DAY 1 SCORES'!$B$4:$H$152, 7, FALSE), 12)</f>
        <v>120</v>
      </c>
      <c r="D48">
        <f>IFERROR(VLOOKUP(A48, 'DAY 2 SCORES'!$B$4:$H$152, 7, FALSE), 12)</f>
        <v>120</v>
      </c>
      <c r="E48">
        <f t="shared" si="0"/>
        <v>240</v>
      </c>
      <c r="F48">
        <f>IFERROR(VLOOKUP(A48, 'DAY 1 SCORES'!$B$4:$H$152, 3, FALSE), 0) + IFERROR(VLOOKUP(A48, 'DAY 2 SCORES'!$B$4:$H$152, 3, FALSE), 0)</f>
        <v>0</v>
      </c>
    </row>
    <row r="49" spans="1:6">
      <c r="A49" t="str">
        <f>REGISTRATION!B49</f>
        <v/>
      </c>
      <c r="B49" t="str">
        <f>REGISTRATION!C49</f>
        <v/>
      </c>
      <c r="C49">
        <f>IFERROR(VLOOKUP(A49, 'DAY 1 SCORES'!$B$4:$H$152, 7, FALSE), 12)</f>
        <v>120</v>
      </c>
      <c r="D49">
        <f>IFERROR(VLOOKUP(A49, 'DAY 2 SCORES'!$B$4:$H$152, 7, FALSE), 12)</f>
        <v>120</v>
      </c>
      <c r="E49">
        <f t="shared" si="0"/>
        <v>240</v>
      </c>
      <c r="F49">
        <f>IFERROR(VLOOKUP(A49, 'DAY 1 SCORES'!$B$4:$H$152, 3, FALSE), 0) + IFERROR(VLOOKUP(A49, 'DAY 2 SCORES'!$B$4:$H$152, 3, FALSE), 0)</f>
        <v>0</v>
      </c>
    </row>
    <row r="50" spans="1:6">
      <c r="A50" t="str">
        <f>REGISTRATION!B50</f>
        <v/>
      </c>
      <c r="B50" t="str">
        <f>REGISTRATION!C50</f>
        <v/>
      </c>
      <c r="C50">
        <f>IFERROR(VLOOKUP(A50, 'DAY 1 SCORES'!$B$4:$H$152, 7, FALSE), 12)</f>
        <v>120</v>
      </c>
      <c r="D50">
        <f>IFERROR(VLOOKUP(A50, 'DAY 2 SCORES'!$B$4:$H$152, 7, FALSE), 12)</f>
        <v>120</v>
      </c>
      <c r="E50">
        <f t="shared" si="0"/>
        <v>240</v>
      </c>
      <c r="F50">
        <f>IFERROR(VLOOKUP(A50, 'DAY 1 SCORES'!$B$4:$H$152, 3, FALSE), 0) + IFERROR(VLOOKUP(A50, 'DAY 2 SCORES'!$B$4:$H$152, 3, FALSE), 0)</f>
        <v>0</v>
      </c>
    </row>
    <row r="51" spans="1:6">
      <c r="A51" t="str">
        <f>REGISTRATION!B51</f>
        <v/>
      </c>
      <c r="B51" t="str">
        <f>REGISTRATION!C51</f>
        <v/>
      </c>
      <c r="C51">
        <f>IFERROR(VLOOKUP(A51, 'DAY 1 SCORES'!$B$4:$H$152, 7, FALSE), 12)</f>
        <v>120</v>
      </c>
      <c r="D51">
        <f>IFERROR(VLOOKUP(A51, 'DAY 2 SCORES'!$B$4:$H$152, 7, FALSE), 12)</f>
        <v>120</v>
      </c>
      <c r="E51">
        <f t="shared" si="0"/>
        <v>240</v>
      </c>
      <c r="F51">
        <f>IFERROR(VLOOKUP(A51, 'DAY 1 SCORES'!$B$4:$H$152, 3, FALSE), 0) + IFERROR(VLOOKUP(A51, 'DAY 2 SCORES'!$B$4:$H$152, 3, FALSE), 0)</f>
        <v>0</v>
      </c>
    </row>
    <row r="52" spans="1:6">
      <c r="A52" t="str">
        <f>REGISTRATION!B52</f>
        <v/>
      </c>
      <c r="B52" t="str">
        <f>REGISTRATION!C52</f>
        <v/>
      </c>
      <c r="C52">
        <f>IFERROR(VLOOKUP(A52, 'DAY 1 SCORES'!$B$4:$H$152, 7, FALSE), 12)</f>
        <v>120</v>
      </c>
      <c r="D52">
        <f>IFERROR(VLOOKUP(A52, 'DAY 2 SCORES'!$B$4:$H$152, 7, FALSE), 12)</f>
        <v>120</v>
      </c>
      <c r="E52">
        <f t="shared" si="0"/>
        <v>240</v>
      </c>
      <c r="F52">
        <f>IFERROR(VLOOKUP(A52, 'DAY 1 SCORES'!$B$4:$H$152, 3, FALSE), 0) + IFERROR(VLOOKUP(A52, 'DAY 2 SCORES'!$B$4:$H$152, 3, FALSE), 0)</f>
        <v>0</v>
      </c>
    </row>
    <row r="53" spans="1:6">
      <c r="A53" t="str">
        <f>REGISTRATION!B53</f>
        <v/>
      </c>
      <c r="B53" t="str">
        <f>REGISTRATION!C53</f>
        <v/>
      </c>
      <c r="C53">
        <f>IFERROR(VLOOKUP(A53, 'DAY 1 SCORES'!$B$4:$H$152, 7, FALSE), 12)</f>
        <v>120</v>
      </c>
      <c r="D53">
        <f>IFERROR(VLOOKUP(A53, 'DAY 2 SCORES'!$B$4:$H$152, 7, FALSE), 12)</f>
        <v>120</v>
      </c>
      <c r="E53">
        <f t="shared" si="0"/>
        <v>240</v>
      </c>
      <c r="F53">
        <f>IFERROR(VLOOKUP(A53, 'DAY 1 SCORES'!$B$4:$H$152, 3, FALSE), 0) + IFERROR(VLOOKUP(A53, 'DAY 2 SCORES'!$B$4:$H$152, 3, FALSE), 0)</f>
        <v>0</v>
      </c>
    </row>
    <row r="54" spans="1:6">
      <c r="A54" t="str">
        <f>REGISTRATION!B54</f>
        <v/>
      </c>
      <c r="B54" t="str">
        <f>REGISTRATION!C54</f>
        <v/>
      </c>
      <c r="C54">
        <f>IFERROR(VLOOKUP(A54, 'DAY 1 SCORES'!$B$4:$H$152, 7, FALSE), 12)</f>
        <v>120</v>
      </c>
      <c r="D54">
        <f>IFERROR(VLOOKUP(A54, 'DAY 2 SCORES'!$B$4:$H$152, 7, FALSE), 12)</f>
        <v>120</v>
      </c>
      <c r="E54">
        <f t="shared" si="0"/>
        <v>240</v>
      </c>
      <c r="F54">
        <f>IFERROR(VLOOKUP(A54, 'DAY 1 SCORES'!$B$4:$H$152, 3, FALSE), 0) + IFERROR(VLOOKUP(A54, 'DAY 2 SCORES'!$B$4:$H$152, 3, FALSE), 0)</f>
        <v>0</v>
      </c>
    </row>
    <row r="55" spans="1:6">
      <c r="A55" t="str">
        <f>REGISTRATION!B55</f>
        <v/>
      </c>
      <c r="B55" t="str">
        <f>REGISTRATION!C55</f>
        <v/>
      </c>
      <c r="C55">
        <f>IFERROR(VLOOKUP(A55, 'DAY 1 SCORES'!$B$4:$H$152, 7, FALSE), 12)</f>
        <v>120</v>
      </c>
      <c r="D55">
        <f>IFERROR(VLOOKUP(A55, 'DAY 2 SCORES'!$B$4:$H$152, 7, FALSE), 12)</f>
        <v>120</v>
      </c>
      <c r="E55">
        <f t="shared" si="0"/>
        <v>240</v>
      </c>
      <c r="F55">
        <f>IFERROR(VLOOKUP(A55, 'DAY 1 SCORES'!$B$4:$H$152, 3, FALSE), 0) + IFERROR(VLOOKUP(A55, 'DAY 2 SCORES'!$B$4:$H$152, 3, FALSE), 0)</f>
        <v>0</v>
      </c>
    </row>
    <row r="56" spans="1:6">
      <c r="A56" t="str">
        <f>REGISTRATION!B56</f>
        <v/>
      </c>
      <c r="B56" t="str">
        <f>REGISTRATION!C56</f>
        <v/>
      </c>
      <c r="C56">
        <f>IFERROR(VLOOKUP(A56, 'DAY 1 SCORES'!$B$4:$H$152, 7, FALSE), 12)</f>
        <v>120</v>
      </c>
      <c r="D56">
        <f>IFERROR(VLOOKUP(A56, 'DAY 2 SCORES'!$B$4:$H$152, 7, FALSE), 12)</f>
        <v>120</v>
      </c>
      <c r="E56">
        <f t="shared" si="0"/>
        <v>240</v>
      </c>
      <c r="F56">
        <f>IFERROR(VLOOKUP(A56, 'DAY 1 SCORES'!$B$4:$H$152, 3, FALSE), 0) + IFERROR(VLOOKUP(A56, 'DAY 2 SCORES'!$B$4:$H$152, 3, FALSE), 0)</f>
        <v>0</v>
      </c>
    </row>
    <row r="57" spans="1:6">
      <c r="A57" t="str">
        <f>REGISTRATION!B57</f>
        <v/>
      </c>
      <c r="B57" t="str">
        <f>REGISTRATION!C57</f>
        <v/>
      </c>
      <c r="C57">
        <f>IFERROR(VLOOKUP(A57, 'DAY 1 SCORES'!$B$4:$H$152, 7, FALSE), 12)</f>
        <v>120</v>
      </c>
      <c r="D57">
        <f>IFERROR(VLOOKUP(A57, 'DAY 2 SCORES'!$B$4:$H$152, 7, FALSE), 12)</f>
        <v>120</v>
      </c>
      <c r="E57">
        <f t="shared" si="0"/>
        <v>240</v>
      </c>
      <c r="F57">
        <f>IFERROR(VLOOKUP(A57, 'DAY 1 SCORES'!$B$4:$H$152, 3, FALSE), 0) + IFERROR(VLOOKUP(A57, 'DAY 2 SCORES'!$B$4:$H$152, 3, FALSE), 0)</f>
        <v>0</v>
      </c>
    </row>
    <row r="58" spans="1:6">
      <c r="A58" t="str">
        <f>REGISTRATION!B58</f>
        <v/>
      </c>
      <c r="B58" t="str">
        <f>REGISTRATION!C58</f>
        <v/>
      </c>
      <c r="C58">
        <f>IFERROR(VLOOKUP(A58, 'DAY 1 SCORES'!$B$4:$H$152, 7, FALSE), 12)</f>
        <v>120</v>
      </c>
      <c r="D58">
        <f>IFERROR(VLOOKUP(A58, 'DAY 2 SCORES'!$B$4:$H$152, 7, FALSE), 12)</f>
        <v>120</v>
      </c>
      <c r="E58">
        <f t="shared" si="0"/>
        <v>240</v>
      </c>
      <c r="F58">
        <f>IFERROR(VLOOKUP(A58, 'DAY 1 SCORES'!$B$4:$H$152, 3, FALSE), 0) + IFERROR(VLOOKUP(A58, 'DAY 2 SCORES'!$B$4:$H$152, 3, FALSE), 0)</f>
        <v>0</v>
      </c>
    </row>
    <row r="59" spans="1:6">
      <c r="A59" t="str">
        <f>REGISTRATION!B59</f>
        <v/>
      </c>
      <c r="B59" t="str">
        <f>REGISTRATION!C59</f>
        <v/>
      </c>
      <c r="C59">
        <f>IFERROR(VLOOKUP(A59, 'DAY 1 SCORES'!$B$4:$H$152, 7, FALSE), 12)</f>
        <v>120</v>
      </c>
      <c r="D59">
        <f>IFERROR(VLOOKUP(A59, 'DAY 2 SCORES'!$B$4:$H$152, 7, FALSE), 12)</f>
        <v>120</v>
      </c>
      <c r="E59">
        <f t="shared" si="0"/>
        <v>240</v>
      </c>
      <c r="F59">
        <f>IFERROR(VLOOKUP(A59, 'DAY 1 SCORES'!$B$4:$H$152, 3, FALSE), 0) + IFERROR(VLOOKUP(A59, 'DAY 2 SCORES'!$B$4:$H$152, 3, FALSE), 0)</f>
        <v>0</v>
      </c>
    </row>
    <row r="60" spans="1:6">
      <c r="A60" t="str">
        <f>REGISTRATION!B60</f>
        <v/>
      </c>
      <c r="B60" t="str">
        <f>REGISTRATION!C60</f>
        <v/>
      </c>
      <c r="C60">
        <f>IFERROR(VLOOKUP(A60, 'DAY 1 SCORES'!$B$4:$H$152, 7, FALSE), 12)</f>
        <v>120</v>
      </c>
      <c r="D60">
        <f>IFERROR(VLOOKUP(A60, 'DAY 2 SCORES'!$B$4:$H$152, 7, FALSE), 12)</f>
        <v>120</v>
      </c>
      <c r="E60">
        <f t="shared" si="0"/>
        <v>240</v>
      </c>
      <c r="F60">
        <f>IFERROR(VLOOKUP(A60, 'DAY 1 SCORES'!$B$4:$H$152, 3, FALSE), 0) + IFERROR(VLOOKUP(A60, 'DAY 2 SCORES'!$B$4:$H$152, 3, FALSE), 0)</f>
        <v>0</v>
      </c>
    </row>
    <row r="61" spans="1:6">
      <c r="A61" t="str">
        <f>REGISTRATION!B61</f>
        <v/>
      </c>
      <c r="B61" t="str">
        <f>REGISTRATION!C61</f>
        <v/>
      </c>
      <c r="C61">
        <f>IFERROR(VLOOKUP(A61, 'DAY 1 SCORES'!$B$4:$H$152, 7, FALSE), 12)</f>
        <v>120</v>
      </c>
      <c r="D61">
        <f>IFERROR(VLOOKUP(A61, 'DAY 2 SCORES'!$B$4:$H$152, 7, FALSE), 12)</f>
        <v>120</v>
      </c>
      <c r="E61">
        <f t="shared" si="0"/>
        <v>240</v>
      </c>
      <c r="F61">
        <f>IFERROR(VLOOKUP(A61, 'DAY 1 SCORES'!$B$4:$H$152, 3, FALSE), 0) + IFERROR(VLOOKUP(A61, 'DAY 2 SCORES'!$B$4:$H$152, 3, FALSE), 0)</f>
        <v>0</v>
      </c>
    </row>
    <row r="62" spans="1:6">
      <c r="A62" t="str">
        <f>REGISTRATION!B62</f>
        <v/>
      </c>
      <c r="B62" t="str">
        <f>REGISTRATION!C62</f>
        <v/>
      </c>
      <c r="C62">
        <f>IFERROR(VLOOKUP(A62, 'DAY 1 SCORES'!$B$4:$H$152, 7, FALSE), 12)</f>
        <v>120</v>
      </c>
      <c r="D62">
        <f>IFERROR(VLOOKUP(A62, 'DAY 2 SCORES'!$B$4:$H$152, 7, FALSE), 12)</f>
        <v>120</v>
      </c>
      <c r="E62">
        <f t="shared" si="0"/>
        <v>240</v>
      </c>
      <c r="F62">
        <f>IFERROR(VLOOKUP(A62, 'DAY 1 SCORES'!$B$4:$H$152, 3, FALSE), 0) + IFERROR(VLOOKUP(A62, 'DAY 2 SCORES'!$B$4:$H$152, 3, FALSE), 0)</f>
        <v>0</v>
      </c>
    </row>
    <row r="63" spans="1:6">
      <c r="A63" t="str">
        <f>REGISTRATION!B63</f>
        <v/>
      </c>
      <c r="B63" t="str">
        <f>REGISTRATION!C63</f>
        <v/>
      </c>
      <c r="C63">
        <f>IFERROR(VLOOKUP(A63, 'DAY 1 SCORES'!$B$4:$H$152, 7, FALSE), 12)</f>
        <v>120</v>
      </c>
      <c r="D63">
        <f>IFERROR(VLOOKUP(A63, 'DAY 2 SCORES'!$B$4:$H$152, 7, FALSE), 12)</f>
        <v>120</v>
      </c>
      <c r="E63">
        <f t="shared" si="0"/>
        <v>240</v>
      </c>
      <c r="F63">
        <f>IFERROR(VLOOKUP(A63, 'DAY 1 SCORES'!$B$4:$H$152, 3, FALSE), 0) + IFERROR(VLOOKUP(A63, 'DAY 2 SCORES'!$B$4:$H$152, 3, FALSE), 0)</f>
        <v>0</v>
      </c>
    </row>
    <row r="64" spans="1:6">
      <c r="A64" t="str">
        <f>REGISTRATION!B64</f>
        <v/>
      </c>
      <c r="B64" t="str">
        <f>REGISTRATION!C64</f>
        <v/>
      </c>
      <c r="C64">
        <f>IFERROR(VLOOKUP(A64, 'DAY 1 SCORES'!$B$4:$H$152, 7, FALSE), 12)</f>
        <v>120</v>
      </c>
      <c r="D64">
        <f>IFERROR(VLOOKUP(A64, 'DAY 2 SCORES'!$B$4:$H$152, 7, FALSE), 12)</f>
        <v>120</v>
      </c>
      <c r="E64">
        <f t="shared" si="0"/>
        <v>240</v>
      </c>
      <c r="F64">
        <f>IFERROR(VLOOKUP(A64, 'DAY 1 SCORES'!$B$4:$H$152, 3, FALSE), 0) + IFERROR(VLOOKUP(A64, 'DAY 2 SCORES'!$B$4:$H$152, 3, FALSE), 0)</f>
        <v>0</v>
      </c>
    </row>
    <row r="65" spans="1:6">
      <c r="A65" t="str">
        <f>REGISTRATION!B65</f>
        <v/>
      </c>
      <c r="B65" t="str">
        <f>REGISTRATION!C65</f>
        <v/>
      </c>
      <c r="C65">
        <f>IFERROR(VLOOKUP(A65, 'DAY 1 SCORES'!$B$4:$H$152, 7, FALSE), 12)</f>
        <v>120</v>
      </c>
      <c r="D65">
        <f>IFERROR(VLOOKUP(A65, 'DAY 2 SCORES'!$B$4:$H$152, 7, FALSE), 12)</f>
        <v>120</v>
      </c>
      <c r="E65">
        <f t="shared" si="0"/>
        <v>240</v>
      </c>
      <c r="F65">
        <f>IFERROR(VLOOKUP(A65, 'DAY 1 SCORES'!$B$4:$H$152, 3, FALSE), 0) + IFERROR(VLOOKUP(A65, 'DAY 2 SCORES'!$B$4:$H$152, 3, FALSE), 0)</f>
        <v>0</v>
      </c>
    </row>
    <row r="66" spans="1:6">
      <c r="A66" t="str">
        <f>REGISTRATION!B66</f>
        <v/>
      </c>
      <c r="B66" t="str">
        <f>REGISTRATION!C66</f>
        <v/>
      </c>
      <c r="C66">
        <f>IFERROR(VLOOKUP(A66, 'DAY 1 SCORES'!$B$4:$H$152, 7, FALSE), 12)</f>
        <v>120</v>
      </c>
      <c r="D66">
        <f>IFERROR(VLOOKUP(A66, 'DAY 2 SCORES'!$B$4:$H$152, 7, FALSE), 12)</f>
        <v>120</v>
      </c>
      <c r="E66">
        <f t="shared" si="0"/>
        <v>240</v>
      </c>
      <c r="F66">
        <f>IFERROR(VLOOKUP(A66, 'DAY 1 SCORES'!$B$4:$H$152, 3, FALSE), 0) + IFERROR(VLOOKUP(A66, 'DAY 2 SCORES'!$B$4:$H$152, 3, FALSE), 0)</f>
        <v>0</v>
      </c>
    </row>
    <row r="67" spans="1:6">
      <c r="A67" t="str">
        <f>REGISTRATION!B67</f>
        <v/>
      </c>
      <c r="B67" t="str">
        <f>REGISTRATION!C67</f>
        <v/>
      </c>
      <c r="C67">
        <f>IFERROR(VLOOKUP(A67, 'DAY 1 SCORES'!$B$4:$H$152, 7, FALSE), 12)</f>
        <v>120</v>
      </c>
      <c r="D67">
        <f>IFERROR(VLOOKUP(A67, 'DAY 2 SCORES'!$B$4:$H$152, 7, FALSE), 12)</f>
        <v>120</v>
      </c>
      <c r="E67">
        <f t="shared" ref="E67:E130" si="1">C67+D67</f>
        <v>240</v>
      </c>
      <c r="F67">
        <f>IFERROR(VLOOKUP(A67, 'DAY 1 SCORES'!$B$4:$H$152, 3, FALSE), 0) + IFERROR(VLOOKUP(A67, 'DAY 2 SCORES'!$B$4:$H$152, 3, FALSE), 0)</f>
        <v>0</v>
      </c>
    </row>
    <row r="68" spans="1:6">
      <c r="A68" t="str">
        <f>REGISTRATION!B68</f>
        <v/>
      </c>
      <c r="B68" t="str">
        <f>REGISTRATION!C68</f>
        <v/>
      </c>
      <c r="C68">
        <f>IFERROR(VLOOKUP(A68, 'DAY 1 SCORES'!$B$4:$H$152, 7, FALSE), 12)</f>
        <v>120</v>
      </c>
      <c r="D68">
        <f>IFERROR(VLOOKUP(A68, 'DAY 2 SCORES'!$B$4:$H$152, 7, FALSE), 12)</f>
        <v>120</v>
      </c>
      <c r="E68">
        <f t="shared" si="1"/>
        <v>240</v>
      </c>
      <c r="F68">
        <f>IFERROR(VLOOKUP(A68, 'DAY 1 SCORES'!$B$4:$H$152, 3, FALSE), 0) + IFERROR(VLOOKUP(A68, 'DAY 2 SCORES'!$B$4:$H$152, 3, FALSE), 0)</f>
        <v>0</v>
      </c>
    </row>
    <row r="69" spans="1:6">
      <c r="A69" t="str">
        <f>REGISTRATION!B69</f>
        <v/>
      </c>
      <c r="B69" t="str">
        <f>REGISTRATION!C69</f>
        <v/>
      </c>
      <c r="C69">
        <f>IFERROR(VLOOKUP(A69, 'DAY 1 SCORES'!$B$4:$H$152, 7, FALSE), 12)</f>
        <v>120</v>
      </c>
      <c r="D69">
        <f>IFERROR(VLOOKUP(A69, 'DAY 2 SCORES'!$B$4:$H$152, 7, FALSE), 12)</f>
        <v>120</v>
      </c>
      <c r="E69">
        <f t="shared" si="1"/>
        <v>240</v>
      </c>
      <c r="F69">
        <f>IFERROR(VLOOKUP(A69, 'DAY 1 SCORES'!$B$4:$H$152, 3, FALSE), 0) + IFERROR(VLOOKUP(A69, 'DAY 2 SCORES'!$B$4:$H$152, 3, FALSE), 0)</f>
        <v>0</v>
      </c>
    </row>
    <row r="70" spans="1:6">
      <c r="A70" t="str">
        <f>REGISTRATION!B70</f>
        <v/>
      </c>
      <c r="B70" t="str">
        <f>REGISTRATION!C70</f>
        <v/>
      </c>
      <c r="C70">
        <f>IFERROR(VLOOKUP(A70, 'DAY 1 SCORES'!$B$4:$H$152, 7, FALSE), 12)</f>
        <v>120</v>
      </c>
      <c r="D70">
        <f>IFERROR(VLOOKUP(A70, 'DAY 2 SCORES'!$B$4:$H$152, 7, FALSE), 12)</f>
        <v>120</v>
      </c>
      <c r="E70">
        <f t="shared" si="1"/>
        <v>240</v>
      </c>
      <c r="F70">
        <f>IFERROR(VLOOKUP(A70, 'DAY 1 SCORES'!$B$4:$H$152, 3, FALSE), 0) + IFERROR(VLOOKUP(A70, 'DAY 2 SCORES'!$B$4:$H$152, 3, FALSE), 0)</f>
        <v>0</v>
      </c>
    </row>
    <row r="71" spans="1:6">
      <c r="A71" t="str">
        <f>REGISTRATION!B71</f>
        <v/>
      </c>
      <c r="B71" t="str">
        <f>REGISTRATION!C71</f>
        <v/>
      </c>
      <c r="C71">
        <f>IFERROR(VLOOKUP(A71, 'DAY 1 SCORES'!$B$4:$H$152, 7, FALSE), 12)</f>
        <v>120</v>
      </c>
      <c r="D71">
        <f>IFERROR(VLOOKUP(A71, 'DAY 2 SCORES'!$B$4:$H$152, 7, FALSE), 12)</f>
        <v>120</v>
      </c>
      <c r="E71">
        <f t="shared" si="1"/>
        <v>240</v>
      </c>
      <c r="F71">
        <f>IFERROR(VLOOKUP(A71, 'DAY 1 SCORES'!$B$4:$H$152, 3, FALSE), 0) + IFERROR(VLOOKUP(A71, 'DAY 2 SCORES'!$B$4:$H$152, 3, FALSE), 0)</f>
        <v>0</v>
      </c>
    </row>
    <row r="72" spans="1:6">
      <c r="A72" t="str">
        <f>REGISTRATION!B72</f>
        <v/>
      </c>
      <c r="B72" t="str">
        <f>REGISTRATION!C72</f>
        <v/>
      </c>
      <c r="C72">
        <f>IFERROR(VLOOKUP(A72, 'DAY 1 SCORES'!$B$4:$H$152, 7, FALSE), 12)</f>
        <v>120</v>
      </c>
      <c r="D72">
        <f>IFERROR(VLOOKUP(A72, 'DAY 2 SCORES'!$B$4:$H$152, 7, FALSE), 12)</f>
        <v>120</v>
      </c>
      <c r="E72">
        <f t="shared" si="1"/>
        <v>240</v>
      </c>
      <c r="F72">
        <f>IFERROR(VLOOKUP(A72, 'DAY 1 SCORES'!$B$4:$H$152, 3, FALSE), 0) + IFERROR(VLOOKUP(A72, 'DAY 2 SCORES'!$B$4:$H$152, 3, FALSE), 0)</f>
        <v>0</v>
      </c>
    </row>
    <row r="73" spans="1:6">
      <c r="A73" t="str">
        <f>REGISTRATION!B73</f>
        <v/>
      </c>
      <c r="B73" t="str">
        <f>REGISTRATION!C73</f>
        <v/>
      </c>
      <c r="C73">
        <f>IFERROR(VLOOKUP(A73, 'DAY 1 SCORES'!$B$4:$H$152, 7, FALSE), 12)</f>
        <v>120</v>
      </c>
      <c r="D73">
        <f>IFERROR(VLOOKUP(A73, 'DAY 2 SCORES'!$B$4:$H$152, 7, FALSE), 12)</f>
        <v>120</v>
      </c>
      <c r="E73">
        <f t="shared" si="1"/>
        <v>240</v>
      </c>
      <c r="F73">
        <f>IFERROR(VLOOKUP(A73, 'DAY 1 SCORES'!$B$4:$H$152, 3, FALSE), 0) + IFERROR(VLOOKUP(A73, 'DAY 2 SCORES'!$B$4:$H$152, 3, FALSE), 0)</f>
        <v>0</v>
      </c>
    </row>
    <row r="74" spans="1:6">
      <c r="A74" t="str">
        <f>REGISTRATION!B74</f>
        <v/>
      </c>
      <c r="B74" t="str">
        <f>REGISTRATION!C74</f>
        <v/>
      </c>
      <c r="C74">
        <f>IFERROR(VLOOKUP(A74, 'DAY 1 SCORES'!$B$4:$H$152, 7, FALSE), 12)</f>
        <v>120</v>
      </c>
      <c r="D74">
        <f>IFERROR(VLOOKUP(A74, 'DAY 2 SCORES'!$B$4:$H$152, 7, FALSE), 12)</f>
        <v>120</v>
      </c>
      <c r="E74">
        <f t="shared" si="1"/>
        <v>240</v>
      </c>
      <c r="F74">
        <f>IFERROR(VLOOKUP(A74, 'DAY 1 SCORES'!$B$4:$H$152, 3, FALSE), 0) + IFERROR(VLOOKUP(A74, 'DAY 2 SCORES'!$B$4:$H$152, 3, FALSE), 0)</f>
        <v>0</v>
      </c>
    </row>
    <row r="75" spans="1:6">
      <c r="A75" t="str">
        <f>REGISTRATION!B75</f>
        <v/>
      </c>
      <c r="B75" t="str">
        <f>REGISTRATION!C75</f>
        <v/>
      </c>
      <c r="C75">
        <f>IFERROR(VLOOKUP(A75, 'DAY 1 SCORES'!$B$4:$H$152, 7, FALSE), 12)</f>
        <v>120</v>
      </c>
      <c r="D75">
        <f>IFERROR(VLOOKUP(A75, 'DAY 2 SCORES'!$B$4:$H$152, 7, FALSE), 12)</f>
        <v>120</v>
      </c>
      <c r="E75">
        <f t="shared" si="1"/>
        <v>240</v>
      </c>
      <c r="F75">
        <f>IFERROR(VLOOKUP(A75, 'DAY 1 SCORES'!$B$4:$H$152, 3, FALSE), 0) + IFERROR(VLOOKUP(A75, 'DAY 2 SCORES'!$B$4:$H$152, 3, FALSE), 0)</f>
        <v>0</v>
      </c>
    </row>
    <row r="76" spans="1:6">
      <c r="A76" t="str">
        <f>REGISTRATION!B76</f>
        <v/>
      </c>
      <c r="B76" t="str">
        <f>REGISTRATION!C76</f>
        <v/>
      </c>
      <c r="C76">
        <f>IFERROR(VLOOKUP(A76, 'DAY 1 SCORES'!$B$4:$H$152, 7, FALSE), 12)</f>
        <v>120</v>
      </c>
      <c r="D76">
        <f>IFERROR(VLOOKUP(A76, 'DAY 2 SCORES'!$B$4:$H$152, 7, FALSE), 12)</f>
        <v>120</v>
      </c>
      <c r="E76">
        <f t="shared" si="1"/>
        <v>240</v>
      </c>
      <c r="F76">
        <f>IFERROR(VLOOKUP(A76, 'DAY 1 SCORES'!$B$4:$H$152, 3, FALSE), 0) + IFERROR(VLOOKUP(A76, 'DAY 2 SCORES'!$B$4:$H$152, 3, FALSE), 0)</f>
        <v>0</v>
      </c>
    </row>
    <row r="77" spans="1:6">
      <c r="A77" t="str">
        <f>REGISTRATION!B77</f>
        <v/>
      </c>
      <c r="B77" t="str">
        <f>REGISTRATION!C77</f>
        <v/>
      </c>
      <c r="C77">
        <f>IFERROR(VLOOKUP(A77, 'DAY 1 SCORES'!$B$4:$H$152, 7, FALSE), 12)</f>
        <v>120</v>
      </c>
      <c r="D77">
        <f>IFERROR(VLOOKUP(A77, 'DAY 2 SCORES'!$B$4:$H$152, 7, FALSE), 12)</f>
        <v>120</v>
      </c>
      <c r="E77">
        <f t="shared" si="1"/>
        <v>240</v>
      </c>
      <c r="F77">
        <f>IFERROR(VLOOKUP(A77, 'DAY 1 SCORES'!$B$4:$H$152, 3, FALSE), 0) + IFERROR(VLOOKUP(A77, 'DAY 2 SCORES'!$B$4:$H$152, 3, FALSE), 0)</f>
        <v>0</v>
      </c>
    </row>
    <row r="78" spans="1:6">
      <c r="A78" t="str">
        <f>REGISTRATION!B78</f>
        <v/>
      </c>
      <c r="B78" t="str">
        <f>REGISTRATION!C78</f>
        <v/>
      </c>
      <c r="C78">
        <f>IFERROR(VLOOKUP(A78, 'DAY 1 SCORES'!$B$4:$H$152, 7, FALSE), 12)</f>
        <v>120</v>
      </c>
      <c r="D78">
        <f>IFERROR(VLOOKUP(A78, 'DAY 2 SCORES'!$B$4:$H$152, 7, FALSE), 12)</f>
        <v>120</v>
      </c>
      <c r="E78">
        <f t="shared" si="1"/>
        <v>240</v>
      </c>
      <c r="F78">
        <f>IFERROR(VLOOKUP(A78, 'DAY 1 SCORES'!$B$4:$H$152, 3, FALSE), 0) + IFERROR(VLOOKUP(A78, 'DAY 2 SCORES'!$B$4:$H$152, 3, FALSE), 0)</f>
        <v>0</v>
      </c>
    </row>
    <row r="79" spans="1:6">
      <c r="A79" t="str">
        <f>REGISTRATION!B79</f>
        <v/>
      </c>
      <c r="B79" t="str">
        <f>REGISTRATION!C79</f>
        <v/>
      </c>
      <c r="C79">
        <f>IFERROR(VLOOKUP(A79, 'DAY 1 SCORES'!$B$4:$H$152, 7, FALSE), 12)</f>
        <v>120</v>
      </c>
      <c r="D79">
        <f>IFERROR(VLOOKUP(A79, 'DAY 2 SCORES'!$B$4:$H$152, 7, FALSE), 12)</f>
        <v>120</v>
      </c>
      <c r="E79">
        <f t="shared" si="1"/>
        <v>240</v>
      </c>
      <c r="F79">
        <f>IFERROR(VLOOKUP(A79, 'DAY 1 SCORES'!$B$4:$H$152, 3, FALSE), 0) + IFERROR(VLOOKUP(A79, 'DAY 2 SCORES'!$B$4:$H$152, 3, FALSE), 0)</f>
        <v>0</v>
      </c>
    </row>
    <row r="80" spans="1:6">
      <c r="A80" t="str">
        <f>REGISTRATION!B80</f>
        <v/>
      </c>
      <c r="B80" t="str">
        <f>REGISTRATION!C80</f>
        <v/>
      </c>
      <c r="C80">
        <f>IFERROR(VLOOKUP(A80, 'DAY 1 SCORES'!$B$4:$H$152, 7, FALSE), 12)</f>
        <v>120</v>
      </c>
      <c r="D80">
        <f>IFERROR(VLOOKUP(A80, 'DAY 2 SCORES'!$B$4:$H$152, 7, FALSE), 12)</f>
        <v>120</v>
      </c>
      <c r="E80">
        <f t="shared" si="1"/>
        <v>240</v>
      </c>
      <c r="F80">
        <f>IFERROR(VLOOKUP(A80, 'DAY 1 SCORES'!$B$4:$H$152, 3, FALSE), 0) + IFERROR(VLOOKUP(A80, 'DAY 2 SCORES'!$B$4:$H$152, 3, FALSE), 0)</f>
        <v>0</v>
      </c>
    </row>
    <row r="81" spans="1:6">
      <c r="A81" t="str">
        <f>REGISTRATION!B81</f>
        <v/>
      </c>
      <c r="B81" t="str">
        <f>REGISTRATION!C81</f>
        <v/>
      </c>
      <c r="C81">
        <f>IFERROR(VLOOKUP(A81, 'DAY 1 SCORES'!$B$4:$H$152, 7, FALSE), 12)</f>
        <v>120</v>
      </c>
      <c r="D81">
        <f>IFERROR(VLOOKUP(A81, 'DAY 2 SCORES'!$B$4:$H$152, 7, FALSE), 12)</f>
        <v>120</v>
      </c>
      <c r="E81">
        <f t="shared" si="1"/>
        <v>240</v>
      </c>
      <c r="F81">
        <f>IFERROR(VLOOKUP(A81, 'DAY 1 SCORES'!$B$4:$H$152, 3, FALSE), 0) + IFERROR(VLOOKUP(A81, 'DAY 2 SCORES'!$B$4:$H$152, 3, FALSE), 0)</f>
        <v>0</v>
      </c>
    </row>
    <row r="82" spans="1:6">
      <c r="A82" t="str">
        <f>REGISTRATION!B82</f>
        <v/>
      </c>
      <c r="B82" t="str">
        <f>REGISTRATION!C82</f>
        <v/>
      </c>
      <c r="C82">
        <f>IFERROR(VLOOKUP(A82, 'DAY 1 SCORES'!$B$4:$H$152, 7, FALSE), 12)</f>
        <v>120</v>
      </c>
      <c r="D82">
        <f>IFERROR(VLOOKUP(A82, 'DAY 2 SCORES'!$B$4:$H$152, 7, FALSE), 12)</f>
        <v>120</v>
      </c>
      <c r="E82">
        <f t="shared" si="1"/>
        <v>240</v>
      </c>
      <c r="F82">
        <f>IFERROR(VLOOKUP(A82, 'DAY 1 SCORES'!$B$4:$H$152, 3, FALSE), 0) + IFERROR(VLOOKUP(A82, 'DAY 2 SCORES'!$B$4:$H$152, 3, FALSE), 0)</f>
        <v>0</v>
      </c>
    </row>
    <row r="83" spans="1:6">
      <c r="A83" t="str">
        <f>REGISTRATION!B83</f>
        <v/>
      </c>
      <c r="B83" t="str">
        <f>REGISTRATION!C83</f>
        <v/>
      </c>
      <c r="C83">
        <f>IFERROR(VLOOKUP(A83, 'DAY 1 SCORES'!$B$4:$H$152, 7, FALSE), 12)</f>
        <v>120</v>
      </c>
      <c r="D83">
        <f>IFERROR(VLOOKUP(A83, 'DAY 2 SCORES'!$B$4:$H$152, 7, FALSE), 12)</f>
        <v>120</v>
      </c>
      <c r="E83">
        <f t="shared" si="1"/>
        <v>240</v>
      </c>
      <c r="F83">
        <f>IFERROR(VLOOKUP(A83, 'DAY 1 SCORES'!$B$4:$H$152, 3, FALSE), 0) + IFERROR(VLOOKUP(A83, 'DAY 2 SCORES'!$B$4:$H$152, 3, FALSE), 0)</f>
        <v>0</v>
      </c>
    </row>
    <row r="84" spans="1:6">
      <c r="A84" t="str">
        <f>REGISTRATION!B84</f>
        <v/>
      </c>
      <c r="B84" t="str">
        <f>REGISTRATION!C84</f>
        <v/>
      </c>
      <c r="C84">
        <f>IFERROR(VLOOKUP(A84, 'DAY 1 SCORES'!$B$4:$H$152, 7, FALSE), 12)</f>
        <v>120</v>
      </c>
      <c r="D84">
        <f>IFERROR(VLOOKUP(A84, 'DAY 2 SCORES'!$B$4:$H$152, 7, FALSE), 12)</f>
        <v>120</v>
      </c>
      <c r="E84">
        <f t="shared" si="1"/>
        <v>240</v>
      </c>
      <c r="F84">
        <f>IFERROR(VLOOKUP(A84, 'DAY 1 SCORES'!$B$4:$H$152, 3, FALSE), 0) + IFERROR(VLOOKUP(A84, 'DAY 2 SCORES'!$B$4:$H$152, 3, FALSE), 0)</f>
        <v>0</v>
      </c>
    </row>
    <row r="85" spans="1:6">
      <c r="A85" t="str">
        <f>REGISTRATION!B85</f>
        <v/>
      </c>
      <c r="B85" t="str">
        <f>REGISTRATION!C85</f>
        <v/>
      </c>
      <c r="C85">
        <f>IFERROR(VLOOKUP(A85, 'DAY 1 SCORES'!$B$4:$H$152, 7, FALSE), 12)</f>
        <v>120</v>
      </c>
      <c r="D85">
        <f>IFERROR(VLOOKUP(A85, 'DAY 2 SCORES'!$B$4:$H$152, 7, FALSE), 12)</f>
        <v>120</v>
      </c>
      <c r="E85">
        <f t="shared" si="1"/>
        <v>240</v>
      </c>
      <c r="F85">
        <f>IFERROR(VLOOKUP(A85, 'DAY 1 SCORES'!$B$4:$H$152, 3, FALSE), 0) + IFERROR(VLOOKUP(A85, 'DAY 2 SCORES'!$B$4:$H$152, 3, FALSE), 0)</f>
        <v>0</v>
      </c>
    </row>
    <row r="86" spans="1:6">
      <c r="A86" t="str">
        <f>REGISTRATION!B86</f>
        <v/>
      </c>
      <c r="B86" t="str">
        <f>REGISTRATION!C86</f>
        <v/>
      </c>
      <c r="C86">
        <f>IFERROR(VLOOKUP(A86, 'DAY 1 SCORES'!$B$4:$H$152, 7, FALSE), 12)</f>
        <v>120</v>
      </c>
      <c r="D86">
        <f>IFERROR(VLOOKUP(A86, 'DAY 2 SCORES'!$B$4:$H$152, 7, FALSE), 12)</f>
        <v>120</v>
      </c>
      <c r="E86">
        <f t="shared" si="1"/>
        <v>240</v>
      </c>
      <c r="F86">
        <f>IFERROR(VLOOKUP(A86, 'DAY 1 SCORES'!$B$4:$H$152, 3, FALSE), 0) + IFERROR(VLOOKUP(A86, 'DAY 2 SCORES'!$B$4:$H$152, 3, FALSE), 0)</f>
        <v>0</v>
      </c>
    </row>
    <row r="87" spans="1:6">
      <c r="A87" t="str">
        <f>REGISTRATION!B87</f>
        <v/>
      </c>
      <c r="B87" t="str">
        <f>REGISTRATION!C87</f>
        <v/>
      </c>
      <c r="C87">
        <f>IFERROR(VLOOKUP(A87, 'DAY 1 SCORES'!$B$4:$H$152, 7, FALSE), 12)</f>
        <v>120</v>
      </c>
      <c r="D87">
        <f>IFERROR(VLOOKUP(A87, 'DAY 2 SCORES'!$B$4:$H$152, 7, FALSE), 12)</f>
        <v>120</v>
      </c>
      <c r="E87">
        <f t="shared" si="1"/>
        <v>240</v>
      </c>
      <c r="F87">
        <f>IFERROR(VLOOKUP(A87, 'DAY 1 SCORES'!$B$4:$H$152, 3, FALSE), 0) + IFERROR(VLOOKUP(A87, 'DAY 2 SCORES'!$B$4:$H$152, 3, FALSE), 0)</f>
        <v>0</v>
      </c>
    </row>
    <row r="88" spans="1:6">
      <c r="A88" t="str">
        <f>REGISTRATION!B88</f>
        <v/>
      </c>
      <c r="B88" t="str">
        <f>REGISTRATION!C88</f>
        <v/>
      </c>
      <c r="C88">
        <f>IFERROR(VLOOKUP(A88, 'DAY 1 SCORES'!$B$4:$H$152, 7, FALSE), 12)</f>
        <v>120</v>
      </c>
      <c r="D88">
        <f>IFERROR(VLOOKUP(A88, 'DAY 2 SCORES'!$B$4:$H$152, 7, FALSE), 12)</f>
        <v>120</v>
      </c>
      <c r="E88">
        <f t="shared" si="1"/>
        <v>240</v>
      </c>
      <c r="F88">
        <f>IFERROR(VLOOKUP(A88, 'DAY 1 SCORES'!$B$4:$H$152, 3, FALSE), 0) + IFERROR(VLOOKUP(A88, 'DAY 2 SCORES'!$B$4:$H$152, 3, FALSE), 0)</f>
        <v>0</v>
      </c>
    </row>
    <row r="89" spans="1:6">
      <c r="A89" t="str">
        <f>REGISTRATION!B89</f>
        <v/>
      </c>
      <c r="B89" t="str">
        <f>REGISTRATION!C89</f>
        <v/>
      </c>
      <c r="C89">
        <f>IFERROR(VLOOKUP(A89, 'DAY 1 SCORES'!$B$4:$H$152, 7, FALSE), 12)</f>
        <v>120</v>
      </c>
      <c r="D89">
        <f>IFERROR(VLOOKUP(A89, 'DAY 2 SCORES'!$B$4:$H$152, 7, FALSE), 12)</f>
        <v>120</v>
      </c>
      <c r="E89">
        <f t="shared" si="1"/>
        <v>240</v>
      </c>
      <c r="F89">
        <f>IFERROR(VLOOKUP(A89, 'DAY 1 SCORES'!$B$4:$H$152, 3, FALSE), 0) + IFERROR(VLOOKUP(A89, 'DAY 2 SCORES'!$B$4:$H$152, 3, FALSE), 0)</f>
        <v>0</v>
      </c>
    </row>
    <row r="90" spans="1:6">
      <c r="A90" t="str">
        <f>REGISTRATION!B90</f>
        <v/>
      </c>
      <c r="B90" t="str">
        <f>REGISTRATION!C90</f>
        <v/>
      </c>
      <c r="C90">
        <f>IFERROR(VLOOKUP(A90, 'DAY 1 SCORES'!$B$4:$H$152, 7, FALSE), 12)</f>
        <v>120</v>
      </c>
      <c r="D90">
        <f>IFERROR(VLOOKUP(A90, 'DAY 2 SCORES'!$B$4:$H$152, 7, FALSE), 12)</f>
        <v>120</v>
      </c>
      <c r="E90">
        <f t="shared" si="1"/>
        <v>240</v>
      </c>
      <c r="F90">
        <f>IFERROR(VLOOKUP(A90, 'DAY 1 SCORES'!$B$4:$H$152, 3, FALSE), 0) + IFERROR(VLOOKUP(A90, 'DAY 2 SCORES'!$B$4:$H$152, 3, FALSE), 0)</f>
        <v>0</v>
      </c>
    </row>
    <row r="91" spans="1:6">
      <c r="A91" t="str">
        <f>REGISTRATION!B91</f>
        <v/>
      </c>
      <c r="B91" t="str">
        <f>REGISTRATION!C91</f>
        <v/>
      </c>
      <c r="C91">
        <f>IFERROR(VLOOKUP(A91, 'DAY 1 SCORES'!$B$4:$H$152, 7, FALSE), 12)</f>
        <v>120</v>
      </c>
      <c r="D91">
        <f>IFERROR(VLOOKUP(A91, 'DAY 2 SCORES'!$B$4:$H$152, 7, FALSE), 12)</f>
        <v>120</v>
      </c>
      <c r="E91">
        <f t="shared" si="1"/>
        <v>240</v>
      </c>
      <c r="F91">
        <f>IFERROR(VLOOKUP(A91, 'DAY 1 SCORES'!$B$4:$H$152, 3, FALSE), 0) + IFERROR(VLOOKUP(A91, 'DAY 2 SCORES'!$B$4:$H$152, 3, FALSE), 0)</f>
        <v>0</v>
      </c>
    </row>
    <row r="92" spans="1:6">
      <c r="A92" t="str">
        <f>REGISTRATION!B92</f>
        <v/>
      </c>
      <c r="B92" t="str">
        <f>REGISTRATION!C92</f>
        <v/>
      </c>
      <c r="C92">
        <f>IFERROR(VLOOKUP(A92, 'DAY 1 SCORES'!$B$4:$H$152, 7, FALSE), 12)</f>
        <v>120</v>
      </c>
      <c r="D92">
        <f>IFERROR(VLOOKUP(A92, 'DAY 2 SCORES'!$B$4:$H$152, 7, FALSE), 12)</f>
        <v>120</v>
      </c>
      <c r="E92">
        <f t="shared" si="1"/>
        <v>240</v>
      </c>
      <c r="F92">
        <f>IFERROR(VLOOKUP(A92, 'DAY 1 SCORES'!$B$4:$H$152, 3, FALSE), 0) + IFERROR(VLOOKUP(A92, 'DAY 2 SCORES'!$B$4:$H$152, 3, FALSE), 0)</f>
        <v>0</v>
      </c>
    </row>
    <row r="93" spans="1:6">
      <c r="A93" t="str">
        <f>REGISTRATION!B93</f>
        <v/>
      </c>
      <c r="B93" t="str">
        <f>REGISTRATION!C93</f>
        <v/>
      </c>
      <c r="C93">
        <f>IFERROR(VLOOKUP(A93, 'DAY 1 SCORES'!$B$4:$H$152, 7, FALSE), 12)</f>
        <v>120</v>
      </c>
      <c r="D93">
        <f>IFERROR(VLOOKUP(A93, 'DAY 2 SCORES'!$B$4:$H$152, 7, FALSE), 12)</f>
        <v>120</v>
      </c>
      <c r="E93">
        <f t="shared" si="1"/>
        <v>240</v>
      </c>
      <c r="F93">
        <f>IFERROR(VLOOKUP(A93, 'DAY 1 SCORES'!$B$4:$H$152, 3, FALSE), 0) + IFERROR(VLOOKUP(A93, 'DAY 2 SCORES'!$B$4:$H$152, 3, FALSE), 0)</f>
        <v>0</v>
      </c>
    </row>
    <row r="94" spans="1:6">
      <c r="A94" t="str">
        <f>REGISTRATION!B94</f>
        <v/>
      </c>
      <c r="B94" t="str">
        <f>REGISTRATION!C94</f>
        <v/>
      </c>
      <c r="C94">
        <f>IFERROR(VLOOKUP(A94, 'DAY 1 SCORES'!$B$4:$H$152, 7, FALSE), 12)</f>
        <v>120</v>
      </c>
      <c r="D94">
        <f>IFERROR(VLOOKUP(A94, 'DAY 2 SCORES'!$B$4:$H$152, 7, FALSE), 12)</f>
        <v>120</v>
      </c>
      <c r="E94">
        <f t="shared" si="1"/>
        <v>240</v>
      </c>
      <c r="F94">
        <f>IFERROR(VLOOKUP(A94, 'DAY 1 SCORES'!$B$4:$H$152, 3, FALSE), 0) + IFERROR(VLOOKUP(A94, 'DAY 2 SCORES'!$B$4:$H$152, 3, FALSE), 0)</f>
        <v>0</v>
      </c>
    </row>
    <row r="95" spans="1:6">
      <c r="A95" t="str">
        <f>REGISTRATION!B95</f>
        <v/>
      </c>
      <c r="B95" t="str">
        <f>REGISTRATION!C95</f>
        <v/>
      </c>
      <c r="C95">
        <f>IFERROR(VLOOKUP(A95, 'DAY 1 SCORES'!$B$4:$H$152, 7, FALSE), 12)</f>
        <v>120</v>
      </c>
      <c r="D95">
        <f>IFERROR(VLOOKUP(A95, 'DAY 2 SCORES'!$B$4:$H$152, 7, FALSE), 12)</f>
        <v>120</v>
      </c>
      <c r="E95">
        <f t="shared" si="1"/>
        <v>240</v>
      </c>
      <c r="F95">
        <f>IFERROR(VLOOKUP(A95, 'DAY 1 SCORES'!$B$4:$H$152, 3, FALSE), 0) + IFERROR(VLOOKUP(A95, 'DAY 2 SCORES'!$B$4:$H$152, 3, FALSE), 0)</f>
        <v>0</v>
      </c>
    </row>
    <row r="96" spans="1:6">
      <c r="A96" t="str">
        <f>REGISTRATION!B96</f>
        <v/>
      </c>
      <c r="B96" t="str">
        <f>REGISTRATION!C96</f>
        <v/>
      </c>
      <c r="C96">
        <f>IFERROR(VLOOKUP(A96, 'DAY 1 SCORES'!$B$4:$H$152, 7, FALSE), 12)</f>
        <v>120</v>
      </c>
      <c r="D96">
        <f>IFERROR(VLOOKUP(A96, 'DAY 2 SCORES'!$B$4:$H$152, 7, FALSE), 12)</f>
        <v>120</v>
      </c>
      <c r="E96">
        <f t="shared" si="1"/>
        <v>240</v>
      </c>
      <c r="F96">
        <f>IFERROR(VLOOKUP(A96, 'DAY 1 SCORES'!$B$4:$H$152, 3, FALSE), 0) + IFERROR(VLOOKUP(A96, 'DAY 2 SCORES'!$B$4:$H$152, 3, FALSE), 0)</f>
        <v>0</v>
      </c>
    </row>
    <row r="97" spans="1:6">
      <c r="A97" t="str">
        <f>REGISTRATION!B97</f>
        <v/>
      </c>
      <c r="B97" t="str">
        <f>REGISTRATION!C97</f>
        <v/>
      </c>
      <c r="C97">
        <f>IFERROR(VLOOKUP(A97, 'DAY 1 SCORES'!$B$4:$H$152, 7, FALSE), 12)</f>
        <v>120</v>
      </c>
      <c r="D97">
        <f>IFERROR(VLOOKUP(A97, 'DAY 2 SCORES'!$B$4:$H$152, 7, FALSE), 12)</f>
        <v>120</v>
      </c>
      <c r="E97">
        <f t="shared" si="1"/>
        <v>240</v>
      </c>
      <c r="F97">
        <f>IFERROR(VLOOKUP(A97, 'DAY 1 SCORES'!$B$4:$H$152, 3, FALSE), 0) + IFERROR(VLOOKUP(A97, 'DAY 2 SCORES'!$B$4:$H$152, 3, FALSE), 0)</f>
        <v>0</v>
      </c>
    </row>
    <row r="98" spans="1:6">
      <c r="A98" t="str">
        <f>REGISTRATION!B98</f>
        <v/>
      </c>
      <c r="B98" t="str">
        <f>REGISTRATION!C98</f>
        <v/>
      </c>
      <c r="C98">
        <f>IFERROR(VLOOKUP(A98, 'DAY 1 SCORES'!$B$4:$H$152, 7, FALSE), 12)</f>
        <v>120</v>
      </c>
      <c r="D98">
        <f>IFERROR(VLOOKUP(A98, 'DAY 2 SCORES'!$B$4:$H$152, 7, FALSE), 12)</f>
        <v>120</v>
      </c>
      <c r="E98">
        <f t="shared" si="1"/>
        <v>240</v>
      </c>
      <c r="F98">
        <f>IFERROR(VLOOKUP(A98, 'DAY 1 SCORES'!$B$4:$H$152, 3, FALSE), 0) + IFERROR(VLOOKUP(A98, 'DAY 2 SCORES'!$B$4:$H$152, 3, FALSE), 0)</f>
        <v>0</v>
      </c>
    </row>
    <row r="99" spans="1:6">
      <c r="A99" t="str">
        <f>REGISTRATION!B99</f>
        <v/>
      </c>
      <c r="B99" t="str">
        <f>REGISTRATION!C99</f>
        <v/>
      </c>
      <c r="C99">
        <f>IFERROR(VLOOKUP(A99, 'DAY 1 SCORES'!$B$4:$H$152, 7, FALSE), 12)</f>
        <v>120</v>
      </c>
      <c r="D99">
        <f>IFERROR(VLOOKUP(A99, 'DAY 2 SCORES'!$B$4:$H$152, 7, FALSE), 12)</f>
        <v>120</v>
      </c>
      <c r="E99">
        <f t="shared" si="1"/>
        <v>240</v>
      </c>
      <c r="F99">
        <f>IFERROR(VLOOKUP(A99, 'DAY 1 SCORES'!$B$4:$H$152, 3, FALSE), 0) + IFERROR(VLOOKUP(A99, 'DAY 2 SCORES'!$B$4:$H$152, 3, FALSE), 0)</f>
        <v>0</v>
      </c>
    </row>
    <row r="100" spans="1:6">
      <c r="A100" t="str">
        <f>REGISTRATION!B100</f>
        <v/>
      </c>
      <c r="B100" t="str">
        <f>REGISTRATION!C100</f>
        <v/>
      </c>
      <c r="C100">
        <f>IFERROR(VLOOKUP(A100, 'DAY 1 SCORES'!$B$4:$H$152, 7, FALSE), 12)</f>
        <v>120</v>
      </c>
      <c r="D100">
        <f>IFERROR(VLOOKUP(A100, 'DAY 2 SCORES'!$B$4:$H$152, 7, FALSE), 12)</f>
        <v>120</v>
      </c>
      <c r="E100">
        <f t="shared" si="1"/>
        <v>240</v>
      </c>
      <c r="F100">
        <f>IFERROR(VLOOKUP(A100, 'DAY 1 SCORES'!$B$4:$H$152, 3, FALSE), 0) + IFERROR(VLOOKUP(A100, 'DAY 2 SCORES'!$B$4:$H$152, 3, FALSE), 0)</f>
        <v>0</v>
      </c>
    </row>
    <row r="101" spans="1:6">
      <c r="A101" t="str">
        <f>REGISTRATION!B101</f>
        <v/>
      </c>
      <c r="B101" t="str">
        <f>REGISTRATION!C101</f>
        <v/>
      </c>
      <c r="C101">
        <f>IFERROR(VLOOKUP(A101, 'DAY 1 SCORES'!$B$4:$H$152, 7, FALSE), 12)</f>
        <v>120</v>
      </c>
      <c r="D101">
        <f>IFERROR(VLOOKUP(A101, 'DAY 2 SCORES'!$B$4:$H$152, 7, FALSE), 12)</f>
        <v>120</v>
      </c>
      <c r="E101">
        <f t="shared" si="1"/>
        <v>240</v>
      </c>
      <c r="F101">
        <f>IFERROR(VLOOKUP(A101, 'DAY 1 SCORES'!$B$4:$H$152, 3, FALSE), 0) + IFERROR(VLOOKUP(A101, 'DAY 2 SCORES'!$B$4:$H$152, 3, FALSE), 0)</f>
        <v>0</v>
      </c>
    </row>
    <row r="102" spans="1:6">
      <c r="A102" t="str">
        <f>REGISTRATION!B102</f>
        <v/>
      </c>
      <c r="B102" t="str">
        <f>REGISTRATION!C102</f>
        <v/>
      </c>
      <c r="C102">
        <f>IFERROR(VLOOKUP(A102, 'DAY 1 SCORES'!$B$4:$H$152, 7, FALSE), 12)</f>
        <v>120</v>
      </c>
      <c r="D102">
        <f>IFERROR(VLOOKUP(A102, 'DAY 2 SCORES'!$B$4:$H$152, 7, FALSE), 12)</f>
        <v>120</v>
      </c>
      <c r="E102">
        <f t="shared" si="1"/>
        <v>240</v>
      </c>
      <c r="F102">
        <f>IFERROR(VLOOKUP(A102, 'DAY 1 SCORES'!$B$4:$H$152, 3, FALSE), 0) + IFERROR(VLOOKUP(A102, 'DAY 2 SCORES'!$B$4:$H$152, 3, FALSE), 0)</f>
        <v>0</v>
      </c>
    </row>
    <row r="103" spans="1:6">
      <c r="A103" t="str">
        <f>REGISTRATION!B103</f>
        <v/>
      </c>
      <c r="B103" t="str">
        <f>REGISTRATION!C103</f>
        <v/>
      </c>
      <c r="C103">
        <f>IFERROR(VLOOKUP(A103, 'DAY 1 SCORES'!$B$4:$H$152, 7, FALSE), 12)</f>
        <v>120</v>
      </c>
      <c r="D103">
        <f>IFERROR(VLOOKUP(A103, 'DAY 2 SCORES'!$B$4:$H$152, 7, FALSE), 12)</f>
        <v>120</v>
      </c>
      <c r="E103">
        <f t="shared" si="1"/>
        <v>240</v>
      </c>
      <c r="F103">
        <f>IFERROR(VLOOKUP(A103, 'DAY 1 SCORES'!$B$4:$H$152, 3, FALSE), 0) + IFERROR(VLOOKUP(A103, 'DAY 2 SCORES'!$B$4:$H$152, 3, FALSE), 0)</f>
        <v>0</v>
      </c>
    </row>
    <row r="104" spans="1:6">
      <c r="A104" t="str">
        <f>REGISTRATION!B104</f>
        <v/>
      </c>
      <c r="B104" t="str">
        <f>REGISTRATION!C104</f>
        <v/>
      </c>
      <c r="C104">
        <f>IFERROR(VLOOKUP(A104, 'DAY 1 SCORES'!$B$4:$H$152, 7, FALSE), 12)</f>
        <v>120</v>
      </c>
      <c r="D104">
        <f>IFERROR(VLOOKUP(A104, 'DAY 2 SCORES'!$B$4:$H$152, 7, FALSE), 12)</f>
        <v>120</v>
      </c>
      <c r="E104">
        <f t="shared" si="1"/>
        <v>240</v>
      </c>
      <c r="F104">
        <f>IFERROR(VLOOKUP(A104, 'DAY 1 SCORES'!$B$4:$H$152, 3, FALSE), 0) + IFERROR(VLOOKUP(A104, 'DAY 2 SCORES'!$B$4:$H$152, 3, FALSE), 0)</f>
        <v>0</v>
      </c>
    </row>
    <row r="105" spans="1:6">
      <c r="A105" t="str">
        <f>REGISTRATION!B105</f>
        <v/>
      </c>
      <c r="B105" t="str">
        <f>REGISTRATION!C105</f>
        <v/>
      </c>
      <c r="C105">
        <f>IFERROR(VLOOKUP(A105, 'DAY 1 SCORES'!$B$4:$H$152, 7, FALSE), 12)</f>
        <v>120</v>
      </c>
      <c r="D105">
        <f>IFERROR(VLOOKUP(A105, 'DAY 2 SCORES'!$B$4:$H$152, 7, FALSE), 12)</f>
        <v>120</v>
      </c>
      <c r="E105">
        <f t="shared" si="1"/>
        <v>240</v>
      </c>
      <c r="F105">
        <f>IFERROR(VLOOKUP(A105, 'DAY 1 SCORES'!$B$4:$H$152, 3, FALSE), 0) + IFERROR(VLOOKUP(A105, 'DAY 2 SCORES'!$B$4:$H$152, 3, FALSE), 0)</f>
        <v>0</v>
      </c>
    </row>
    <row r="106" spans="1:6">
      <c r="A106" t="str">
        <f>REGISTRATION!B106</f>
        <v/>
      </c>
      <c r="B106" t="str">
        <f>REGISTRATION!C106</f>
        <v/>
      </c>
      <c r="C106">
        <f>IFERROR(VLOOKUP(A106, 'DAY 1 SCORES'!$B$4:$H$152, 7, FALSE), 12)</f>
        <v>120</v>
      </c>
      <c r="D106">
        <f>IFERROR(VLOOKUP(A106, 'DAY 2 SCORES'!$B$4:$H$152, 7, FALSE), 12)</f>
        <v>120</v>
      </c>
      <c r="E106">
        <f t="shared" si="1"/>
        <v>240</v>
      </c>
      <c r="F106">
        <f>IFERROR(VLOOKUP(A106, 'DAY 1 SCORES'!$B$4:$H$152, 3, FALSE), 0) + IFERROR(VLOOKUP(A106, 'DAY 2 SCORES'!$B$4:$H$152, 3, FALSE), 0)</f>
        <v>0</v>
      </c>
    </row>
    <row r="107" spans="1:6">
      <c r="A107" t="str">
        <f>REGISTRATION!B107</f>
        <v/>
      </c>
      <c r="B107" t="str">
        <f>REGISTRATION!C107</f>
        <v/>
      </c>
      <c r="C107">
        <f>IFERROR(VLOOKUP(A107, 'DAY 1 SCORES'!$B$4:$H$152, 7, FALSE), 12)</f>
        <v>120</v>
      </c>
      <c r="D107">
        <f>IFERROR(VLOOKUP(A107, 'DAY 2 SCORES'!$B$4:$H$152, 7, FALSE), 12)</f>
        <v>120</v>
      </c>
      <c r="E107">
        <f t="shared" si="1"/>
        <v>240</v>
      </c>
      <c r="F107">
        <f>IFERROR(VLOOKUP(A107, 'DAY 1 SCORES'!$B$4:$H$152, 3, FALSE), 0) + IFERROR(VLOOKUP(A107, 'DAY 2 SCORES'!$B$4:$H$152, 3, FALSE), 0)</f>
        <v>0</v>
      </c>
    </row>
    <row r="108" spans="1:6">
      <c r="A108" t="str">
        <f>REGISTRATION!B108</f>
        <v/>
      </c>
      <c r="B108" t="str">
        <f>REGISTRATION!C108</f>
        <v/>
      </c>
      <c r="C108">
        <f>IFERROR(VLOOKUP(A108, 'DAY 1 SCORES'!$B$4:$H$152, 7, FALSE), 12)</f>
        <v>120</v>
      </c>
      <c r="D108">
        <f>IFERROR(VLOOKUP(A108, 'DAY 2 SCORES'!$B$4:$H$152, 7, FALSE), 12)</f>
        <v>120</v>
      </c>
      <c r="E108">
        <f t="shared" si="1"/>
        <v>240</v>
      </c>
      <c r="F108">
        <f>IFERROR(VLOOKUP(A108, 'DAY 1 SCORES'!$B$4:$H$152, 3, FALSE), 0) + IFERROR(VLOOKUP(A108, 'DAY 2 SCORES'!$B$4:$H$152, 3, FALSE), 0)</f>
        <v>0</v>
      </c>
    </row>
    <row r="109" spans="1:6">
      <c r="A109" t="str">
        <f>REGISTRATION!B109</f>
        <v/>
      </c>
      <c r="B109" t="str">
        <f>REGISTRATION!C109</f>
        <v/>
      </c>
      <c r="C109">
        <f>IFERROR(VLOOKUP(A109, 'DAY 1 SCORES'!$B$4:$H$152, 7, FALSE), 12)</f>
        <v>120</v>
      </c>
      <c r="D109">
        <f>IFERROR(VLOOKUP(A109, 'DAY 2 SCORES'!$B$4:$H$152, 7, FALSE), 12)</f>
        <v>120</v>
      </c>
      <c r="E109">
        <f t="shared" si="1"/>
        <v>240</v>
      </c>
      <c r="F109">
        <f>IFERROR(VLOOKUP(A109, 'DAY 1 SCORES'!$B$4:$H$152, 3, FALSE), 0) + IFERROR(VLOOKUP(A109, 'DAY 2 SCORES'!$B$4:$H$152, 3, FALSE), 0)</f>
        <v>0</v>
      </c>
    </row>
    <row r="110" spans="1:6">
      <c r="A110" t="str">
        <f>REGISTRATION!B110</f>
        <v/>
      </c>
      <c r="B110" t="str">
        <f>REGISTRATION!C110</f>
        <v/>
      </c>
      <c r="C110">
        <f>IFERROR(VLOOKUP(A110, 'DAY 1 SCORES'!$B$4:$H$152, 7, FALSE), 12)</f>
        <v>120</v>
      </c>
      <c r="D110">
        <f>IFERROR(VLOOKUP(A110, 'DAY 2 SCORES'!$B$4:$H$152, 7, FALSE), 12)</f>
        <v>120</v>
      </c>
      <c r="E110">
        <f t="shared" si="1"/>
        <v>240</v>
      </c>
      <c r="F110">
        <f>IFERROR(VLOOKUP(A110, 'DAY 1 SCORES'!$B$4:$H$152, 3, FALSE), 0) + IFERROR(VLOOKUP(A110, 'DAY 2 SCORES'!$B$4:$H$152, 3, FALSE), 0)</f>
        <v>0</v>
      </c>
    </row>
    <row r="111" spans="1:6">
      <c r="A111" t="str">
        <f>REGISTRATION!B111</f>
        <v/>
      </c>
      <c r="B111" t="str">
        <f>REGISTRATION!C111</f>
        <v/>
      </c>
      <c r="C111">
        <f>IFERROR(VLOOKUP(A111, 'DAY 1 SCORES'!$B$4:$H$152, 7, FALSE), 12)</f>
        <v>120</v>
      </c>
      <c r="D111">
        <f>IFERROR(VLOOKUP(A111, 'DAY 2 SCORES'!$B$4:$H$152, 7, FALSE), 12)</f>
        <v>120</v>
      </c>
      <c r="E111">
        <f t="shared" si="1"/>
        <v>240</v>
      </c>
      <c r="F111">
        <f>IFERROR(VLOOKUP(A111, 'DAY 1 SCORES'!$B$4:$H$152, 3, FALSE), 0) + IFERROR(VLOOKUP(A111, 'DAY 2 SCORES'!$B$4:$H$152, 3, FALSE), 0)</f>
        <v>0</v>
      </c>
    </row>
    <row r="112" spans="1:6">
      <c r="A112" t="str">
        <f>REGISTRATION!B112</f>
        <v/>
      </c>
      <c r="B112" t="str">
        <f>REGISTRATION!C112</f>
        <v/>
      </c>
      <c r="C112">
        <f>IFERROR(VLOOKUP(A112, 'DAY 1 SCORES'!$B$4:$H$152, 7, FALSE), 12)</f>
        <v>120</v>
      </c>
      <c r="D112">
        <f>IFERROR(VLOOKUP(A112, 'DAY 2 SCORES'!$B$4:$H$152, 7, FALSE), 12)</f>
        <v>120</v>
      </c>
      <c r="E112">
        <f t="shared" si="1"/>
        <v>240</v>
      </c>
      <c r="F112">
        <f>IFERROR(VLOOKUP(A112, 'DAY 1 SCORES'!$B$4:$H$152, 3, FALSE), 0) + IFERROR(VLOOKUP(A112, 'DAY 2 SCORES'!$B$4:$H$152, 3, FALSE), 0)</f>
        <v>0</v>
      </c>
    </row>
    <row r="113" spans="1:6">
      <c r="A113" t="str">
        <f>REGISTRATION!B113</f>
        <v/>
      </c>
      <c r="B113" t="str">
        <f>REGISTRATION!C113</f>
        <v/>
      </c>
      <c r="C113">
        <f>IFERROR(VLOOKUP(A113, 'DAY 1 SCORES'!$B$4:$H$152, 7, FALSE), 12)</f>
        <v>120</v>
      </c>
      <c r="D113">
        <f>IFERROR(VLOOKUP(A113, 'DAY 2 SCORES'!$B$4:$H$152, 7, FALSE), 12)</f>
        <v>120</v>
      </c>
      <c r="E113">
        <f t="shared" si="1"/>
        <v>240</v>
      </c>
      <c r="F113">
        <f>IFERROR(VLOOKUP(A113, 'DAY 1 SCORES'!$B$4:$H$152, 3, FALSE), 0) + IFERROR(VLOOKUP(A113, 'DAY 2 SCORES'!$B$4:$H$152, 3, FALSE), 0)</f>
        <v>0</v>
      </c>
    </row>
    <row r="114" spans="1:6">
      <c r="A114" t="str">
        <f>REGISTRATION!B114</f>
        <v/>
      </c>
      <c r="B114" t="str">
        <f>REGISTRATION!C114</f>
        <v/>
      </c>
      <c r="C114">
        <f>IFERROR(VLOOKUP(A114, 'DAY 1 SCORES'!$B$4:$H$152, 7, FALSE), 12)</f>
        <v>120</v>
      </c>
      <c r="D114">
        <f>IFERROR(VLOOKUP(A114, 'DAY 2 SCORES'!$B$4:$H$152, 7, FALSE), 12)</f>
        <v>120</v>
      </c>
      <c r="E114">
        <f t="shared" si="1"/>
        <v>240</v>
      </c>
      <c r="F114">
        <f>IFERROR(VLOOKUP(A114, 'DAY 1 SCORES'!$B$4:$H$152, 3, FALSE), 0) + IFERROR(VLOOKUP(A114, 'DAY 2 SCORES'!$B$4:$H$152, 3, FALSE), 0)</f>
        <v>0</v>
      </c>
    </row>
    <row r="115" spans="1:6">
      <c r="A115" t="str">
        <f>REGISTRATION!B115</f>
        <v/>
      </c>
      <c r="B115" t="str">
        <f>REGISTRATION!C115</f>
        <v/>
      </c>
      <c r="C115">
        <f>IFERROR(VLOOKUP(A115, 'DAY 1 SCORES'!$B$4:$H$152, 7, FALSE), 12)</f>
        <v>120</v>
      </c>
      <c r="D115">
        <f>IFERROR(VLOOKUP(A115, 'DAY 2 SCORES'!$B$4:$H$152, 7, FALSE), 12)</f>
        <v>120</v>
      </c>
      <c r="E115">
        <f t="shared" si="1"/>
        <v>240</v>
      </c>
      <c r="F115">
        <f>IFERROR(VLOOKUP(A115, 'DAY 1 SCORES'!$B$4:$H$152, 3, FALSE), 0) + IFERROR(VLOOKUP(A115, 'DAY 2 SCORES'!$B$4:$H$152, 3, FALSE), 0)</f>
        <v>0</v>
      </c>
    </row>
    <row r="116" spans="1:6">
      <c r="A116" t="str">
        <f>REGISTRATION!B116</f>
        <v/>
      </c>
      <c r="B116" t="str">
        <f>REGISTRATION!C116</f>
        <v/>
      </c>
      <c r="C116">
        <f>IFERROR(VLOOKUP(A116, 'DAY 1 SCORES'!$B$4:$H$152, 7, FALSE), 12)</f>
        <v>120</v>
      </c>
      <c r="D116">
        <f>IFERROR(VLOOKUP(A116, 'DAY 2 SCORES'!$B$4:$H$152, 7, FALSE), 12)</f>
        <v>120</v>
      </c>
      <c r="E116">
        <f t="shared" si="1"/>
        <v>240</v>
      </c>
      <c r="F116">
        <f>IFERROR(VLOOKUP(A116, 'DAY 1 SCORES'!$B$4:$H$152, 3, FALSE), 0) + IFERROR(VLOOKUP(A116, 'DAY 2 SCORES'!$B$4:$H$152, 3, FALSE), 0)</f>
        <v>0</v>
      </c>
    </row>
    <row r="117" spans="1:6">
      <c r="A117" t="str">
        <f>REGISTRATION!B117</f>
        <v/>
      </c>
      <c r="B117" t="str">
        <f>REGISTRATION!C117</f>
        <v/>
      </c>
      <c r="C117">
        <f>IFERROR(VLOOKUP(A117, 'DAY 1 SCORES'!$B$4:$H$152, 7, FALSE), 12)</f>
        <v>120</v>
      </c>
      <c r="D117">
        <f>IFERROR(VLOOKUP(A117, 'DAY 2 SCORES'!$B$4:$H$152, 7, FALSE), 12)</f>
        <v>120</v>
      </c>
      <c r="E117">
        <f t="shared" si="1"/>
        <v>240</v>
      </c>
      <c r="F117">
        <f>IFERROR(VLOOKUP(A117, 'DAY 1 SCORES'!$B$4:$H$152, 3, FALSE), 0) + IFERROR(VLOOKUP(A117, 'DAY 2 SCORES'!$B$4:$H$152, 3, FALSE), 0)</f>
        <v>0</v>
      </c>
    </row>
    <row r="118" spans="1:6">
      <c r="A118" t="str">
        <f>REGISTRATION!B118</f>
        <v/>
      </c>
      <c r="B118" t="str">
        <f>REGISTRATION!C118</f>
        <v/>
      </c>
      <c r="C118">
        <f>IFERROR(VLOOKUP(A118, 'DAY 1 SCORES'!$B$4:$H$152, 7, FALSE), 12)</f>
        <v>120</v>
      </c>
      <c r="D118">
        <f>IFERROR(VLOOKUP(A118, 'DAY 2 SCORES'!$B$4:$H$152, 7, FALSE), 12)</f>
        <v>120</v>
      </c>
      <c r="E118">
        <f t="shared" si="1"/>
        <v>240</v>
      </c>
      <c r="F118">
        <f>IFERROR(VLOOKUP(A118, 'DAY 1 SCORES'!$B$4:$H$152, 3, FALSE), 0) + IFERROR(VLOOKUP(A118, 'DAY 2 SCORES'!$B$4:$H$152, 3, FALSE), 0)</f>
        <v>0</v>
      </c>
    </row>
    <row r="119" spans="1:6">
      <c r="A119" t="str">
        <f>REGISTRATION!B119</f>
        <v/>
      </c>
      <c r="B119" t="str">
        <f>REGISTRATION!C119</f>
        <v/>
      </c>
      <c r="C119">
        <f>IFERROR(VLOOKUP(A119, 'DAY 1 SCORES'!$B$4:$H$152, 7, FALSE), 12)</f>
        <v>120</v>
      </c>
      <c r="D119">
        <f>IFERROR(VLOOKUP(A119, 'DAY 2 SCORES'!$B$4:$H$152, 7, FALSE), 12)</f>
        <v>120</v>
      </c>
      <c r="E119">
        <f t="shared" si="1"/>
        <v>240</v>
      </c>
      <c r="F119">
        <f>IFERROR(VLOOKUP(A119, 'DAY 1 SCORES'!$B$4:$H$152, 3, FALSE), 0) + IFERROR(VLOOKUP(A119, 'DAY 2 SCORES'!$B$4:$H$152, 3, FALSE), 0)</f>
        <v>0</v>
      </c>
    </row>
    <row r="120" spans="1:6">
      <c r="A120" t="str">
        <f>REGISTRATION!B120</f>
        <v/>
      </c>
      <c r="B120" t="str">
        <f>REGISTRATION!C120</f>
        <v/>
      </c>
      <c r="C120">
        <f>IFERROR(VLOOKUP(A120, 'DAY 1 SCORES'!$B$4:$H$152, 7, FALSE), 12)</f>
        <v>120</v>
      </c>
      <c r="D120">
        <f>IFERROR(VLOOKUP(A120, 'DAY 2 SCORES'!$B$4:$H$152, 7, FALSE), 12)</f>
        <v>120</v>
      </c>
      <c r="E120">
        <f t="shared" si="1"/>
        <v>240</v>
      </c>
      <c r="F120">
        <f>IFERROR(VLOOKUP(A120, 'DAY 1 SCORES'!$B$4:$H$152, 3, FALSE), 0) + IFERROR(VLOOKUP(A120, 'DAY 2 SCORES'!$B$4:$H$152, 3, FALSE), 0)</f>
        <v>0</v>
      </c>
    </row>
    <row r="121" spans="1:6">
      <c r="A121" t="str">
        <f>REGISTRATION!B121</f>
        <v/>
      </c>
      <c r="B121" t="str">
        <f>REGISTRATION!C121</f>
        <v/>
      </c>
      <c r="C121">
        <f>IFERROR(VLOOKUP(A121, 'DAY 1 SCORES'!$B$4:$H$152, 7, FALSE), 12)</f>
        <v>120</v>
      </c>
      <c r="D121">
        <f>IFERROR(VLOOKUP(A121, 'DAY 2 SCORES'!$B$4:$H$152, 7, FALSE), 12)</f>
        <v>120</v>
      </c>
      <c r="E121">
        <f t="shared" si="1"/>
        <v>240</v>
      </c>
      <c r="F121">
        <f>IFERROR(VLOOKUP(A121, 'DAY 1 SCORES'!$B$4:$H$152, 3, FALSE), 0) + IFERROR(VLOOKUP(A121, 'DAY 2 SCORES'!$B$4:$H$152, 3, FALSE), 0)</f>
        <v>0</v>
      </c>
    </row>
    <row r="122" spans="1:6">
      <c r="A122" t="str">
        <f>REGISTRATION!B122</f>
        <v/>
      </c>
      <c r="B122" t="str">
        <f>REGISTRATION!C122</f>
        <v/>
      </c>
      <c r="C122">
        <f>IFERROR(VLOOKUP(A122, 'DAY 1 SCORES'!$B$4:$H$152, 7, FALSE), 12)</f>
        <v>120</v>
      </c>
      <c r="D122">
        <f>IFERROR(VLOOKUP(A122, 'DAY 2 SCORES'!$B$4:$H$152, 7, FALSE), 12)</f>
        <v>120</v>
      </c>
      <c r="E122">
        <f t="shared" si="1"/>
        <v>240</v>
      </c>
      <c r="F122">
        <f>IFERROR(VLOOKUP(A122, 'DAY 1 SCORES'!$B$4:$H$152, 3, FALSE), 0) + IFERROR(VLOOKUP(A122, 'DAY 2 SCORES'!$B$4:$H$152, 3, FALSE), 0)</f>
        <v>0</v>
      </c>
    </row>
    <row r="123" spans="1:6">
      <c r="A123" t="str">
        <f>REGISTRATION!B123</f>
        <v/>
      </c>
      <c r="B123" t="str">
        <f>REGISTRATION!C123</f>
        <v/>
      </c>
      <c r="C123">
        <f>IFERROR(VLOOKUP(A123, 'DAY 1 SCORES'!$B$4:$H$152, 7, FALSE), 12)</f>
        <v>120</v>
      </c>
      <c r="D123">
        <f>IFERROR(VLOOKUP(A123, 'DAY 2 SCORES'!$B$4:$H$152, 7, FALSE), 12)</f>
        <v>120</v>
      </c>
      <c r="E123">
        <f t="shared" si="1"/>
        <v>240</v>
      </c>
      <c r="F123">
        <f>IFERROR(VLOOKUP(A123, 'DAY 1 SCORES'!$B$4:$H$152, 3, FALSE), 0) + IFERROR(VLOOKUP(A123, 'DAY 2 SCORES'!$B$4:$H$152, 3, FALSE), 0)</f>
        <v>0</v>
      </c>
    </row>
    <row r="124" spans="1:6">
      <c r="A124" t="str">
        <f>REGISTRATION!B124</f>
        <v/>
      </c>
      <c r="B124" t="str">
        <f>REGISTRATION!C124</f>
        <v/>
      </c>
      <c r="C124">
        <f>IFERROR(VLOOKUP(A124, 'DAY 1 SCORES'!$B$4:$H$152, 7, FALSE), 12)</f>
        <v>120</v>
      </c>
      <c r="D124">
        <f>IFERROR(VLOOKUP(A124, 'DAY 2 SCORES'!$B$4:$H$152, 7, FALSE), 12)</f>
        <v>120</v>
      </c>
      <c r="E124">
        <f t="shared" si="1"/>
        <v>240</v>
      </c>
      <c r="F124">
        <f>IFERROR(VLOOKUP(A124, 'DAY 1 SCORES'!$B$4:$H$152, 3, FALSE), 0) + IFERROR(VLOOKUP(A124, 'DAY 2 SCORES'!$B$4:$H$152, 3, FALSE), 0)</f>
        <v>0</v>
      </c>
    </row>
    <row r="125" spans="1:6">
      <c r="A125" t="str">
        <f>REGISTRATION!B125</f>
        <v/>
      </c>
      <c r="B125" t="str">
        <f>REGISTRATION!C125</f>
        <v/>
      </c>
      <c r="C125">
        <f>IFERROR(VLOOKUP(A125, 'DAY 1 SCORES'!$B$4:$H$152, 7, FALSE), 12)</f>
        <v>120</v>
      </c>
      <c r="D125">
        <f>IFERROR(VLOOKUP(A125, 'DAY 2 SCORES'!$B$4:$H$152, 7, FALSE), 12)</f>
        <v>120</v>
      </c>
      <c r="E125">
        <f t="shared" si="1"/>
        <v>240</v>
      </c>
      <c r="F125">
        <f>IFERROR(VLOOKUP(A125, 'DAY 1 SCORES'!$B$4:$H$152, 3, FALSE), 0) + IFERROR(VLOOKUP(A125, 'DAY 2 SCORES'!$B$4:$H$152, 3, FALSE), 0)</f>
        <v>0</v>
      </c>
    </row>
    <row r="126" spans="1:6">
      <c r="A126" t="str">
        <f>REGISTRATION!B126</f>
        <v/>
      </c>
      <c r="B126" t="str">
        <f>REGISTRATION!C126</f>
        <v/>
      </c>
      <c r="C126">
        <f>IFERROR(VLOOKUP(A126, 'DAY 1 SCORES'!$B$4:$H$152, 7, FALSE), 12)</f>
        <v>120</v>
      </c>
      <c r="D126">
        <f>IFERROR(VLOOKUP(A126, 'DAY 2 SCORES'!$B$4:$H$152, 7, FALSE), 12)</f>
        <v>120</v>
      </c>
      <c r="E126">
        <f t="shared" si="1"/>
        <v>240</v>
      </c>
      <c r="F126">
        <f>IFERROR(VLOOKUP(A126, 'DAY 1 SCORES'!$B$4:$H$152, 3, FALSE), 0) + IFERROR(VLOOKUP(A126, 'DAY 2 SCORES'!$B$4:$H$152, 3, FALSE), 0)</f>
        <v>0</v>
      </c>
    </row>
    <row r="127" spans="1:6">
      <c r="A127" t="str">
        <f>REGISTRATION!B127</f>
        <v/>
      </c>
      <c r="B127" t="str">
        <f>REGISTRATION!C127</f>
        <v/>
      </c>
      <c r="C127">
        <f>IFERROR(VLOOKUP(A127, 'DAY 1 SCORES'!$B$4:$H$152, 7, FALSE), 12)</f>
        <v>120</v>
      </c>
      <c r="D127">
        <f>IFERROR(VLOOKUP(A127, 'DAY 2 SCORES'!$B$4:$H$152, 7, FALSE), 12)</f>
        <v>120</v>
      </c>
      <c r="E127">
        <f t="shared" si="1"/>
        <v>240</v>
      </c>
      <c r="F127">
        <f>IFERROR(VLOOKUP(A127, 'DAY 1 SCORES'!$B$4:$H$152, 3, FALSE), 0) + IFERROR(VLOOKUP(A127, 'DAY 2 SCORES'!$B$4:$H$152, 3, FALSE), 0)</f>
        <v>0</v>
      </c>
    </row>
    <row r="128" spans="1:6">
      <c r="A128" t="str">
        <f>REGISTRATION!B128</f>
        <v/>
      </c>
      <c r="B128" t="str">
        <f>REGISTRATION!C128</f>
        <v/>
      </c>
      <c r="C128">
        <f>IFERROR(VLOOKUP(A128, 'DAY 1 SCORES'!$B$4:$H$152, 7, FALSE), 12)</f>
        <v>120</v>
      </c>
      <c r="D128">
        <f>IFERROR(VLOOKUP(A128, 'DAY 2 SCORES'!$B$4:$H$152, 7, FALSE), 12)</f>
        <v>120</v>
      </c>
      <c r="E128">
        <f t="shared" si="1"/>
        <v>240</v>
      </c>
      <c r="F128">
        <f>IFERROR(VLOOKUP(A128, 'DAY 1 SCORES'!$B$4:$H$152, 3, FALSE), 0) + IFERROR(VLOOKUP(A128, 'DAY 2 SCORES'!$B$4:$H$152, 3, FALSE), 0)</f>
        <v>0</v>
      </c>
    </row>
    <row r="129" spans="1:6">
      <c r="A129" t="str">
        <f>REGISTRATION!B129</f>
        <v/>
      </c>
      <c r="B129" t="str">
        <f>REGISTRATION!C129</f>
        <v/>
      </c>
      <c r="C129">
        <f>IFERROR(VLOOKUP(A129, 'DAY 1 SCORES'!$B$4:$H$152, 7, FALSE), 12)</f>
        <v>120</v>
      </c>
      <c r="D129">
        <f>IFERROR(VLOOKUP(A129, 'DAY 2 SCORES'!$B$4:$H$152, 7, FALSE), 12)</f>
        <v>120</v>
      </c>
      <c r="E129">
        <f t="shared" si="1"/>
        <v>240</v>
      </c>
      <c r="F129">
        <f>IFERROR(VLOOKUP(A129, 'DAY 1 SCORES'!$B$4:$H$152, 3, FALSE), 0) + IFERROR(VLOOKUP(A129, 'DAY 2 SCORES'!$B$4:$H$152, 3, FALSE), 0)</f>
        <v>0</v>
      </c>
    </row>
    <row r="130" spans="1:6">
      <c r="A130">
        <f>REGISTRATION!B130</f>
        <v>0</v>
      </c>
      <c r="B130">
        <f>REGISTRATION!C130</f>
        <v>0</v>
      </c>
      <c r="C130">
        <f>IFERROR(VLOOKUP(A130, 'DAY 1 SCORES'!$B$4:$H$152, 7, FALSE), 12)</f>
        <v>12</v>
      </c>
      <c r="D130">
        <f>IFERROR(VLOOKUP(A130, 'DAY 2 SCORES'!$B$4:$H$152, 7, FALSE), 12)</f>
        <v>12</v>
      </c>
      <c r="E130">
        <f t="shared" si="1"/>
        <v>24</v>
      </c>
      <c r="F130">
        <f>IFERROR(VLOOKUP(A130, 'DAY 1 SCORES'!$B$4:$H$152, 3, FALSE), 0) + IFERROR(VLOOKUP(A130, 'DAY 2 SCORES'!$B$4:$H$152, 3, FALSE), 0)</f>
        <v>0</v>
      </c>
    </row>
    <row r="131" spans="1:6">
      <c r="A131">
        <f>REGISTRATION!B131</f>
        <v>0</v>
      </c>
      <c r="B131">
        <f>REGISTRATION!C131</f>
        <v>0</v>
      </c>
      <c r="C131">
        <f>IFERROR(VLOOKUP(A131, 'DAY 1 SCORES'!$B$4:$H$152, 7, FALSE), 12)</f>
        <v>12</v>
      </c>
      <c r="D131">
        <f>IFERROR(VLOOKUP(A131, 'DAY 2 SCORES'!$B$4:$H$152, 7, FALSE), 12)</f>
        <v>12</v>
      </c>
      <c r="E131">
        <f t="shared" ref="E131:E150" si="2">C131+D131</f>
        <v>24</v>
      </c>
      <c r="F131">
        <f>IFERROR(VLOOKUP(A131, 'DAY 1 SCORES'!$B$4:$H$152, 3, FALSE), 0) + IFERROR(VLOOKUP(A131, 'DAY 2 SCORES'!$B$4:$H$152, 3, FALSE), 0)</f>
        <v>0</v>
      </c>
    </row>
    <row r="132" spans="1:6">
      <c r="A132">
        <f>REGISTRATION!B132</f>
        <v>0</v>
      </c>
      <c r="B132">
        <f>REGISTRATION!C132</f>
        <v>0</v>
      </c>
      <c r="C132">
        <f>IFERROR(VLOOKUP(A132, 'DAY 1 SCORES'!$B$4:$H$152, 7, FALSE), 12)</f>
        <v>12</v>
      </c>
      <c r="D132">
        <f>IFERROR(VLOOKUP(A132, 'DAY 2 SCORES'!$B$4:$H$152, 7, FALSE), 12)</f>
        <v>12</v>
      </c>
      <c r="E132">
        <f t="shared" si="2"/>
        <v>24</v>
      </c>
      <c r="F132">
        <f>IFERROR(VLOOKUP(A132, 'DAY 1 SCORES'!$B$4:$H$152, 3, FALSE), 0) + IFERROR(VLOOKUP(A132, 'DAY 2 SCORES'!$B$4:$H$152, 3, FALSE), 0)</f>
        <v>0</v>
      </c>
    </row>
    <row r="133" spans="1:6">
      <c r="A133">
        <f>REGISTRATION!B133</f>
        <v>0</v>
      </c>
      <c r="B133">
        <f>REGISTRATION!C133</f>
        <v>0</v>
      </c>
      <c r="C133">
        <f>IFERROR(VLOOKUP(A133, 'DAY 1 SCORES'!$B$4:$H$152, 7, FALSE), 12)</f>
        <v>12</v>
      </c>
      <c r="D133">
        <f>IFERROR(VLOOKUP(A133, 'DAY 2 SCORES'!$B$4:$H$152, 7, FALSE), 12)</f>
        <v>12</v>
      </c>
      <c r="E133">
        <f t="shared" si="2"/>
        <v>24</v>
      </c>
      <c r="F133">
        <f>IFERROR(VLOOKUP(A133, 'DAY 1 SCORES'!$B$4:$H$152, 3, FALSE), 0) + IFERROR(VLOOKUP(A133, 'DAY 2 SCORES'!$B$4:$H$152, 3, FALSE), 0)</f>
        <v>0</v>
      </c>
    </row>
    <row r="134" spans="1:6">
      <c r="A134">
        <f>REGISTRATION!B134</f>
        <v>0</v>
      </c>
      <c r="B134">
        <f>REGISTRATION!C134</f>
        <v>0</v>
      </c>
      <c r="C134">
        <f>IFERROR(VLOOKUP(A134, 'DAY 1 SCORES'!$B$4:$H$152, 7, FALSE), 12)</f>
        <v>12</v>
      </c>
      <c r="D134">
        <f>IFERROR(VLOOKUP(A134, 'DAY 2 SCORES'!$B$4:$H$152, 7, FALSE), 12)</f>
        <v>12</v>
      </c>
      <c r="E134">
        <f t="shared" si="2"/>
        <v>24</v>
      </c>
      <c r="F134">
        <f>IFERROR(VLOOKUP(A134, 'DAY 1 SCORES'!$B$4:$H$152, 3, FALSE), 0) + IFERROR(VLOOKUP(A134, 'DAY 2 SCORES'!$B$4:$H$152, 3, FALSE), 0)</f>
        <v>0</v>
      </c>
    </row>
    <row r="135" spans="1:6">
      <c r="A135">
        <f>REGISTRATION!B135</f>
        <v>0</v>
      </c>
      <c r="B135">
        <f>REGISTRATION!C135</f>
        <v>0</v>
      </c>
      <c r="C135">
        <f>IFERROR(VLOOKUP(A135, 'DAY 1 SCORES'!$B$4:$H$152, 7, FALSE), 12)</f>
        <v>12</v>
      </c>
      <c r="D135">
        <f>IFERROR(VLOOKUP(A135, 'DAY 2 SCORES'!$B$4:$H$152, 7, FALSE), 12)</f>
        <v>12</v>
      </c>
      <c r="E135">
        <f t="shared" si="2"/>
        <v>24</v>
      </c>
      <c r="F135">
        <f>IFERROR(VLOOKUP(A135, 'DAY 1 SCORES'!$B$4:$H$152, 3, FALSE), 0) + IFERROR(VLOOKUP(A135, 'DAY 2 SCORES'!$B$4:$H$152, 3, FALSE), 0)</f>
        <v>0</v>
      </c>
    </row>
    <row r="136" spans="1:6">
      <c r="A136">
        <f>REGISTRATION!B136</f>
        <v>0</v>
      </c>
      <c r="B136">
        <f>REGISTRATION!C136</f>
        <v>0</v>
      </c>
      <c r="C136">
        <f>IFERROR(VLOOKUP(A136, 'DAY 1 SCORES'!$B$4:$H$152, 7, FALSE), 12)</f>
        <v>12</v>
      </c>
      <c r="D136">
        <f>IFERROR(VLOOKUP(A136, 'DAY 2 SCORES'!$B$4:$H$152, 7, FALSE), 12)</f>
        <v>12</v>
      </c>
      <c r="E136">
        <f t="shared" si="2"/>
        <v>24</v>
      </c>
      <c r="F136">
        <f>IFERROR(VLOOKUP(A136, 'DAY 1 SCORES'!$B$4:$H$152, 3, FALSE), 0) + IFERROR(VLOOKUP(A136, 'DAY 2 SCORES'!$B$4:$H$152, 3, FALSE), 0)</f>
        <v>0</v>
      </c>
    </row>
    <row r="137" spans="1:6">
      <c r="A137">
        <f>REGISTRATION!B137</f>
        <v>0</v>
      </c>
      <c r="B137">
        <f>REGISTRATION!C137</f>
        <v>0</v>
      </c>
      <c r="C137">
        <f>IFERROR(VLOOKUP(A137, 'DAY 1 SCORES'!$B$4:$H$152, 7, FALSE), 12)</f>
        <v>12</v>
      </c>
      <c r="D137">
        <f>IFERROR(VLOOKUP(A137, 'DAY 2 SCORES'!$B$4:$H$152, 7, FALSE), 12)</f>
        <v>12</v>
      </c>
      <c r="E137">
        <f t="shared" si="2"/>
        <v>24</v>
      </c>
      <c r="F137">
        <f>IFERROR(VLOOKUP(A137, 'DAY 1 SCORES'!$B$4:$H$152, 3, FALSE), 0) + IFERROR(VLOOKUP(A137, 'DAY 2 SCORES'!$B$4:$H$152, 3, FALSE), 0)</f>
        <v>0</v>
      </c>
    </row>
    <row r="138" spans="1:6">
      <c r="A138">
        <f>REGISTRATION!B138</f>
        <v>0</v>
      </c>
      <c r="B138">
        <f>REGISTRATION!C138</f>
        <v>0</v>
      </c>
      <c r="C138">
        <f>IFERROR(VLOOKUP(A138, 'DAY 1 SCORES'!$B$4:$H$152, 7, FALSE), 12)</f>
        <v>12</v>
      </c>
      <c r="D138">
        <f>IFERROR(VLOOKUP(A138, 'DAY 2 SCORES'!$B$4:$H$152, 7, FALSE), 12)</f>
        <v>12</v>
      </c>
      <c r="E138">
        <f t="shared" si="2"/>
        <v>24</v>
      </c>
      <c r="F138">
        <f>IFERROR(VLOOKUP(A138, 'DAY 1 SCORES'!$B$4:$H$152, 3, FALSE), 0) + IFERROR(VLOOKUP(A138, 'DAY 2 SCORES'!$B$4:$H$152, 3, FALSE), 0)</f>
        <v>0</v>
      </c>
    </row>
    <row r="139" spans="1:6">
      <c r="A139">
        <f>REGISTRATION!B139</f>
        <v>0</v>
      </c>
      <c r="B139">
        <f>REGISTRATION!C139</f>
        <v>0</v>
      </c>
      <c r="C139">
        <f>IFERROR(VLOOKUP(A139, 'DAY 1 SCORES'!$B$4:$H$152, 7, FALSE), 12)</f>
        <v>12</v>
      </c>
      <c r="D139">
        <f>IFERROR(VLOOKUP(A139, 'DAY 2 SCORES'!$B$4:$H$152, 7, FALSE), 12)</f>
        <v>12</v>
      </c>
      <c r="E139">
        <f t="shared" si="2"/>
        <v>24</v>
      </c>
      <c r="F139">
        <f>IFERROR(VLOOKUP(A139, 'DAY 1 SCORES'!$B$4:$H$152, 3, FALSE), 0) + IFERROR(VLOOKUP(A139, 'DAY 2 SCORES'!$B$4:$H$152, 3, FALSE), 0)</f>
        <v>0</v>
      </c>
    </row>
    <row r="140" spans="1:6">
      <c r="A140">
        <f>REGISTRATION!B140</f>
        <v>0</v>
      </c>
      <c r="B140">
        <f>REGISTRATION!C140</f>
        <v>0</v>
      </c>
      <c r="C140">
        <f>IFERROR(VLOOKUP(A140, 'DAY 1 SCORES'!$B$4:$H$152, 7, FALSE), 12)</f>
        <v>12</v>
      </c>
      <c r="D140">
        <f>IFERROR(VLOOKUP(A140, 'DAY 2 SCORES'!$B$4:$H$152, 7, FALSE), 12)</f>
        <v>12</v>
      </c>
      <c r="E140">
        <f t="shared" si="2"/>
        <v>24</v>
      </c>
      <c r="F140">
        <f>IFERROR(VLOOKUP(A140, 'DAY 1 SCORES'!$B$4:$H$152, 3, FALSE), 0) + IFERROR(VLOOKUP(A140, 'DAY 2 SCORES'!$B$4:$H$152, 3, FALSE), 0)</f>
        <v>0</v>
      </c>
    </row>
    <row r="141" spans="1:6">
      <c r="A141">
        <f>REGISTRATION!B141</f>
        <v>0</v>
      </c>
      <c r="B141">
        <f>REGISTRATION!C141</f>
        <v>0</v>
      </c>
      <c r="C141">
        <f>IFERROR(VLOOKUP(A141, 'DAY 1 SCORES'!$B$4:$H$152, 7, FALSE), 12)</f>
        <v>12</v>
      </c>
      <c r="D141">
        <f>IFERROR(VLOOKUP(A141, 'DAY 2 SCORES'!$B$4:$H$152, 7, FALSE), 12)</f>
        <v>12</v>
      </c>
      <c r="E141">
        <f t="shared" si="2"/>
        <v>24</v>
      </c>
      <c r="F141">
        <f>IFERROR(VLOOKUP(A141, 'DAY 1 SCORES'!$B$4:$H$152, 3, FALSE), 0) + IFERROR(VLOOKUP(A141, 'DAY 2 SCORES'!$B$4:$H$152, 3, FALSE), 0)</f>
        <v>0</v>
      </c>
    </row>
    <row r="142" spans="1:6">
      <c r="A142">
        <f>REGISTRATION!B142</f>
        <v>0</v>
      </c>
      <c r="B142">
        <f>REGISTRATION!C142</f>
        <v>0</v>
      </c>
      <c r="C142">
        <f>IFERROR(VLOOKUP(A142, 'DAY 1 SCORES'!$B$4:$H$152, 7, FALSE), 12)</f>
        <v>12</v>
      </c>
      <c r="D142">
        <f>IFERROR(VLOOKUP(A142, 'DAY 2 SCORES'!$B$4:$H$152, 7, FALSE), 12)</f>
        <v>12</v>
      </c>
      <c r="E142">
        <f t="shared" si="2"/>
        <v>24</v>
      </c>
      <c r="F142">
        <f>IFERROR(VLOOKUP(A142, 'DAY 1 SCORES'!$B$4:$H$152, 3, FALSE), 0) + IFERROR(VLOOKUP(A142, 'DAY 2 SCORES'!$B$4:$H$152, 3, FALSE), 0)</f>
        <v>0</v>
      </c>
    </row>
    <row r="143" spans="1:6">
      <c r="A143">
        <f>REGISTRATION!B143</f>
        <v>0</v>
      </c>
      <c r="B143">
        <f>REGISTRATION!C143</f>
        <v>0</v>
      </c>
      <c r="C143">
        <f>IFERROR(VLOOKUP(A143, 'DAY 1 SCORES'!$B$4:$H$152, 7, FALSE), 12)</f>
        <v>12</v>
      </c>
      <c r="D143">
        <f>IFERROR(VLOOKUP(A143, 'DAY 2 SCORES'!$B$4:$H$152, 7, FALSE), 12)</f>
        <v>12</v>
      </c>
      <c r="E143">
        <f t="shared" si="2"/>
        <v>24</v>
      </c>
      <c r="F143">
        <f>IFERROR(VLOOKUP(A143, 'DAY 1 SCORES'!$B$4:$H$152, 3, FALSE), 0) + IFERROR(VLOOKUP(A143, 'DAY 2 SCORES'!$B$4:$H$152, 3, FALSE), 0)</f>
        <v>0</v>
      </c>
    </row>
    <row r="144" spans="1:6">
      <c r="A144">
        <f>REGISTRATION!B144</f>
        <v>0</v>
      </c>
      <c r="B144">
        <f>REGISTRATION!C144</f>
        <v>0</v>
      </c>
      <c r="C144">
        <f>IFERROR(VLOOKUP(A144, 'DAY 1 SCORES'!$B$4:$H$152, 7, FALSE), 12)</f>
        <v>12</v>
      </c>
      <c r="D144">
        <f>IFERROR(VLOOKUP(A144, 'DAY 2 SCORES'!$B$4:$H$152, 7, FALSE), 12)</f>
        <v>12</v>
      </c>
      <c r="E144">
        <f t="shared" si="2"/>
        <v>24</v>
      </c>
      <c r="F144">
        <f>IFERROR(VLOOKUP(A144, 'DAY 1 SCORES'!$B$4:$H$152, 3, FALSE), 0) + IFERROR(VLOOKUP(A144, 'DAY 2 SCORES'!$B$4:$H$152, 3, FALSE), 0)</f>
        <v>0</v>
      </c>
    </row>
    <row r="145" spans="1:6">
      <c r="A145">
        <f>REGISTRATION!B145</f>
        <v>0</v>
      </c>
      <c r="B145">
        <f>REGISTRATION!C145</f>
        <v>0</v>
      </c>
      <c r="C145">
        <f>IFERROR(VLOOKUP(A145, 'DAY 1 SCORES'!$B$4:$H$152, 7, FALSE), 12)</f>
        <v>12</v>
      </c>
      <c r="D145">
        <f>IFERROR(VLOOKUP(A145, 'DAY 2 SCORES'!$B$4:$H$152, 7, FALSE), 12)</f>
        <v>12</v>
      </c>
      <c r="E145">
        <f t="shared" si="2"/>
        <v>24</v>
      </c>
      <c r="F145">
        <f>IFERROR(VLOOKUP(A145, 'DAY 1 SCORES'!$B$4:$H$152, 3, FALSE), 0) + IFERROR(VLOOKUP(A145, 'DAY 2 SCORES'!$B$4:$H$152, 3, FALSE), 0)</f>
        <v>0</v>
      </c>
    </row>
    <row r="146" spans="1:6">
      <c r="A146">
        <f>REGISTRATION!B146</f>
        <v>0</v>
      </c>
      <c r="B146">
        <f>REGISTRATION!C146</f>
        <v>0</v>
      </c>
      <c r="C146">
        <f>IFERROR(VLOOKUP(A146, 'DAY 1 SCORES'!$B$4:$H$152, 7, FALSE), 12)</f>
        <v>12</v>
      </c>
      <c r="D146">
        <f>IFERROR(VLOOKUP(A146, 'DAY 2 SCORES'!$B$4:$H$152, 7, FALSE), 12)</f>
        <v>12</v>
      </c>
      <c r="E146">
        <f t="shared" si="2"/>
        <v>24</v>
      </c>
      <c r="F146">
        <f>IFERROR(VLOOKUP(A146, 'DAY 1 SCORES'!$B$4:$H$152, 3, FALSE), 0) + IFERROR(VLOOKUP(A146, 'DAY 2 SCORES'!$B$4:$H$152, 3, FALSE), 0)</f>
        <v>0</v>
      </c>
    </row>
    <row r="147" spans="1:6">
      <c r="A147">
        <f>REGISTRATION!B147</f>
        <v>0</v>
      </c>
      <c r="B147">
        <f>REGISTRATION!C147</f>
        <v>0</v>
      </c>
      <c r="C147">
        <f>IFERROR(VLOOKUP(A147, 'DAY 1 SCORES'!$B$4:$H$152, 7, FALSE), 12)</f>
        <v>12</v>
      </c>
      <c r="D147">
        <f>IFERROR(VLOOKUP(A147, 'DAY 2 SCORES'!$B$4:$H$152, 7, FALSE), 12)</f>
        <v>12</v>
      </c>
      <c r="E147">
        <f t="shared" si="2"/>
        <v>24</v>
      </c>
      <c r="F147">
        <f>IFERROR(VLOOKUP(A147, 'DAY 1 SCORES'!$B$4:$H$152, 3, FALSE), 0) + IFERROR(VLOOKUP(A147, 'DAY 2 SCORES'!$B$4:$H$152, 3, FALSE), 0)</f>
        <v>0</v>
      </c>
    </row>
    <row r="148" spans="1:6">
      <c r="A148">
        <f>REGISTRATION!B148</f>
        <v>0</v>
      </c>
      <c r="B148">
        <f>REGISTRATION!C148</f>
        <v>0</v>
      </c>
      <c r="C148">
        <f>IFERROR(VLOOKUP(A148, 'DAY 1 SCORES'!$B$4:$H$152, 7, FALSE), 12)</f>
        <v>12</v>
      </c>
      <c r="D148">
        <f>IFERROR(VLOOKUP(A148, 'DAY 2 SCORES'!$B$4:$H$152, 7, FALSE), 12)</f>
        <v>12</v>
      </c>
      <c r="E148">
        <f t="shared" si="2"/>
        <v>24</v>
      </c>
      <c r="F148">
        <f>IFERROR(VLOOKUP(A148, 'DAY 1 SCORES'!$B$4:$H$152, 3, FALSE), 0) + IFERROR(VLOOKUP(A148, 'DAY 2 SCORES'!$B$4:$H$152, 3, FALSE), 0)</f>
        <v>0</v>
      </c>
    </row>
    <row r="149" spans="1:6">
      <c r="A149">
        <f>REGISTRATION!B149</f>
        <v>0</v>
      </c>
      <c r="B149">
        <f>REGISTRATION!C149</f>
        <v>0</v>
      </c>
      <c r="C149">
        <f>IFERROR(VLOOKUP(A149, 'DAY 1 SCORES'!$B$4:$H$152, 7, FALSE), 12)</f>
        <v>12</v>
      </c>
      <c r="D149">
        <f>IFERROR(VLOOKUP(A149, 'DAY 2 SCORES'!$B$4:$H$152, 7, FALSE), 12)</f>
        <v>12</v>
      </c>
      <c r="E149">
        <f t="shared" si="2"/>
        <v>24</v>
      </c>
      <c r="F149">
        <f>IFERROR(VLOOKUP(A149, 'DAY 1 SCORES'!$B$4:$H$152, 3, FALSE), 0) + IFERROR(VLOOKUP(A149, 'DAY 2 SCORES'!$B$4:$H$152, 3, FALSE), 0)</f>
        <v>0</v>
      </c>
    </row>
    <row r="150" spans="1:6">
      <c r="A150">
        <f>REGISTRATION!B150</f>
        <v>0</v>
      </c>
      <c r="B150">
        <f>REGISTRATION!C150</f>
        <v>0</v>
      </c>
      <c r="C150">
        <f>IFERROR(VLOOKUP(A150, 'DAY 1 SCORES'!$B$4:$H$152, 7, FALSE), 12)</f>
        <v>12</v>
      </c>
      <c r="D150">
        <f>IFERROR(VLOOKUP(A150, 'DAY 2 SCORES'!$B$4:$H$152, 7, FALSE), 12)</f>
        <v>12</v>
      </c>
      <c r="E150">
        <f t="shared" si="2"/>
        <v>24</v>
      </c>
      <c r="F150">
        <f>IFERROR(VLOOKUP(A150, 'DAY 1 SCORES'!$B$4:$H$152, 3, FALSE), 0) + IFERROR(VLOOKUP(A150, 'DAY 2 SCORES'!$B$4:$H$152, 3, FALSE), 0)</f>
        <v>0</v>
      </c>
    </row>
  </sheetData>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5B2E434-F5AC-47D4-9065-9E259B2B15A2}">
  <sheetPr>
    <tabColor rgb="FF0070C0"/>
  </sheetPr>
  <dimension ref="A1:AA100"/>
  <sheetViews>
    <sheetView showGridLines="0" showRowColHeaders="0" workbookViewId="0">
      <selection activeCell="F1" sqref="F1"/>
    </sheetView>
  </sheetViews>
  <sheetFormatPr defaultColWidth="0" defaultRowHeight="27.75" customHeight="1"/>
  <cols>
    <col min="1" max="1" width="11.5703125" style="4" customWidth="1"/>
    <col min="2" max="2" width="35.42578125" style="4" customWidth="1"/>
    <col min="3" max="3" width="40.7109375" style="4" customWidth="1"/>
    <col min="4" max="4" width="16.42578125" style="4" hidden="1" customWidth="1"/>
    <col min="5" max="5" width="22.28515625" style="4" customWidth="1"/>
    <col min="6" max="6" width="14.42578125" style="4" hidden="1" customWidth="1"/>
    <col min="7" max="7" width="9.140625" style="4" hidden="1" customWidth="1"/>
    <col min="8" max="8" width="15" style="4" hidden="1" customWidth="1"/>
    <col min="9" max="9" width="16.140625" style="4" hidden="1" customWidth="1"/>
    <col min="10" max="10" width="8.42578125" style="4" hidden="1" customWidth="1"/>
    <col min="11" max="26" width="9.140625" style="4" hidden="1" customWidth="1"/>
    <col min="27" max="27" width="36.5703125" style="4" hidden="1" customWidth="1"/>
    <col min="28" max="16384" width="0" style="4" hidden="1"/>
  </cols>
  <sheetData>
    <row r="1" spans="1:27" ht="27.75" customHeight="1">
      <c r="A1" s="344" t="s">
        <v>117</v>
      </c>
      <c r="B1" s="344"/>
      <c r="C1" s="344"/>
      <c r="D1" s="344"/>
      <c r="E1" s="311"/>
    </row>
    <row r="2" spans="1:27" ht="27.75" customHeight="1">
      <c r="A2" s="65" t="s">
        <v>55</v>
      </c>
      <c r="B2" s="66" t="s">
        <v>45</v>
      </c>
      <c r="C2" s="66" t="s">
        <v>29</v>
      </c>
      <c r="D2" s="65" t="s">
        <v>47</v>
      </c>
      <c r="E2" s="299" t="s">
        <v>47</v>
      </c>
    </row>
    <row r="3" spans="1:27" ht="27.75" customHeight="1">
      <c r="A3" s="67" cm="1">
        <f t="array" ref="A3:A12">_xlfn.SEQUENCE(10)</f>
        <v>1</v>
      </c>
      <c r="B3" s="68" t="e" cm="1" vm="1">
        <f t="array" ref="B3">_xlfn.LET(_xlpm.AllData, _xlfn.VSTACK(_xlfn.HSTACK(REGISTRATION!$B$2:$C$121, 'DAY 1 SCORES'!$G$4:$G$123), _xlfn.HSTACK(REGISTRATION!$B$2:$C$121, 'DAY 2 SCORES'!$G$4:$G$123)), _xlpm.Sorted, _xlfn._xlws.SORT(_xlfn._xlws.FILTER(_xlpm.AllData, INDEX(_xlpm.AllData,,1)&lt;&gt;""), 3, -1), _xlfn.CHOOSEROWS(_xlpm.Sorted, _xlfn.SEQUENCE(MIN(10, ROWS(_xlpm.Sorted)))))</f>
        <v>#VALUE!</v>
      </c>
      <c r="C3" s="68"/>
      <c r="D3" s="301"/>
      <c r="E3" s="68" t="e" vm="5">
        <f>D3 &amp; IF(VLOOKUP(B3, 'DAY 1 SCORES'!$B:$G, 6, FALSE)=D3, " (Day 1)", " (Day 2)")</f>
        <v>#VALUE!</v>
      </c>
      <c r="F3" s="5"/>
      <c r="G3" s="5"/>
      <c r="H3" s="5"/>
      <c r="I3" s="5"/>
      <c r="J3" s="5"/>
      <c r="K3" s="5"/>
      <c r="L3" s="5"/>
      <c r="M3" s="5"/>
      <c r="N3" s="5"/>
      <c r="O3" s="5"/>
      <c r="P3" s="5"/>
      <c r="Q3" s="5"/>
      <c r="R3" s="5"/>
      <c r="S3" s="5"/>
      <c r="T3" s="5"/>
      <c r="AA3" s="5"/>
    </row>
    <row r="4" spans="1:27" ht="27.75" customHeight="1">
      <c r="A4" s="67">
        <v>2</v>
      </c>
      <c r="B4" s="68"/>
      <c r="C4" s="68"/>
      <c r="D4" s="301"/>
      <c r="E4" s="68" t="e">
        <f>D4 &amp; IF(VLOOKUP(B4, 'DAY 1 SCORES'!$B:$G, 6, FALSE)=D4, " (Day 1)", " (Day 2)")</f>
        <v>#N/A</v>
      </c>
      <c r="F4" s="5"/>
      <c r="G4" s="5"/>
      <c r="H4" s="5"/>
      <c r="I4" s="5"/>
      <c r="J4" s="5"/>
      <c r="K4" s="5"/>
      <c r="L4" s="5"/>
      <c r="M4" s="5"/>
      <c r="N4" s="5"/>
      <c r="O4" s="5"/>
      <c r="P4" s="5"/>
      <c r="Q4" s="5"/>
      <c r="R4" s="5"/>
      <c r="S4" s="5"/>
      <c r="T4" s="5"/>
    </row>
    <row r="5" spans="1:27" ht="27.75" customHeight="1">
      <c r="A5" s="67">
        <v>3</v>
      </c>
      <c r="B5" s="68"/>
      <c r="C5" s="68"/>
      <c r="D5" s="301"/>
      <c r="E5" s="68" t="e">
        <f>D5 &amp; IF(VLOOKUP(B5, 'DAY 1 SCORES'!$B:$G, 6, FALSE)=D5, " (Day 1)", " (Day 2)")</f>
        <v>#N/A</v>
      </c>
      <c r="F5" s="5"/>
      <c r="G5" s="5"/>
      <c r="H5" s="9"/>
      <c r="I5" s="5"/>
      <c r="J5" s="5"/>
      <c r="K5" s="5"/>
      <c r="L5" s="5"/>
      <c r="M5" s="5"/>
      <c r="N5" s="5"/>
      <c r="O5" s="5"/>
      <c r="P5" s="5"/>
      <c r="Q5" s="5"/>
      <c r="R5" s="5"/>
      <c r="S5" s="5"/>
      <c r="T5" s="5"/>
    </row>
    <row r="6" spans="1:27" ht="27.75" customHeight="1">
      <c r="A6" s="67">
        <v>4</v>
      </c>
      <c r="B6" s="68"/>
      <c r="C6" s="68"/>
      <c r="D6" s="301"/>
      <c r="E6" s="68" t="e">
        <f>D6 &amp; IF(VLOOKUP(B6, 'DAY 1 SCORES'!$B:$G, 6, FALSE)=D6, " (Day 1)", " (Day 2)")</f>
        <v>#N/A</v>
      </c>
      <c r="F6" s="5"/>
      <c r="G6" s="5"/>
      <c r="H6" s="5"/>
      <c r="I6" s="5"/>
      <c r="J6" s="5"/>
      <c r="K6" s="5"/>
      <c r="L6" s="5"/>
      <c r="M6" s="5"/>
      <c r="N6" s="5"/>
      <c r="O6" s="5"/>
      <c r="P6" s="5"/>
      <c r="Q6" s="5"/>
      <c r="R6" s="5"/>
      <c r="S6" s="5"/>
      <c r="T6" s="5"/>
    </row>
    <row r="7" spans="1:27" ht="27.75" customHeight="1">
      <c r="A7" s="67">
        <v>5</v>
      </c>
      <c r="B7" s="68"/>
      <c r="C7" s="68"/>
      <c r="D7" s="301"/>
      <c r="E7" s="68" t="e">
        <f>D7 &amp; IF(VLOOKUP(B7, 'DAY 1 SCORES'!$B:$G, 6, FALSE)=D7, " (Day 1)", " (Day 2)")</f>
        <v>#N/A</v>
      </c>
      <c r="F7" s="5"/>
      <c r="G7" s="5"/>
      <c r="H7" s="5"/>
      <c r="I7" s="5"/>
      <c r="J7" s="5"/>
      <c r="K7" s="5"/>
      <c r="L7" s="5"/>
      <c r="M7" s="5"/>
      <c r="N7" s="5"/>
      <c r="O7" s="5"/>
      <c r="P7" s="5"/>
      <c r="Q7" s="5"/>
      <c r="R7" s="5"/>
      <c r="S7" s="5"/>
      <c r="T7" s="5"/>
    </row>
    <row r="8" spans="1:27" ht="27.75" customHeight="1">
      <c r="A8" s="67">
        <v>6</v>
      </c>
      <c r="B8" s="68"/>
      <c r="C8" s="68"/>
      <c r="D8" s="301"/>
      <c r="E8" s="68" t="e">
        <f>D8 &amp; IF(VLOOKUP(B8, 'DAY 1 SCORES'!$B:$G, 6, FALSE)=D8, " (Day 1)", " (Day 2)")</f>
        <v>#N/A</v>
      </c>
      <c r="F8" s="5"/>
      <c r="G8" s="5"/>
      <c r="H8" s="5"/>
      <c r="I8" s="5"/>
      <c r="J8" s="5"/>
      <c r="K8" s="5"/>
      <c r="L8" s="5"/>
      <c r="M8" s="5"/>
      <c r="N8" s="5"/>
      <c r="O8" s="5"/>
      <c r="P8" s="5"/>
      <c r="Q8" s="5"/>
      <c r="R8" s="5"/>
      <c r="S8" s="5"/>
      <c r="T8" s="5"/>
    </row>
    <row r="9" spans="1:27" ht="27.75" customHeight="1">
      <c r="A9" s="67">
        <v>7</v>
      </c>
      <c r="B9" s="68"/>
      <c r="C9" s="68"/>
      <c r="D9" s="301"/>
      <c r="E9" s="68" t="e">
        <f>D9 &amp; IF(VLOOKUP(B9, 'DAY 1 SCORES'!$B:$G, 6, FALSE)=D9, " (Day 1)", " (Day 2)")</f>
        <v>#N/A</v>
      </c>
      <c r="F9" s="5"/>
      <c r="G9" s="5"/>
      <c r="H9" s="5"/>
      <c r="I9" s="5"/>
      <c r="J9" s="5"/>
      <c r="K9" s="5"/>
      <c r="L9" s="5"/>
      <c r="M9" s="5"/>
      <c r="N9" s="5"/>
      <c r="O9" s="5"/>
      <c r="P9" s="5"/>
      <c r="Q9" s="5"/>
      <c r="R9" s="5"/>
      <c r="S9" s="5"/>
      <c r="T9" s="5"/>
    </row>
    <row r="10" spans="1:27" ht="27.75" customHeight="1">
      <c r="A10" s="67">
        <v>8</v>
      </c>
      <c r="B10" s="68"/>
      <c r="C10" s="68"/>
      <c r="D10" s="301"/>
      <c r="E10" s="68" t="e">
        <f>D10 &amp; IF(VLOOKUP(B10, 'DAY 1 SCORES'!$B:$G, 6, FALSE)=D10, " (Day 1)", " (Day 2)")</f>
        <v>#N/A</v>
      </c>
      <c r="F10" s="5"/>
      <c r="G10" s="5"/>
      <c r="H10" s="5"/>
      <c r="I10" s="5"/>
      <c r="J10" s="5"/>
      <c r="K10" s="5"/>
      <c r="L10" s="5"/>
      <c r="M10" s="5"/>
      <c r="N10" s="5"/>
      <c r="O10" s="5"/>
      <c r="P10" s="5"/>
      <c r="Q10" s="5"/>
      <c r="R10" s="5"/>
      <c r="S10" s="5"/>
      <c r="T10" s="5"/>
    </row>
    <row r="11" spans="1:27" ht="27.75" customHeight="1">
      <c r="A11" s="67">
        <v>9</v>
      </c>
      <c r="B11" s="68"/>
      <c r="C11" s="68"/>
      <c r="D11" s="301"/>
      <c r="E11" s="68" t="e">
        <f>D11 &amp; IF(VLOOKUP(B11, 'DAY 1 SCORES'!$B:$G, 6, FALSE)=D11, " (Day 1)", " (Day 2)")</f>
        <v>#N/A</v>
      </c>
      <c r="F11" s="5"/>
      <c r="G11" s="5"/>
      <c r="H11" s="5"/>
      <c r="I11" s="5"/>
      <c r="J11" s="5"/>
      <c r="K11" s="5"/>
      <c r="L11" s="5"/>
      <c r="M11" s="5"/>
      <c r="N11" s="5"/>
      <c r="O11" s="5"/>
      <c r="P11" s="5"/>
      <c r="Q11" s="5"/>
      <c r="R11" s="5"/>
      <c r="S11" s="5"/>
      <c r="T11" s="5"/>
    </row>
    <row r="12" spans="1:27" ht="27.75" customHeight="1">
      <c r="A12" s="67">
        <v>10</v>
      </c>
      <c r="B12" s="68"/>
      <c r="C12" s="68"/>
      <c r="D12" s="301"/>
      <c r="E12" s="68" t="e">
        <f>D12 &amp; IF(VLOOKUP(B12, 'DAY 1 SCORES'!$B:$G, 6, FALSE)=D12, " (Day 1)", " (Day 2)")</f>
        <v>#N/A</v>
      </c>
      <c r="F12" s="5"/>
      <c r="G12" s="5"/>
      <c r="H12" s="5"/>
      <c r="I12" s="5"/>
      <c r="J12" s="5"/>
      <c r="K12" s="5"/>
      <c r="L12" s="5"/>
      <c r="M12" s="5"/>
      <c r="N12" s="5"/>
      <c r="O12" s="5"/>
      <c r="P12" s="5"/>
      <c r="Q12" s="5"/>
      <c r="R12" s="5"/>
      <c r="S12" s="5"/>
      <c r="T12" s="5"/>
    </row>
    <row r="13" spans="1:27" ht="27.75" customHeight="1">
      <c r="A13" s="5"/>
      <c r="B13" s="5"/>
      <c r="C13" s="5"/>
      <c r="D13" s="5"/>
      <c r="E13" s="300"/>
      <c r="F13" s="5"/>
      <c r="G13" s="5"/>
      <c r="H13" s="5"/>
      <c r="I13" s="5"/>
      <c r="J13" s="5"/>
      <c r="K13" s="5"/>
      <c r="L13" s="5"/>
      <c r="M13" s="5"/>
      <c r="N13" s="5"/>
      <c r="O13" s="5"/>
      <c r="P13" s="5"/>
      <c r="Q13" s="5"/>
      <c r="R13" s="5"/>
      <c r="S13" s="5"/>
      <c r="T13" s="5"/>
    </row>
    <row r="14" spans="1:27" ht="27.75" customHeight="1">
      <c r="A14" s="5"/>
      <c r="B14" s="5"/>
      <c r="C14" s="5"/>
      <c r="D14" s="5"/>
      <c r="E14" s="5"/>
      <c r="F14" s="5"/>
      <c r="G14" s="5"/>
      <c r="H14" s="5"/>
      <c r="I14" s="5"/>
      <c r="J14" s="5"/>
      <c r="K14" s="5"/>
      <c r="L14" s="5"/>
      <c r="M14" s="5"/>
      <c r="N14" s="5"/>
      <c r="O14" s="5"/>
      <c r="P14" s="5"/>
      <c r="Q14" s="5"/>
      <c r="R14" s="5"/>
      <c r="S14" s="5"/>
      <c r="T14" s="5"/>
    </row>
    <row r="15" spans="1:27" ht="27.75" customHeight="1">
      <c r="A15" s="5"/>
      <c r="B15" s="5"/>
      <c r="C15" s="5"/>
      <c r="D15" s="5"/>
      <c r="E15" s="5"/>
      <c r="F15" s="5"/>
      <c r="G15" s="5"/>
      <c r="H15" s="5"/>
      <c r="I15" s="5"/>
      <c r="J15" s="5"/>
      <c r="K15" s="5"/>
      <c r="L15" s="5"/>
      <c r="M15" s="5"/>
      <c r="N15" s="5"/>
      <c r="O15" s="5"/>
      <c r="P15" s="5"/>
      <c r="Q15" s="5"/>
      <c r="R15" s="5"/>
      <c r="S15" s="5"/>
      <c r="T15" s="5"/>
    </row>
    <row r="16" spans="1:27" ht="27.75" customHeight="1">
      <c r="A16" s="5"/>
      <c r="B16" s="5"/>
      <c r="C16" s="5"/>
      <c r="D16" s="5"/>
      <c r="E16" s="5"/>
      <c r="F16" s="5"/>
      <c r="G16" s="5"/>
      <c r="H16" s="5"/>
      <c r="I16" s="5"/>
      <c r="J16" s="5"/>
      <c r="K16" s="5"/>
      <c r="L16" s="5"/>
      <c r="M16" s="5"/>
      <c r="N16" s="5"/>
      <c r="O16" s="5"/>
      <c r="P16" s="5"/>
      <c r="Q16" s="5"/>
      <c r="R16" s="5"/>
      <c r="S16" s="5"/>
      <c r="T16" s="5"/>
    </row>
    <row r="17" spans="1:20" ht="27.75" customHeight="1">
      <c r="A17" s="5"/>
      <c r="B17" s="5"/>
      <c r="C17" s="5"/>
      <c r="D17" s="5"/>
      <c r="E17" s="5"/>
      <c r="F17" s="5"/>
      <c r="G17" s="5"/>
      <c r="H17" s="5"/>
      <c r="I17" s="5"/>
      <c r="J17" s="5"/>
      <c r="K17" s="5"/>
      <c r="L17" s="5"/>
      <c r="M17" s="5"/>
      <c r="N17" s="5"/>
      <c r="O17" s="5"/>
      <c r="P17" s="5"/>
      <c r="Q17" s="5"/>
      <c r="R17" s="5"/>
      <c r="S17" s="5"/>
      <c r="T17" s="5"/>
    </row>
    <row r="18" spans="1:20" ht="27.75" customHeight="1">
      <c r="A18" s="5"/>
      <c r="B18" s="5"/>
      <c r="C18" s="5"/>
      <c r="D18" s="5"/>
      <c r="E18" s="5"/>
      <c r="F18" s="5"/>
      <c r="G18" s="5"/>
      <c r="H18" s="5"/>
      <c r="I18" s="5"/>
      <c r="J18" s="5"/>
      <c r="K18" s="5"/>
      <c r="L18" s="5"/>
      <c r="M18" s="5"/>
      <c r="N18" s="5"/>
      <c r="O18" s="5"/>
      <c r="P18" s="5"/>
      <c r="Q18" s="5"/>
      <c r="R18" s="5"/>
      <c r="S18" s="5"/>
      <c r="T18" s="5"/>
    </row>
    <row r="19" spans="1:20" ht="27.75" customHeight="1">
      <c r="A19" s="5"/>
      <c r="B19" s="5"/>
      <c r="C19" s="5"/>
      <c r="D19" s="5"/>
      <c r="E19" s="5"/>
      <c r="F19" s="5"/>
      <c r="G19" s="5"/>
      <c r="H19" s="5"/>
      <c r="I19" s="5"/>
      <c r="J19" s="5"/>
      <c r="K19" s="5"/>
      <c r="L19" s="5"/>
      <c r="M19" s="5"/>
      <c r="N19" s="5"/>
      <c r="O19" s="5"/>
      <c r="P19" s="5"/>
      <c r="Q19" s="5"/>
      <c r="R19" s="5"/>
      <c r="S19" s="5"/>
      <c r="T19" s="5"/>
    </row>
    <row r="20" spans="1:20" ht="27.75" customHeight="1">
      <c r="A20" s="5"/>
      <c r="B20" s="5"/>
      <c r="C20" s="5"/>
      <c r="D20" s="5"/>
      <c r="E20" s="5"/>
      <c r="F20" s="5"/>
      <c r="G20" s="5"/>
      <c r="H20" s="5"/>
      <c r="I20" s="5"/>
      <c r="J20" s="5"/>
      <c r="K20" s="5"/>
      <c r="L20" s="5"/>
      <c r="M20" s="5"/>
      <c r="N20" s="5"/>
      <c r="O20" s="5"/>
      <c r="P20" s="5"/>
      <c r="Q20" s="5"/>
      <c r="R20" s="5"/>
      <c r="S20" s="5"/>
      <c r="T20" s="5"/>
    </row>
    <row r="21" spans="1:20" ht="27.75" customHeight="1">
      <c r="A21" s="5"/>
      <c r="B21" s="5"/>
      <c r="C21" s="5"/>
      <c r="D21" s="5"/>
      <c r="E21" s="5"/>
      <c r="F21" s="5"/>
      <c r="G21" s="5"/>
      <c r="H21" s="5"/>
      <c r="I21" s="5"/>
      <c r="J21" s="5"/>
      <c r="K21" s="5"/>
      <c r="L21" s="5"/>
      <c r="M21" s="5"/>
      <c r="N21" s="5"/>
      <c r="O21" s="5"/>
      <c r="P21" s="5"/>
      <c r="Q21" s="5"/>
      <c r="R21" s="5"/>
      <c r="S21" s="5"/>
      <c r="T21" s="5"/>
    </row>
    <row r="22" spans="1:20" ht="27.75" customHeight="1">
      <c r="A22" s="5"/>
      <c r="B22" s="5"/>
      <c r="C22" s="5"/>
      <c r="D22" s="5"/>
      <c r="E22" s="5"/>
      <c r="F22" s="5"/>
      <c r="G22" s="5"/>
      <c r="H22" s="5"/>
      <c r="I22" s="5"/>
      <c r="J22" s="5"/>
      <c r="K22" s="5"/>
      <c r="L22" s="5"/>
      <c r="M22" s="5"/>
      <c r="N22" s="5"/>
      <c r="O22" s="5"/>
      <c r="P22" s="5"/>
      <c r="Q22" s="5"/>
      <c r="R22" s="5"/>
      <c r="S22" s="5"/>
      <c r="T22" s="5"/>
    </row>
    <row r="23" spans="1:20" ht="27.75" customHeight="1">
      <c r="A23" s="5"/>
      <c r="B23" s="5"/>
      <c r="C23" s="5"/>
      <c r="D23" s="5"/>
      <c r="E23" s="5"/>
      <c r="F23" s="5"/>
      <c r="G23" s="5"/>
      <c r="H23" s="5"/>
      <c r="I23" s="5"/>
      <c r="J23" s="5"/>
      <c r="K23" s="5"/>
      <c r="L23" s="5"/>
      <c r="M23" s="5"/>
      <c r="N23" s="5"/>
      <c r="O23" s="5"/>
      <c r="P23" s="5"/>
      <c r="Q23" s="5"/>
      <c r="R23" s="5"/>
      <c r="S23" s="5"/>
      <c r="T23" s="5"/>
    </row>
    <row r="24" spans="1:20" ht="27.75" customHeight="1">
      <c r="A24" s="5"/>
      <c r="B24" s="5"/>
      <c r="C24" s="5"/>
      <c r="D24" s="5"/>
      <c r="E24" s="5"/>
      <c r="F24" s="5"/>
      <c r="G24" s="5"/>
      <c r="H24" s="5"/>
      <c r="I24" s="5"/>
      <c r="J24" s="5"/>
      <c r="K24" s="5"/>
      <c r="L24" s="5"/>
      <c r="M24" s="5"/>
      <c r="N24" s="5"/>
      <c r="O24" s="5"/>
      <c r="P24" s="5"/>
      <c r="Q24" s="5"/>
      <c r="R24" s="5"/>
      <c r="S24" s="5"/>
      <c r="T24" s="5"/>
    </row>
    <row r="25" spans="1:20" ht="27.75" customHeight="1">
      <c r="A25" s="5"/>
      <c r="B25" s="5"/>
      <c r="C25" s="5"/>
      <c r="D25" s="5"/>
      <c r="E25" s="5"/>
      <c r="F25" s="5"/>
      <c r="G25" s="5"/>
      <c r="H25" s="5"/>
      <c r="I25" s="5"/>
      <c r="J25" s="5"/>
      <c r="K25" s="5"/>
      <c r="L25" s="5"/>
      <c r="M25" s="5"/>
      <c r="N25" s="5"/>
      <c r="O25" s="5"/>
      <c r="P25" s="5"/>
      <c r="Q25" s="5"/>
      <c r="R25" s="5"/>
      <c r="S25" s="5"/>
      <c r="T25" s="5"/>
    </row>
    <row r="26" spans="1:20" ht="27.75" customHeight="1">
      <c r="A26" s="5"/>
      <c r="B26" s="5"/>
      <c r="C26" s="5"/>
      <c r="D26" s="5"/>
      <c r="E26" s="5"/>
      <c r="F26" s="5"/>
      <c r="G26" s="5"/>
      <c r="H26" s="5"/>
      <c r="I26" s="5"/>
      <c r="J26" s="5"/>
      <c r="K26" s="5"/>
      <c r="L26" s="5"/>
      <c r="M26" s="5"/>
      <c r="N26" s="5"/>
      <c r="O26" s="5"/>
      <c r="P26" s="5"/>
      <c r="Q26" s="5"/>
      <c r="R26" s="5"/>
      <c r="S26" s="5"/>
      <c r="T26" s="5"/>
    </row>
    <row r="27" spans="1:20" ht="27.75" customHeight="1">
      <c r="A27" s="5"/>
      <c r="B27" s="5"/>
      <c r="C27" s="5"/>
      <c r="D27" s="5"/>
      <c r="E27" s="5"/>
      <c r="F27" s="5"/>
      <c r="G27" s="5"/>
      <c r="H27" s="5"/>
      <c r="I27" s="5"/>
      <c r="J27" s="5"/>
      <c r="K27" s="5"/>
      <c r="L27" s="5"/>
      <c r="M27" s="5"/>
      <c r="N27" s="5"/>
      <c r="O27" s="5"/>
      <c r="P27" s="5"/>
      <c r="Q27" s="5"/>
      <c r="R27" s="5"/>
      <c r="S27" s="5"/>
      <c r="T27" s="5"/>
    </row>
    <row r="28" spans="1:20" ht="27.75" customHeight="1">
      <c r="A28" s="5"/>
      <c r="B28" s="5"/>
      <c r="C28" s="5"/>
      <c r="D28" s="5"/>
      <c r="E28" s="5"/>
      <c r="F28" s="5"/>
      <c r="G28" s="5"/>
      <c r="H28" s="5"/>
      <c r="I28" s="5"/>
      <c r="J28" s="5"/>
      <c r="K28" s="5"/>
      <c r="L28" s="5"/>
      <c r="M28" s="5"/>
      <c r="N28" s="5"/>
      <c r="O28" s="5"/>
      <c r="P28" s="5"/>
      <c r="Q28" s="5"/>
      <c r="R28" s="5"/>
      <c r="S28" s="5"/>
      <c r="T28" s="5"/>
    </row>
    <row r="29" spans="1:20" ht="27.75" customHeight="1">
      <c r="A29" s="5"/>
      <c r="B29" s="5"/>
      <c r="C29" s="5"/>
      <c r="D29" s="5"/>
      <c r="E29" s="5"/>
      <c r="F29" s="5"/>
      <c r="G29" s="5"/>
      <c r="H29" s="5"/>
      <c r="I29" s="5"/>
      <c r="J29" s="5"/>
      <c r="K29" s="5"/>
      <c r="L29" s="5"/>
      <c r="M29" s="5"/>
      <c r="N29" s="5"/>
      <c r="O29" s="5"/>
      <c r="P29" s="5"/>
      <c r="Q29" s="5"/>
      <c r="R29" s="5"/>
      <c r="S29" s="5"/>
      <c r="T29" s="5"/>
    </row>
    <row r="30" spans="1:20" ht="27.75" customHeight="1">
      <c r="A30" s="5"/>
      <c r="B30" s="5"/>
      <c r="C30" s="5"/>
      <c r="D30" s="5"/>
      <c r="E30" s="5"/>
      <c r="F30" s="5"/>
      <c r="G30" s="5"/>
      <c r="H30" s="5"/>
      <c r="I30" s="5"/>
      <c r="J30" s="5"/>
      <c r="K30" s="5"/>
      <c r="L30" s="5"/>
      <c r="M30" s="5"/>
      <c r="N30" s="5"/>
      <c r="O30" s="5"/>
      <c r="P30" s="5"/>
      <c r="Q30" s="5"/>
      <c r="R30" s="5"/>
      <c r="S30" s="5"/>
      <c r="T30" s="5"/>
    </row>
    <row r="31" spans="1:20" ht="27.75" customHeight="1">
      <c r="A31" s="5"/>
      <c r="B31" s="5"/>
      <c r="C31" s="5"/>
      <c r="D31" s="5"/>
      <c r="E31" s="5"/>
      <c r="F31" s="5"/>
      <c r="G31" s="5"/>
      <c r="H31" s="5"/>
      <c r="I31" s="5"/>
      <c r="J31" s="5"/>
      <c r="K31" s="5"/>
      <c r="L31" s="5"/>
      <c r="M31" s="5"/>
      <c r="N31" s="5"/>
      <c r="O31" s="5"/>
      <c r="P31" s="5"/>
      <c r="Q31" s="5"/>
      <c r="R31" s="5"/>
      <c r="S31" s="5"/>
      <c r="T31" s="5"/>
    </row>
    <row r="32" spans="1:20" ht="27.75" customHeight="1">
      <c r="A32" s="5"/>
      <c r="B32" s="5"/>
      <c r="C32" s="5"/>
      <c r="D32" s="5"/>
      <c r="E32" s="5"/>
      <c r="F32" s="5"/>
      <c r="G32" s="5"/>
      <c r="H32" s="5"/>
      <c r="I32" s="5"/>
      <c r="J32" s="5"/>
      <c r="K32" s="5"/>
      <c r="L32" s="5"/>
      <c r="M32" s="5"/>
      <c r="N32" s="5"/>
      <c r="O32" s="5"/>
      <c r="P32" s="5"/>
      <c r="Q32" s="5"/>
      <c r="R32" s="5"/>
      <c r="S32" s="5"/>
      <c r="T32" s="5"/>
    </row>
    <row r="33" spans="1:20" ht="27.75" customHeight="1">
      <c r="A33" s="5"/>
      <c r="B33" s="5"/>
      <c r="C33" s="5"/>
      <c r="D33" s="5"/>
      <c r="E33" s="5"/>
      <c r="F33" s="5"/>
      <c r="G33" s="5"/>
      <c r="H33" s="5"/>
      <c r="I33" s="5"/>
      <c r="J33" s="5"/>
      <c r="K33" s="5"/>
      <c r="L33" s="5"/>
      <c r="M33" s="5"/>
      <c r="N33" s="5"/>
      <c r="O33" s="5"/>
      <c r="P33" s="5"/>
      <c r="Q33" s="5"/>
      <c r="R33" s="5"/>
      <c r="S33" s="5"/>
      <c r="T33" s="5"/>
    </row>
    <row r="34" spans="1:20" ht="27.75" customHeight="1">
      <c r="A34" s="5"/>
      <c r="B34" s="5"/>
      <c r="C34" s="5"/>
      <c r="D34" s="5"/>
      <c r="E34" s="5"/>
      <c r="F34" s="5"/>
      <c r="G34" s="5"/>
      <c r="H34" s="5"/>
      <c r="I34" s="5"/>
      <c r="J34" s="5"/>
      <c r="K34" s="5"/>
      <c r="L34" s="5"/>
      <c r="M34" s="5"/>
      <c r="N34" s="5"/>
      <c r="O34" s="5"/>
      <c r="P34" s="5"/>
      <c r="Q34" s="5"/>
      <c r="R34" s="5"/>
      <c r="S34" s="5"/>
      <c r="T34" s="5"/>
    </row>
    <row r="35" spans="1:20" ht="27.75" customHeight="1">
      <c r="A35" s="5"/>
      <c r="B35" s="5"/>
      <c r="C35" s="5"/>
      <c r="D35" s="5"/>
      <c r="E35" s="5"/>
      <c r="F35" s="5"/>
      <c r="G35" s="5"/>
      <c r="H35" s="5"/>
      <c r="I35" s="5"/>
      <c r="J35" s="5"/>
      <c r="K35" s="5"/>
      <c r="L35" s="5"/>
      <c r="M35" s="5"/>
      <c r="N35" s="5"/>
      <c r="O35" s="5"/>
      <c r="P35" s="5"/>
      <c r="Q35" s="5"/>
      <c r="R35" s="5"/>
      <c r="S35" s="5"/>
      <c r="T35" s="5"/>
    </row>
    <row r="36" spans="1:20" ht="27.75" customHeight="1">
      <c r="A36" s="5"/>
      <c r="B36" s="5"/>
      <c r="C36" s="5"/>
      <c r="D36" s="5"/>
      <c r="E36" s="5"/>
      <c r="F36" s="5"/>
      <c r="G36" s="5"/>
      <c r="H36" s="5"/>
      <c r="I36" s="5"/>
      <c r="J36" s="5"/>
      <c r="K36" s="5"/>
      <c r="L36" s="5"/>
      <c r="M36" s="5"/>
      <c r="N36" s="5"/>
      <c r="O36" s="5"/>
      <c r="P36" s="5"/>
      <c r="Q36" s="5"/>
      <c r="R36" s="5"/>
      <c r="S36" s="5"/>
      <c r="T36" s="5"/>
    </row>
    <row r="37" spans="1:20" ht="27.75" customHeight="1">
      <c r="A37" s="5"/>
      <c r="B37" s="5"/>
      <c r="C37" s="5"/>
      <c r="D37" s="5"/>
      <c r="E37" s="5"/>
      <c r="F37" s="5"/>
      <c r="G37" s="5"/>
      <c r="H37" s="5"/>
      <c r="I37" s="5"/>
      <c r="J37" s="5"/>
      <c r="K37" s="5"/>
      <c r="L37" s="5"/>
      <c r="M37" s="5"/>
      <c r="N37" s="5"/>
      <c r="O37" s="5"/>
      <c r="P37" s="5"/>
      <c r="Q37" s="5"/>
      <c r="R37" s="5"/>
      <c r="S37" s="5"/>
      <c r="T37" s="5"/>
    </row>
    <row r="38" spans="1:20" ht="27.75" customHeight="1">
      <c r="A38" s="5"/>
      <c r="B38" s="5"/>
      <c r="C38" s="5"/>
      <c r="D38" s="5"/>
      <c r="E38" s="5"/>
      <c r="F38" s="5"/>
      <c r="G38" s="5"/>
      <c r="H38" s="5"/>
      <c r="I38" s="5"/>
      <c r="J38" s="5"/>
      <c r="K38" s="5"/>
      <c r="L38" s="5"/>
      <c r="M38" s="5"/>
      <c r="N38" s="5"/>
      <c r="O38" s="5"/>
      <c r="P38" s="5"/>
      <c r="Q38" s="5"/>
      <c r="R38" s="5"/>
      <c r="S38" s="5"/>
      <c r="T38" s="5"/>
    </row>
    <row r="39" spans="1:20" ht="27.75" customHeight="1">
      <c r="A39" s="5"/>
      <c r="B39" s="5"/>
      <c r="C39" s="5"/>
      <c r="D39" s="5"/>
      <c r="E39" s="5"/>
      <c r="F39" s="5"/>
      <c r="G39" s="5"/>
      <c r="H39" s="5"/>
      <c r="I39" s="5"/>
      <c r="J39" s="5"/>
      <c r="K39" s="5"/>
      <c r="L39" s="5"/>
      <c r="M39" s="5"/>
      <c r="N39" s="5"/>
      <c r="O39" s="5"/>
      <c r="P39" s="5"/>
      <c r="Q39" s="5"/>
      <c r="R39" s="5"/>
      <c r="S39" s="5"/>
      <c r="T39" s="5"/>
    </row>
    <row r="40" spans="1:20" ht="27.75" customHeight="1">
      <c r="A40" s="5"/>
      <c r="B40" s="5"/>
      <c r="C40" s="5"/>
      <c r="D40" s="5"/>
      <c r="E40" s="5"/>
      <c r="F40" s="5"/>
      <c r="G40" s="5"/>
      <c r="H40" s="5"/>
      <c r="I40" s="5"/>
      <c r="J40" s="5"/>
      <c r="K40" s="5"/>
      <c r="L40" s="5"/>
      <c r="M40" s="5"/>
      <c r="N40" s="5"/>
      <c r="O40" s="5"/>
      <c r="P40" s="5"/>
      <c r="Q40" s="5"/>
      <c r="R40" s="5"/>
      <c r="S40" s="5"/>
      <c r="T40" s="5"/>
    </row>
    <row r="41" spans="1:20" ht="27.75" customHeight="1">
      <c r="A41" s="5"/>
      <c r="B41" s="5"/>
      <c r="C41" s="5"/>
      <c r="D41" s="5"/>
      <c r="E41" s="5"/>
      <c r="F41" s="5"/>
      <c r="G41" s="5"/>
      <c r="H41" s="5"/>
      <c r="I41" s="5"/>
      <c r="J41" s="5"/>
      <c r="K41" s="5"/>
      <c r="L41" s="5"/>
      <c r="M41" s="5"/>
      <c r="N41" s="5"/>
      <c r="O41" s="5"/>
      <c r="P41" s="5"/>
      <c r="Q41" s="5"/>
      <c r="R41" s="5"/>
      <c r="S41" s="5"/>
      <c r="T41" s="5"/>
    </row>
    <row r="42" spans="1:20" ht="27.75" customHeight="1">
      <c r="A42" s="5"/>
      <c r="B42" s="5"/>
      <c r="C42" s="5"/>
      <c r="D42" s="5"/>
      <c r="E42" s="5"/>
      <c r="F42" s="5"/>
      <c r="G42" s="5"/>
      <c r="H42" s="5"/>
      <c r="I42" s="5"/>
      <c r="J42" s="5"/>
      <c r="K42" s="5"/>
      <c r="L42" s="5"/>
      <c r="M42" s="5"/>
      <c r="N42" s="5"/>
      <c r="O42" s="5"/>
      <c r="P42" s="5"/>
      <c r="Q42" s="5"/>
      <c r="R42" s="5"/>
      <c r="S42" s="5"/>
      <c r="T42" s="5"/>
    </row>
    <row r="43" spans="1:20" ht="27.75" customHeight="1">
      <c r="A43" s="5"/>
      <c r="B43" s="5"/>
      <c r="C43" s="5"/>
      <c r="D43" s="5"/>
      <c r="E43" s="5"/>
      <c r="F43" s="5"/>
      <c r="G43" s="5"/>
      <c r="H43" s="5"/>
      <c r="I43" s="5"/>
      <c r="J43" s="5"/>
      <c r="K43" s="5"/>
      <c r="L43" s="5"/>
      <c r="M43" s="5"/>
      <c r="N43" s="5"/>
      <c r="O43" s="5"/>
      <c r="P43" s="5"/>
      <c r="Q43" s="5"/>
      <c r="R43" s="5"/>
      <c r="S43" s="5"/>
      <c r="T43" s="5"/>
    </row>
    <row r="44" spans="1:20" ht="27.75" customHeight="1">
      <c r="A44" s="5"/>
      <c r="B44" s="5"/>
      <c r="C44" s="5"/>
      <c r="D44" s="5"/>
      <c r="E44" s="5"/>
      <c r="F44" s="5"/>
      <c r="G44" s="5"/>
      <c r="H44" s="5"/>
      <c r="I44" s="5"/>
      <c r="J44" s="5"/>
      <c r="K44" s="5"/>
      <c r="L44" s="5"/>
      <c r="M44" s="5"/>
      <c r="N44" s="5"/>
      <c r="O44" s="5"/>
      <c r="P44" s="5"/>
      <c r="Q44" s="5"/>
      <c r="R44" s="5"/>
      <c r="S44" s="5"/>
      <c r="T44" s="5"/>
    </row>
    <row r="45" spans="1:20" ht="27.75" customHeight="1">
      <c r="A45" s="5"/>
      <c r="B45" s="5"/>
      <c r="C45" s="5"/>
      <c r="D45" s="5"/>
      <c r="E45" s="5"/>
      <c r="F45" s="5"/>
      <c r="G45" s="5"/>
      <c r="H45" s="5"/>
      <c r="I45" s="5"/>
      <c r="J45" s="5"/>
      <c r="K45" s="5"/>
      <c r="L45" s="5"/>
      <c r="M45" s="5"/>
      <c r="N45" s="5"/>
      <c r="O45" s="5"/>
      <c r="P45" s="5"/>
      <c r="Q45" s="5"/>
      <c r="R45" s="5"/>
      <c r="S45" s="5"/>
      <c r="T45" s="5"/>
    </row>
    <row r="46" spans="1:20" ht="27.75" customHeight="1">
      <c r="A46" s="5"/>
      <c r="B46" s="5"/>
      <c r="C46" s="5"/>
      <c r="D46" s="5"/>
      <c r="E46" s="5"/>
      <c r="F46" s="5"/>
      <c r="G46" s="5"/>
      <c r="H46" s="5"/>
      <c r="I46" s="5"/>
      <c r="J46" s="5"/>
      <c r="K46" s="5"/>
      <c r="L46" s="5"/>
      <c r="M46" s="5"/>
      <c r="N46" s="5"/>
      <c r="O46" s="5"/>
      <c r="P46" s="5"/>
      <c r="Q46" s="5"/>
      <c r="R46" s="5"/>
      <c r="S46" s="5"/>
      <c r="T46" s="5"/>
    </row>
    <row r="47" spans="1:20" ht="27.75" customHeight="1">
      <c r="A47" s="5"/>
      <c r="B47" s="5"/>
      <c r="C47" s="5"/>
      <c r="D47" s="5"/>
      <c r="E47" s="5"/>
      <c r="F47" s="5"/>
      <c r="G47" s="5"/>
      <c r="H47" s="5"/>
      <c r="I47" s="5"/>
      <c r="J47" s="5"/>
      <c r="K47" s="5"/>
      <c r="L47" s="5"/>
      <c r="M47" s="5"/>
      <c r="N47" s="5"/>
      <c r="O47" s="5"/>
      <c r="P47" s="5"/>
      <c r="Q47" s="5"/>
      <c r="R47" s="5"/>
      <c r="S47" s="5"/>
      <c r="T47" s="5"/>
    </row>
    <row r="48" spans="1:20" ht="27.75" customHeight="1">
      <c r="A48" s="5"/>
      <c r="B48" s="5"/>
      <c r="C48" s="5"/>
      <c r="D48" s="5"/>
      <c r="E48" s="5"/>
      <c r="F48" s="5"/>
      <c r="G48" s="5"/>
      <c r="H48" s="5"/>
      <c r="I48" s="5"/>
      <c r="J48" s="5"/>
      <c r="K48" s="5"/>
      <c r="L48" s="5"/>
      <c r="M48" s="5"/>
      <c r="N48" s="5"/>
      <c r="O48" s="5"/>
      <c r="P48" s="5"/>
      <c r="Q48" s="5"/>
      <c r="R48" s="5"/>
      <c r="S48" s="5"/>
      <c r="T48" s="5"/>
    </row>
    <row r="49" spans="1:20" ht="27.75" customHeight="1">
      <c r="A49" s="5"/>
      <c r="B49" s="5"/>
      <c r="C49" s="5"/>
      <c r="D49" s="5"/>
      <c r="E49" s="5"/>
      <c r="F49" s="5"/>
      <c r="G49" s="5"/>
      <c r="H49" s="5"/>
      <c r="I49" s="5"/>
      <c r="J49" s="5"/>
      <c r="K49" s="5"/>
      <c r="L49" s="5"/>
      <c r="M49" s="5"/>
      <c r="N49" s="5"/>
      <c r="O49" s="5"/>
      <c r="P49" s="5"/>
      <c r="Q49" s="5"/>
      <c r="R49" s="5"/>
      <c r="S49" s="5"/>
      <c r="T49" s="5"/>
    </row>
    <row r="50" spans="1:20" ht="27.75" customHeight="1">
      <c r="A50" s="5"/>
      <c r="B50" s="5"/>
      <c r="C50" s="5"/>
      <c r="D50" s="5"/>
      <c r="E50" s="5"/>
      <c r="F50" s="5"/>
      <c r="G50" s="5"/>
      <c r="H50" s="5"/>
      <c r="I50" s="5"/>
      <c r="J50" s="5"/>
      <c r="K50" s="5"/>
      <c r="L50" s="5"/>
      <c r="M50" s="5"/>
      <c r="N50" s="5"/>
      <c r="O50" s="5"/>
      <c r="P50" s="5"/>
      <c r="Q50" s="5"/>
      <c r="R50" s="5"/>
      <c r="S50" s="5"/>
      <c r="T50" s="5"/>
    </row>
    <row r="51" spans="1:20" ht="27.75" customHeight="1">
      <c r="A51" s="5"/>
      <c r="B51" s="5"/>
      <c r="C51" s="5"/>
      <c r="D51" s="5"/>
      <c r="E51" s="5"/>
      <c r="F51" s="5"/>
      <c r="G51" s="5"/>
      <c r="H51" s="5"/>
      <c r="I51" s="5"/>
      <c r="J51" s="5"/>
      <c r="K51" s="5"/>
      <c r="L51" s="5"/>
      <c r="M51" s="5"/>
      <c r="N51" s="5"/>
      <c r="O51" s="5"/>
      <c r="P51" s="5"/>
      <c r="Q51" s="5"/>
      <c r="R51" s="5"/>
      <c r="S51" s="5"/>
      <c r="T51" s="5"/>
    </row>
    <row r="52" spans="1:20" ht="27.75" customHeight="1">
      <c r="A52" s="5"/>
      <c r="B52" s="5"/>
      <c r="C52" s="5"/>
      <c r="D52" s="5"/>
      <c r="E52" s="5"/>
      <c r="F52" s="5"/>
      <c r="G52" s="5"/>
      <c r="H52" s="5"/>
      <c r="I52" s="5"/>
      <c r="J52" s="5"/>
      <c r="K52" s="5"/>
      <c r="L52" s="5"/>
      <c r="M52" s="5"/>
      <c r="N52" s="5"/>
      <c r="O52" s="5"/>
      <c r="P52" s="5"/>
      <c r="Q52" s="5"/>
      <c r="R52" s="5"/>
      <c r="S52" s="5"/>
      <c r="T52" s="5"/>
    </row>
    <row r="53" spans="1:20" ht="27.75" customHeight="1">
      <c r="A53" s="5"/>
      <c r="B53" s="5"/>
      <c r="C53" s="5"/>
      <c r="D53" s="5"/>
      <c r="E53" s="5"/>
      <c r="F53" s="5"/>
      <c r="G53" s="5"/>
      <c r="H53" s="5"/>
      <c r="I53" s="5"/>
      <c r="J53" s="5"/>
      <c r="K53" s="5"/>
      <c r="L53" s="5"/>
      <c r="M53" s="5"/>
      <c r="N53" s="5"/>
      <c r="O53" s="5"/>
      <c r="P53" s="5"/>
      <c r="Q53" s="5"/>
      <c r="R53" s="5"/>
      <c r="S53" s="5"/>
      <c r="T53" s="5"/>
    </row>
    <row r="54" spans="1:20" ht="27.75" customHeight="1">
      <c r="A54" s="5"/>
      <c r="B54" s="5"/>
      <c r="C54" s="5"/>
      <c r="D54" s="5"/>
      <c r="E54" s="5"/>
      <c r="F54" s="5"/>
      <c r="G54" s="5"/>
      <c r="H54" s="5"/>
      <c r="I54" s="5"/>
      <c r="J54" s="5"/>
      <c r="K54" s="5"/>
      <c r="L54" s="5"/>
      <c r="M54" s="5"/>
      <c r="N54" s="5"/>
      <c r="O54" s="5"/>
      <c r="P54" s="5"/>
      <c r="Q54" s="5"/>
      <c r="R54" s="5"/>
      <c r="S54" s="5"/>
      <c r="T54" s="5"/>
    </row>
    <row r="55" spans="1:20" ht="27.75" customHeight="1">
      <c r="A55" s="5"/>
      <c r="B55" s="5"/>
      <c r="C55" s="5"/>
      <c r="D55" s="5"/>
      <c r="E55" s="5"/>
      <c r="F55" s="5"/>
      <c r="G55" s="5"/>
      <c r="H55" s="5"/>
      <c r="I55" s="5"/>
      <c r="J55" s="5"/>
      <c r="K55" s="5"/>
      <c r="L55" s="5"/>
      <c r="M55" s="5"/>
      <c r="N55" s="5"/>
      <c r="O55" s="5"/>
      <c r="P55" s="5"/>
      <c r="Q55" s="5"/>
      <c r="R55" s="5"/>
      <c r="S55" s="5"/>
      <c r="T55" s="5"/>
    </row>
    <row r="56" spans="1:20" ht="27.75" customHeight="1">
      <c r="A56" s="5"/>
      <c r="B56" s="5"/>
      <c r="C56" s="5"/>
      <c r="D56" s="5"/>
      <c r="E56" s="5"/>
      <c r="F56" s="5"/>
      <c r="G56" s="5"/>
      <c r="H56" s="5"/>
      <c r="I56" s="5"/>
      <c r="J56" s="5"/>
      <c r="K56" s="5"/>
      <c r="L56" s="5"/>
      <c r="M56" s="5"/>
      <c r="N56" s="5"/>
      <c r="O56" s="5"/>
      <c r="P56" s="5"/>
      <c r="Q56" s="5"/>
      <c r="R56" s="5"/>
      <c r="S56" s="5"/>
      <c r="T56" s="5"/>
    </row>
    <row r="57" spans="1:20" ht="27.75" customHeight="1">
      <c r="A57" s="5"/>
      <c r="B57" s="5"/>
      <c r="C57" s="5"/>
      <c r="D57" s="5"/>
      <c r="E57" s="5"/>
      <c r="F57" s="5"/>
      <c r="G57" s="5"/>
      <c r="H57" s="5"/>
      <c r="I57" s="5"/>
      <c r="J57" s="5"/>
      <c r="K57" s="5"/>
      <c r="L57" s="5"/>
      <c r="M57" s="5"/>
      <c r="N57" s="5"/>
      <c r="O57" s="5"/>
      <c r="P57" s="5"/>
      <c r="Q57" s="5"/>
      <c r="R57" s="5"/>
      <c r="S57" s="5"/>
      <c r="T57" s="5"/>
    </row>
    <row r="58" spans="1:20" ht="27.75" customHeight="1">
      <c r="A58" s="5"/>
      <c r="B58" s="5"/>
      <c r="C58" s="5"/>
      <c r="D58" s="5"/>
      <c r="E58" s="5"/>
      <c r="F58" s="5"/>
      <c r="G58" s="5"/>
      <c r="H58" s="5"/>
      <c r="I58" s="5"/>
      <c r="J58" s="5"/>
      <c r="K58" s="5"/>
      <c r="L58" s="5"/>
      <c r="M58" s="5"/>
      <c r="N58" s="5"/>
      <c r="O58" s="5"/>
      <c r="P58" s="5"/>
      <c r="Q58" s="5"/>
      <c r="R58" s="5"/>
      <c r="S58" s="5"/>
      <c r="T58" s="5"/>
    </row>
    <row r="59" spans="1:20" ht="27.75" customHeight="1">
      <c r="A59" s="5"/>
      <c r="B59" s="5"/>
      <c r="C59" s="5"/>
      <c r="D59" s="5"/>
      <c r="E59" s="5"/>
      <c r="F59" s="5"/>
      <c r="G59" s="5"/>
      <c r="H59" s="5"/>
      <c r="I59" s="5"/>
      <c r="J59" s="5"/>
      <c r="K59" s="5"/>
      <c r="L59" s="5"/>
      <c r="M59" s="5"/>
      <c r="N59" s="5"/>
      <c r="O59" s="5"/>
      <c r="P59" s="5"/>
      <c r="Q59" s="5"/>
      <c r="R59" s="5"/>
      <c r="S59" s="5"/>
      <c r="T59" s="5"/>
    </row>
    <row r="60" spans="1:20" ht="27.75" customHeight="1">
      <c r="A60" s="5"/>
      <c r="B60" s="5"/>
      <c r="C60" s="5"/>
      <c r="D60" s="5"/>
      <c r="E60" s="5"/>
      <c r="F60" s="5"/>
      <c r="G60" s="5"/>
      <c r="H60" s="5"/>
      <c r="I60" s="5"/>
      <c r="J60" s="5"/>
      <c r="K60" s="5"/>
      <c r="L60" s="5"/>
      <c r="M60" s="5"/>
      <c r="N60" s="5"/>
      <c r="O60" s="5"/>
      <c r="P60" s="5"/>
      <c r="Q60" s="5"/>
      <c r="R60" s="5"/>
      <c r="S60" s="5"/>
      <c r="T60" s="5"/>
    </row>
    <row r="61" spans="1:20" ht="27.75" customHeight="1">
      <c r="A61" s="5"/>
      <c r="B61" s="5"/>
      <c r="C61" s="5"/>
      <c r="D61" s="5"/>
      <c r="E61" s="5"/>
      <c r="F61" s="5"/>
      <c r="G61" s="5"/>
      <c r="H61" s="5"/>
      <c r="I61" s="5"/>
      <c r="J61" s="5"/>
      <c r="K61" s="5"/>
      <c r="L61" s="5"/>
      <c r="M61" s="5"/>
      <c r="N61" s="5"/>
      <c r="O61" s="5"/>
      <c r="P61" s="5"/>
      <c r="Q61" s="5"/>
      <c r="R61" s="5"/>
      <c r="S61" s="5"/>
      <c r="T61" s="5"/>
    </row>
    <row r="62" spans="1:20" ht="27.75" customHeight="1">
      <c r="A62" s="5"/>
      <c r="B62" s="5"/>
      <c r="C62" s="5"/>
      <c r="D62" s="5"/>
      <c r="E62" s="5"/>
      <c r="F62" s="5"/>
      <c r="G62" s="5"/>
      <c r="H62" s="5"/>
      <c r="I62" s="5"/>
      <c r="J62" s="5"/>
      <c r="K62" s="5"/>
      <c r="L62" s="5"/>
      <c r="M62" s="5"/>
      <c r="N62" s="5"/>
      <c r="O62" s="5"/>
      <c r="P62" s="5"/>
      <c r="Q62" s="5"/>
      <c r="R62" s="5"/>
      <c r="S62" s="5"/>
      <c r="T62" s="5"/>
    </row>
    <row r="63" spans="1:20" ht="27.75" customHeight="1">
      <c r="A63" s="5"/>
      <c r="B63" s="5"/>
      <c r="C63" s="5"/>
      <c r="D63" s="5"/>
      <c r="E63" s="5"/>
      <c r="F63" s="5"/>
      <c r="G63" s="5"/>
      <c r="H63" s="5"/>
      <c r="I63" s="5"/>
      <c r="J63" s="5"/>
      <c r="K63" s="5"/>
      <c r="L63" s="5"/>
      <c r="M63" s="5"/>
      <c r="N63" s="5"/>
      <c r="O63" s="5"/>
      <c r="P63" s="5"/>
      <c r="Q63" s="5"/>
      <c r="R63" s="5"/>
      <c r="S63" s="5"/>
      <c r="T63" s="5"/>
    </row>
    <row r="64" spans="1:20" ht="27.75" customHeight="1">
      <c r="A64" s="5"/>
      <c r="B64" s="5"/>
      <c r="C64" s="5"/>
      <c r="D64" s="5"/>
      <c r="E64" s="5"/>
      <c r="F64" s="5"/>
      <c r="G64" s="5"/>
      <c r="H64" s="5"/>
      <c r="I64" s="5"/>
      <c r="J64" s="5"/>
      <c r="K64" s="5"/>
      <c r="L64" s="5"/>
      <c r="M64" s="5"/>
      <c r="N64" s="5"/>
      <c r="O64" s="5"/>
      <c r="P64" s="5"/>
      <c r="Q64" s="5"/>
      <c r="R64" s="5"/>
      <c r="S64" s="5"/>
      <c r="T64" s="5"/>
    </row>
    <row r="65" spans="1:20" ht="27.75" customHeight="1">
      <c r="A65" s="5"/>
      <c r="B65" s="5"/>
      <c r="C65" s="5"/>
      <c r="D65" s="5"/>
      <c r="E65" s="5"/>
      <c r="F65" s="5"/>
      <c r="G65" s="5"/>
      <c r="H65" s="5"/>
      <c r="I65" s="5"/>
      <c r="J65" s="5"/>
      <c r="K65" s="5"/>
      <c r="L65" s="5"/>
      <c r="M65" s="5"/>
      <c r="N65" s="5"/>
      <c r="O65" s="5"/>
      <c r="P65" s="5"/>
      <c r="Q65" s="5"/>
      <c r="R65" s="5"/>
      <c r="S65" s="5"/>
      <c r="T65" s="5"/>
    </row>
    <row r="66" spans="1:20" ht="27.75" customHeight="1">
      <c r="A66" s="5"/>
      <c r="B66" s="5"/>
      <c r="C66" s="5"/>
      <c r="D66" s="5"/>
      <c r="E66" s="5"/>
      <c r="F66" s="5"/>
      <c r="G66" s="5"/>
      <c r="H66" s="5"/>
      <c r="I66" s="5"/>
      <c r="J66" s="5"/>
      <c r="K66" s="5"/>
      <c r="L66" s="5"/>
      <c r="M66" s="5"/>
      <c r="N66" s="5"/>
      <c r="O66" s="5"/>
      <c r="P66" s="5"/>
      <c r="Q66" s="5"/>
      <c r="R66" s="5"/>
      <c r="S66" s="5"/>
      <c r="T66" s="5"/>
    </row>
    <row r="67" spans="1:20" ht="27.75" customHeight="1">
      <c r="A67" s="5"/>
      <c r="B67" s="5"/>
      <c r="C67" s="5"/>
      <c r="D67" s="5"/>
      <c r="E67" s="5"/>
      <c r="F67" s="5"/>
      <c r="G67" s="5"/>
      <c r="H67" s="5"/>
      <c r="I67" s="5"/>
      <c r="J67" s="5"/>
      <c r="K67" s="5"/>
      <c r="L67" s="5"/>
      <c r="M67" s="5"/>
      <c r="N67" s="5"/>
      <c r="O67" s="5"/>
      <c r="P67" s="5"/>
      <c r="Q67" s="5"/>
      <c r="R67" s="5"/>
      <c r="S67" s="5"/>
      <c r="T67" s="5"/>
    </row>
    <row r="68" spans="1:20" ht="27.75" customHeight="1">
      <c r="A68" s="5"/>
      <c r="B68" s="5"/>
      <c r="C68" s="5"/>
      <c r="D68" s="5"/>
      <c r="E68" s="5"/>
      <c r="F68" s="5"/>
      <c r="G68" s="5"/>
      <c r="H68" s="5"/>
      <c r="I68" s="5"/>
      <c r="J68" s="5"/>
      <c r="K68" s="5"/>
      <c r="L68" s="5"/>
      <c r="M68" s="5"/>
      <c r="N68" s="5"/>
      <c r="O68" s="5"/>
      <c r="P68" s="5"/>
      <c r="Q68" s="5"/>
      <c r="R68" s="5"/>
      <c r="S68" s="5"/>
      <c r="T68" s="5"/>
    </row>
    <row r="69" spans="1:20" ht="27.75" customHeight="1">
      <c r="A69" s="5"/>
      <c r="B69" s="5"/>
      <c r="C69" s="5"/>
      <c r="D69" s="5"/>
      <c r="E69" s="5"/>
      <c r="F69" s="5"/>
      <c r="G69" s="5"/>
      <c r="H69" s="5"/>
      <c r="I69" s="5"/>
      <c r="J69" s="5"/>
      <c r="K69" s="5"/>
      <c r="L69" s="5"/>
      <c r="M69" s="5"/>
      <c r="N69" s="5"/>
      <c r="O69" s="5"/>
      <c r="P69" s="5"/>
      <c r="Q69" s="5"/>
      <c r="R69" s="5"/>
      <c r="S69" s="5"/>
      <c r="T69" s="5"/>
    </row>
    <row r="70" spans="1:20" ht="27.75" customHeight="1">
      <c r="A70" s="5"/>
      <c r="B70" s="5"/>
      <c r="C70" s="5"/>
      <c r="D70" s="5"/>
      <c r="E70" s="5"/>
      <c r="F70" s="5"/>
      <c r="G70" s="5"/>
      <c r="H70" s="5"/>
      <c r="I70" s="5"/>
      <c r="J70" s="5"/>
      <c r="K70" s="5"/>
      <c r="L70" s="5"/>
      <c r="M70" s="5"/>
      <c r="N70" s="5"/>
      <c r="O70" s="5"/>
      <c r="P70" s="5"/>
      <c r="Q70" s="5"/>
      <c r="R70" s="5"/>
      <c r="S70" s="5"/>
      <c r="T70" s="5"/>
    </row>
    <row r="71" spans="1:20" ht="27.75" customHeight="1">
      <c r="A71" s="5"/>
      <c r="B71" s="5"/>
      <c r="C71" s="5"/>
      <c r="D71" s="5"/>
      <c r="E71" s="5"/>
      <c r="F71" s="5"/>
      <c r="G71" s="5"/>
      <c r="H71" s="5"/>
      <c r="I71" s="5"/>
      <c r="J71" s="5"/>
      <c r="K71" s="5"/>
      <c r="L71" s="5"/>
      <c r="M71" s="5"/>
      <c r="N71" s="5"/>
      <c r="O71" s="5"/>
      <c r="P71" s="5"/>
      <c r="Q71" s="5"/>
      <c r="R71" s="5"/>
      <c r="S71" s="5"/>
      <c r="T71" s="5"/>
    </row>
    <row r="72" spans="1:20" ht="27.75" customHeight="1">
      <c r="A72" s="5"/>
      <c r="B72" s="5"/>
      <c r="C72" s="5"/>
      <c r="D72" s="5"/>
      <c r="E72" s="5"/>
      <c r="F72" s="5"/>
      <c r="G72" s="5"/>
      <c r="H72" s="5"/>
      <c r="I72" s="5"/>
      <c r="J72" s="5"/>
      <c r="K72" s="5"/>
      <c r="L72" s="5"/>
      <c r="M72" s="5"/>
      <c r="N72" s="5"/>
      <c r="O72" s="5"/>
      <c r="P72" s="5"/>
      <c r="Q72" s="5"/>
      <c r="R72" s="5"/>
      <c r="S72" s="5"/>
      <c r="T72" s="5"/>
    </row>
    <row r="73" spans="1:20" ht="27.75" customHeight="1">
      <c r="A73" s="5"/>
      <c r="B73" s="5"/>
      <c r="C73" s="5"/>
      <c r="D73" s="5"/>
      <c r="E73" s="5"/>
      <c r="F73" s="5"/>
      <c r="G73" s="5"/>
      <c r="H73" s="5"/>
      <c r="I73" s="5"/>
      <c r="J73" s="5"/>
      <c r="K73" s="5"/>
      <c r="L73" s="5"/>
      <c r="M73" s="5"/>
      <c r="N73" s="5"/>
      <c r="O73" s="5"/>
      <c r="P73" s="5"/>
      <c r="Q73" s="5"/>
      <c r="R73" s="5"/>
      <c r="S73" s="5"/>
      <c r="T73" s="5"/>
    </row>
    <row r="74" spans="1:20" ht="27.75" customHeight="1">
      <c r="A74" s="5"/>
      <c r="B74" s="5"/>
      <c r="C74" s="5"/>
      <c r="D74" s="5"/>
      <c r="E74" s="5"/>
      <c r="F74" s="5"/>
      <c r="G74" s="5"/>
      <c r="H74" s="5"/>
      <c r="I74" s="5"/>
      <c r="J74" s="5"/>
      <c r="K74" s="5"/>
      <c r="L74" s="5"/>
      <c r="M74" s="5"/>
      <c r="N74" s="5"/>
      <c r="O74" s="5"/>
      <c r="P74" s="5"/>
      <c r="Q74" s="5"/>
      <c r="R74" s="5"/>
      <c r="S74" s="5"/>
      <c r="T74" s="5"/>
    </row>
    <row r="75" spans="1:20" ht="27.75" customHeight="1">
      <c r="A75" s="5"/>
      <c r="B75" s="5"/>
      <c r="C75" s="5"/>
      <c r="D75" s="5"/>
      <c r="E75" s="5"/>
      <c r="F75" s="5"/>
      <c r="G75" s="5"/>
      <c r="H75" s="5"/>
      <c r="I75" s="5"/>
      <c r="J75" s="5"/>
      <c r="K75" s="5"/>
      <c r="L75" s="5"/>
      <c r="M75" s="5"/>
      <c r="N75" s="5"/>
      <c r="O75" s="5"/>
      <c r="P75" s="5"/>
      <c r="Q75" s="5"/>
      <c r="R75" s="5"/>
      <c r="S75" s="5"/>
      <c r="T75" s="5"/>
    </row>
    <row r="76" spans="1:20" ht="27.75" customHeight="1">
      <c r="A76" s="5"/>
      <c r="B76" s="5"/>
      <c r="C76" s="5"/>
      <c r="D76" s="5"/>
      <c r="E76" s="5"/>
      <c r="F76" s="5"/>
      <c r="G76" s="5"/>
      <c r="H76" s="5"/>
      <c r="I76" s="5"/>
      <c r="J76" s="5"/>
      <c r="K76" s="5"/>
      <c r="L76" s="5"/>
      <c r="M76" s="5"/>
      <c r="N76" s="5"/>
      <c r="O76" s="5"/>
      <c r="P76" s="5"/>
      <c r="Q76" s="5"/>
      <c r="R76" s="5"/>
      <c r="S76" s="5"/>
      <c r="T76" s="5"/>
    </row>
    <row r="77" spans="1:20" ht="27.75" customHeight="1">
      <c r="A77" s="5"/>
      <c r="B77" s="5"/>
      <c r="C77" s="5"/>
      <c r="D77" s="5"/>
      <c r="E77" s="5"/>
      <c r="F77" s="5"/>
      <c r="G77" s="5"/>
      <c r="H77" s="5"/>
      <c r="I77" s="5"/>
      <c r="J77" s="5"/>
      <c r="K77" s="5"/>
      <c r="L77" s="5"/>
      <c r="M77" s="5"/>
      <c r="N77" s="5"/>
      <c r="O77" s="5"/>
      <c r="P77" s="5"/>
      <c r="Q77" s="5"/>
      <c r="R77" s="5"/>
      <c r="S77" s="5"/>
      <c r="T77" s="5"/>
    </row>
    <row r="78" spans="1:20" ht="27.75" customHeight="1">
      <c r="A78" s="5"/>
      <c r="B78" s="5"/>
      <c r="C78" s="5"/>
      <c r="D78" s="5"/>
      <c r="E78" s="5"/>
      <c r="F78" s="5"/>
      <c r="G78" s="5"/>
      <c r="H78" s="5"/>
      <c r="I78" s="5"/>
      <c r="J78" s="5"/>
      <c r="K78" s="5"/>
      <c r="L78" s="5"/>
      <c r="M78" s="5"/>
      <c r="N78" s="5"/>
      <c r="O78" s="5"/>
      <c r="P78" s="5"/>
      <c r="Q78" s="5"/>
      <c r="R78" s="5"/>
      <c r="S78" s="5"/>
      <c r="T78" s="5"/>
    </row>
    <row r="79" spans="1:20" ht="27.75" customHeight="1">
      <c r="A79" s="5"/>
      <c r="B79" s="5"/>
      <c r="C79" s="5"/>
      <c r="D79" s="5"/>
      <c r="E79" s="5"/>
      <c r="F79" s="5"/>
      <c r="G79" s="5"/>
      <c r="H79" s="5"/>
      <c r="I79" s="5"/>
      <c r="J79" s="5"/>
      <c r="K79" s="5"/>
      <c r="L79" s="5"/>
      <c r="M79" s="5"/>
      <c r="N79" s="5"/>
      <c r="O79" s="5"/>
      <c r="P79" s="5"/>
      <c r="Q79" s="5"/>
      <c r="R79" s="5"/>
      <c r="S79" s="5"/>
      <c r="T79" s="5"/>
    </row>
    <row r="80" spans="1:20" ht="27.75" customHeight="1">
      <c r="A80" s="5"/>
      <c r="B80" s="5"/>
      <c r="C80" s="5"/>
      <c r="D80" s="5"/>
      <c r="E80" s="5"/>
      <c r="F80" s="5"/>
      <c r="G80" s="5"/>
      <c r="H80" s="5"/>
      <c r="I80" s="5"/>
      <c r="J80" s="5"/>
      <c r="K80" s="5"/>
      <c r="L80" s="5"/>
      <c r="M80" s="5"/>
      <c r="N80" s="5"/>
      <c r="O80" s="5"/>
      <c r="P80" s="5"/>
      <c r="Q80" s="5"/>
      <c r="R80" s="5"/>
      <c r="S80" s="5"/>
      <c r="T80" s="5"/>
    </row>
    <row r="81" spans="1:20" ht="27.75" customHeight="1">
      <c r="A81" s="5"/>
      <c r="B81" s="5"/>
      <c r="C81" s="5"/>
      <c r="D81" s="5"/>
      <c r="E81" s="5"/>
      <c r="F81" s="5"/>
      <c r="G81" s="5"/>
      <c r="H81" s="5"/>
      <c r="I81" s="5"/>
      <c r="J81" s="5"/>
      <c r="K81" s="5"/>
      <c r="L81" s="5"/>
      <c r="M81" s="5"/>
      <c r="N81" s="5"/>
      <c r="O81" s="5"/>
      <c r="P81" s="5"/>
      <c r="Q81" s="5"/>
      <c r="R81" s="5"/>
      <c r="S81" s="5"/>
      <c r="T81" s="5"/>
    </row>
    <row r="82" spans="1:20" ht="27.75" customHeight="1">
      <c r="A82" s="5"/>
      <c r="B82" s="5"/>
      <c r="C82" s="5"/>
      <c r="D82" s="5"/>
      <c r="E82" s="5"/>
      <c r="F82" s="5"/>
      <c r="G82" s="5"/>
      <c r="H82" s="5"/>
      <c r="I82" s="5"/>
      <c r="J82" s="5"/>
      <c r="K82" s="5"/>
      <c r="L82" s="5"/>
      <c r="M82" s="5"/>
      <c r="N82" s="5"/>
      <c r="O82" s="5"/>
      <c r="P82" s="5"/>
      <c r="Q82" s="5"/>
      <c r="R82" s="5"/>
      <c r="S82" s="5"/>
      <c r="T82" s="5"/>
    </row>
    <row r="83" spans="1:20" ht="27.75" customHeight="1">
      <c r="A83" s="5"/>
      <c r="B83" s="5"/>
      <c r="C83" s="5"/>
      <c r="D83" s="5"/>
      <c r="E83" s="5"/>
      <c r="F83" s="5"/>
      <c r="G83" s="5"/>
      <c r="H83" s="5"/>
      <c r="I83" s="5"/>
      <c r="J83" s="5"/>
      <c r="K83" s="5"/>
      <c r="L83" s="5"/>
      <c r="M83" s="5"/>
      <c r="N83" s="5"/>
      <c r="O83" s="5"/>
      <c r="P83" s="5"/>
      <c r="Q83" s="5"/>
      <c r="R83" s="5"/>
      <c r="S83" s="5"/>
      <c r="T83" s="5"/>
    </row>
    <row r="84" spans="1:20" ht="27.75" customHeight="1">
      <c r="A84" s="5"/>
      <c r="B84" s="5"/>
      <c r="C84" s="5"/>
      <c r="D84" s="5"/>
      <c r="E84" s="5"/>
      <c r="F84" s="5"/>
      <c r="G84" s="5"/>
      <c r="H84" s="5"/>
      <c r="I84" s="5"/>
      <c r="J84" s="5"/>
      <c r="K84" s="5"/>
      <c r="L84" s="5"/>
      <c r="M84" s="5"/>
      <c r="N84" s="5"/>
      <c r="O84" s="5"/>
      <c r="P84" s="5"/>
      <c r="Q84" s="5"/>
      <c r="R84" s="5"/>
      <c r="S84" s="5"/>
      <c r="T84" s="5"/>
    </row>
    <row r="85" spans="1:20" ht="27.75" customHeight="1">
      <c r="A85" s="5"/>
      <c r="B85" s="5"/>
      <c r="C85" s="5"/>
      <c r="D85" s="5"/>
      <c r="E85" s="5"/>
      <c r="F85" s="5"/>
      <c r="G85" s="5"/>
      <c r="H85" s="5"/>
      <c r="I85" s="5"/>
      <c r="J85" s="5"/>
      <c r="K85" s="5"/>
      <c r="L85" s="5"/>
      <c r="M85" s="5"/>
      <c r="N85" s="5"/>
      <c r="O85" s="5"/>
      <c r="P85" s="5"/>
      <c r="Q85" s="5"/>
      <c r="R85" s="5"/>
      <c r="S85" s="5"/>
      <c r="T85" s="5"/>
    </row>
    <row r="86" spans="1:20" ht="27.75" customHeight="1">
      <c r="A86" s="5"/>
      <c r="B86" s="5"/>
      <c r="C86" s="5"/>
      <c r="D86" s="5"/>
      <c r="E86" s="5"/>
      <c r="F86" s="5"/>
      <c r="G86" s="5"/>
      <c r="H86" s="5"/>
      <c r="I86" s="5"/>
      <c r="J86" s="5"/>
      <c r="K86" s="5"/>
      <c r="L86" s="5"/>
      <c r="M86" s="5"/>
      <c r="N86" s="5"/>
      <c r="O86" s="5"/>
      <c r="P86" s="5"/>
      <c r="Q86" s="5"/>
      <c r="R86" s="5"/>
      <c r="S86" s="5"/>
      <c r="T86" s="5"/>
    </row>
    <row r="87" spans="1:20" ht="27.75" customHeight="1">
      <c r="A87" s="5"/>
      <c r="B87" s="5"/>
      <c r="C87" s="5"/>
      <c r="D87" s="5"/>
      <c r="E87" s="5"/>
      <c r="F87" s="5"/>
      <c r="G87" s="5"/>
      <c r="H87" s="5"/>
      <c r="I87" s="5"/>
      <c r="J87" s="5"/>
      <c r="K87" s="5"/>
      <c r="L87" s="5"/>
      <c r="M87" s="5"/>
      <c r="N87" s="5"/>
      <c r="O87" s="5"/>
      <c r="P87" s="5"/>
      <c r="Q87" s="5"/>
      <c r="R87" s="5"/>
      <c r="S87" s="5"/>
      <c r="T87" s="5"/>
    </row>
    <row r="88" spans="1:20" ht="27.75" customHeight="1">
      <c r="A88" s="5"/>
      <c r="B88" s="5"/>
      <c r="C88" s="5"/>
      <c r="D88" s="5"/>
      <c r="E88" s="5"/>
      <c r="F88" s="5"/>
      <c r="G88" s="5"/>
      <c r="H88" s="5"/>
      <c r="I88" s="5"/>
      <c r="J88" s="5"/>
      <c r="K88" s="5"/>
      <c r="L88" s="5"/>
      <c r="M88" s="5"/>
      <c r="N88" s="5"/>
      <c r="O88" s="5"/>
      <c r="P88" s="5"/>
      <c r="Q88" s="5"/>
      <c r="R88" s="5"/>
      <c r="S88" s="5"/>
      <c r="T88" s="5"/>
    </row>
    <row r="89" spans="1:20" ht="27.75" customHeight="1">
      <c r="A89" s="5"/>
      <c r="B89" s="5"/>
      <c r="C89" s="5"/>
      <c r="D89" s="5"/>
      <c r="E89" s="5"/>
      <c r="F89" s="5"/>
      <c r="G89" s="5"/>
      <c r="H89" s="5"/>
      <c r="I89" s="5"/>
      <c r="J89" s="5"/>
      <c r="K89" s="5"/>
      <c r="L89" s="5"/>
      <c r="M89" s="5"/>
      <c r="N89" s="5"/>
      <c r="O89" s="5"/>
      <c r="P89" s="5"/>
      <c r="Q89" s="5"/>
      <c r="R89" s="5"/>
      <c r="S89" s="5"/>
      <c r="T89" s="5"/>
    </row>
    <row r="90" spans="1:20" ht="27.75" customHeight="1">
      <c r="A90" s="5"/>
      <c r="B90" s="5"/>
      <c r="C90" s="5"/>
      <c r="D90" s="5"/>
      <c r="E90" s="5"/>
      <c r="F90" s="5"/>
      <c r="G90" s="5"/>
      <c r="H90" s="5"/>
      <c r="I90" s="5"/>
      <c r="J90" s="5"/>
      <c r="K90" s="5"/>
      <c r="L90" s="5"/>
      <c r="M90" s="5"/>
      <c r="N90" s="5"/>
      <c r="O90" s="5"/>
      <c r="P90" s="5"/>
      <c r="Q90" s="5"/>
      <c r="R90" s="5"/>
      <c r="S90" s="5"/>
      <c r="T90" s="5"/>
    </row>
    <row r="91" spans="1:20" ht="27.75" customHeight="1">
      <c r="A91" s="5"/>
      <c r="B91" s="5"/>
      <c r="C91" s="5"/>
      <c r="D91" s="5"/>
      <c r="E91" s="5"/>
      <c r="F91" s="5"/>
      <c r="G91" s="5"/>
      <c r="H91" s="5"/>
      <c r="I91" s="5"/>
      <c r="J91" s="5"/>
      <c r="K91" s="5"/>
      <c r="L91" s="5"/>
      <c r="M91" s="5"/>
      <c r="N91" s="5"/>
      <c r="O91" s="5"/>
      <c r="P91" s="5"/>
      <c r="Q91" s="5"/>
      <c r="R91" s="5"/>
      <c r="S91" s="5"/>
      <c r="T91" s="5"/>
    </row>
    <row r="92" spans="1:20" ht="27.75" customHeight="1">
      <c r="A92" s="5"/>
      <c r="B92" s="5"/>
      <c r="C92" s="5"/>
      <c r="D92" s="5"/>
      <c r="E92" s="5"/>
      <c r="F92" s="5"/>
      <c r="G92" s="5"/>
      <c r="H92" s="5"/>
      <c r="I92" s="5"/>
      <c r="J92" s="5"/>
      <c r="K92" s="5"/>
      <c r="L92" s="5"/>
      <c r="M92" s="5"/>
      <c r="N92" s="5"/>
      <c r="O92" s="5"/>
      <c r="P92" s="5"/>
      <c r="Q92" s="5"/>
      <c r="R92" s="5"/>
      <c r="S92" s="5"/>
      <c r="T92" s="5"/>
    </row>
    <row r="93" spans="1:20" ht="27.75" customHeight="1">
      <c r="A93" s="5"/>
      <c r="B93" s="5"/>
      <c r="C93" s="5"/>
      <c r="D93" s="5"/>
      <c r="E93" s="5"/>
      <c r="F93" s="5"/>
      <c r="G93" s="5"/>
      <c r="H93" s="5"/>
      <c r="I93" s="5"/>
      <c r="J93" s="5"/>
      <c r="K93" s="5"/>
      <c r="L93" s="5"/>
      <c r="M93" s="5"/>
      <c r="N93" s="5"/>
      <c r="O93" s="5"/>
      <c r="P93" s="5"/>
      <c r="Q93" s="5"/>
      <c r="R93" s="5"/>
      <c r="S93" s="5"/>
      <c r="T93" s="5"/>
    </row>
    <row r="94" spans="1:20" ht="27.75" customHeight="1">
      <c r="A94" s="5"/>
      <c r="B94" s="5"/>
      <c r="C94" s="5"/>
      <c r="D94" s="5"/>
      <c r="E94" s="5"/>
      <c r="F94" s="5"/>
      <c r="G94" s="5"/>
      <c r="H94" s="5"/>
      <c r="I94" s="5"/>
      <c r="J94" s="5"/>
      <c r="K94" s="5"/>
      <c r="L94" s="5"/>
      <c r="M94" s="5"/>
      <c r="N94" s="5"/>
      <c r="O94" s="5"/>
      <c r="P94" s="5"/>
      <c r="Q94" s="5"/>
      <c r="R94" s="5"/>
      <c r="S94" s="5"/>
      <c r="T94" s="5"/>
    </row>
    <row r="95" spans="1:20" ht="27.75" customHeight="1">
      <c r="A95" s="5"/>
      <c r="B95" s="5"/>
      <c r="C95" s="5"/>
      <c r="D95" s="5"/>
      <c r="E95" s="5"/>
      <c r="F95" s="5"/>
      <c r="G95" s="5"/>
      <c r="H95" s="5"/>
      <c r="I95" s="5"/>
      <c r="J95" s="5"/>
      <c r="K95" s="5"/>
      <c r="L95" s="5"/>
      <c r="M95" s="5"/>
      <c r="N95" s="5"/>
      <c r="O95" s="5"/>
      <c r="P95" s="5"/>
      <c r="Q95" s="5"/>
      <c r="R95" s="5"/>
      <c r="S95" s="5"/>
      <c r="T95" s="5"/>
    </row>
    <row r="96" spans="1:20" ht="27.75" customHeight="1">
      <c r="A96" s="5"/>
      <c r="B96" s="5"/>
      <c r="C96" s="5"/>
      <c r="D96" s="5"/>
      <c r="E96" s="5"/>
      <c r="F96" s="5"/>
      <c r="G96" s="5"/>
      <c r="H96" s="5"/>
      <c r="I96" s="5"/>
      <c r="J96" s="5"/>
      <c r="K96" s="5"/>
      <c r="L96" s="5"/>
      <c r="M96" s="5"/>
      <c r="N96" s="5"/>
      <c r="O96" s="5"/>
      <c r="P96" s="5"/>
      <c r="Q96" s="5"/>
      <c r="R96" s="5"/>
      <c r="S96" s="5"/>
      <c r="T96" s="5"/>
    </row>
    <row r="97" spans="1:20" ht="27.75" customHeight="1">
      <c r="A97" s="5"/>
      <c r="B97" s="5"/>
      <c r="C97" s="5"/>
      <c r="D97" s="5"/>
      <c r="E97" s="5"/>
      <c r="F97" s="5"/>
      <c r="G97" s="5"/>
      <c r="H97" s="5"/>
      <c r="I97" s="5"/>
      <c r="J97" s="5"/>
      <c r="K97" s="5"/>
      <c r="L97" s="5"/>
      <c r="M97" s="5"/>
      <c r="N97" s="5"/>
      <c r="O97" s="5"/>
      <c r="P97" s="5"/>
      <c r="Q97" s="5"/>
      <c r="R97" s="5"/>
      <c r="S97" s="5"/>
      <c r="T97" s="5"/>
    </row>
    <row r="98" spans="1:20" ht="27.75" customHeight="1">
      <c r="A98" s="5"/>
      <c r="B98" s="5"/>
      <c r="C98" s="5"/>
      <c r="D98" s="5"/>
      <c r="E98" s="5"/>
      <c r="F98" s="5"/>
      <c r="G98" s="5"/>
      <c r="H98" s="5"/>
      <c r="I98" s="5"/>
      <c r="J98" s="5"/>
      <c r="K98" s="5"/>
      <c r="L98" s="5"/>
      <c r="M98" s="5"/>
      <c r="N98" s="5"/>
      <c r="O98" s="5"/>
      <c r="P98" s="5"/>
      <c r="Q98" s="5"/>
      <c r="R98" s="5"/>
      <c r="S98" s="5"/>
      <c r="T98" s="5"/>
    </row>
    <row r="99" spans="1:20" ht="27.75" customHeight="1">
      <c r="A99" s="5"/>
      <c r="B99" s="5"/>
      <c r="C99" s="5"/>
      <c r="D99" s="5"/>
      <c r="E99" s="5"/>
      <c r="F99" s="5"/>
      <c r="G99" s="5"/>
      <c r="H99" s="5"/>
      <c r="I99" s="5"/>
      <c r="J99" s="5"/>
      <c r="K99" s="5"/>
      <c r="L99" s="5"/>
      <c r="M99" s="5"/>
      <c r="N99" s="5"/>
      <c r="O99" s="5"/>
      <c r="P99" s="5"/>
      <c r="Q99" s="5"/>
      <c r="R99" s="5"/>
      <c r="S99" s="5"/>
      <c r="T99" s="5"/>
    </row>
    <row r="100" spans="1:20" ht="27.75" customHeight="1">
      <c r="A100" s="5"/>
      <c r="B100" s="5"/>
      <c r="C100" s="5"/>
      <c r="D100" s="5"/>
      <c r="E100" s="5"/>
      <c r="F100" s="5"/>
      <c r="G100" s="5"/>
      <c r="H100" s="5"/>
      <c r="I100" s="5"/>
      <c r="J100" s="5"/>
      <c r="K100" s="5"/>
      <c r="L100" s="5"/>
      <c r="M100" s="5"/>
      <c r="N100" s="5"/>
      <c r="O100" s="5"/>
      <c r="P100" s="5"/>
      <c r="Q100" s="5"/>
      <c r="R100" s="5"/>
      <c r="S100" s="5"/>
      <c r="T100" s="5"/>
    </row>
  </sheetData>
  <sheetProtection sheet="1" objects="1" scenarios="1"/>
  <mergeCells count="1">
    <mergeCell ref="A1:D1"/>
  </mergeCells>
  <pageMargins left="0.7" right="0.7" top="0.75" bottom="0.75" header="0.3" footer="0.3"/>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678535A-3D55-4F8E-8C54-4C2335CE360B}">
  <sheetPr>
    <tabColor rgb="FF0070C0"/>
  </sheetPr>
  <dimension ref="A1:K65"/>
  <sheetViews>
    <sheetView showRowColHeaders="0" topLeftCell="E1" workbookViewId="0">
      <selection activeCell="E4" sqref="E4"/>
    </sheetView>
  </sheetViews>
  <sheetFormatPr defaultColWidth="0" defaultRowHeight="27.75" customHeight="1" zeroHeight="1"/>
  <cols>
    <col min="1" max="1" width="31.42578125" style="89" hidden="1" customWidth="1"/>
    <col min="2" max="2" width="25.42578125" style="89" hidden="1" customWidth="1"/>
    <col min="3" max="3" width="15.42578125" style="89" hidden="1" customWidth="1"/>
    <col min="4" max="4" width="9.140625" style="89" hidden="1" customWidth="1"/>
    <col min="5" max="5" width="34.5703125" style="89" customWidth="1"/>
    <col min="6" max="6" width="33.28515625" style="89" customWidth="1"/>
    <col min="7" max="7" width="36.42578125" style="89" customWidth="1"/>
    <col min="8" max="10" width="0" style="89" hidden="1" customWidth="1"/>
    <col min="11" max="11" width="83" style="89" customWidth="1"/>
    <col min="12" max="16384" width="0" style="89" hidden="1"/>
  </cols>
  <sheetData>
    <row r="1" spans="1:11" ht="27.75" customHeight="1">
      <c r="E1" s="345" t="s">
        <v>118</v>
      </c>
      <c r="F1" s="345"/>
      <c r="G1" s="345"/>
      <c r="K1" s="184"/>
    </row>
    <row r="3" spans="1:11" ht="27.75" customHeight="1">
      <c r="A3" s="89" t="str" cm="1">
        <f t="array" aca="1" ref="A3:B4" ca="1">_xlfn.LET(_xlpm.Seed,IF(REGISTRATION!$N$2=0,1,REGISTRATION!$N$2),_xlpm.Paid,_xlfn._xlws.FILTER(REGISTRATION!$B$2:$B$122,(REGISTRATION!$D$2:$D$122="Yes")*(REGISTRATION!$B$2:$B$122&lt;&gt;""),"Check Reg"),_xlpm.Full,IF(MOD(ROWS(_xlpm.Paid),2)=1,_xlfn.VSTACK(_xlpm.Paid,"Joe Average"),_xlpm.Paid),_xlpm.Shuf,_xlfn.SORTBY(_xlpm.Full,_xlfn.RANDARRAY(ROWS(_xlpm.Full),,_xlpm.Seed)),_xlpm.Half,ROWS(_xlpm.Shuf)/2,_xlfn.VSTACK(_xlfn.HSTACK("PARTNER 1","PARTNER 2"),_xlfn.HSTACK(_xlfn.TAKE(_xlpm.Shuf,_xlpm.Half),_xlfn.TAKE(_xlpm.Shuf,-_xlpm.Half))))</f>
        <v>PARTNER 1</v>
      </c>
      <c r="B3" s="89" t="str">
        <f ca="1"/>
        <v>PARTNER 2</v>
      </c>
      <c r="C3" s="89" t="str" cm="1">
        <f t="array" aca="1" ref="C3:C63" ca="1">_xlfn.LET(_xlpm.L_N,'MASTER DATABASE'!$B$2:$B$122,_xlpm.L_S,'MASTER DATABASE'!$R$2:$R$122,_xlpm.JV,ROUND(IFERROR(AVERAGEIF(_xlpm.L_S,"&gt;0"),0),0),_xlpm.Score,_xlfn.MAP(A4:A63,B4:B63,_xlfn.LAMBDA(_xlpm.a,_xlpm.b,IF(_xlpm.a="",0,(IF(_xlpm.a="Joe Average",_xlpm.JV,IFERROR(_xlfn.XLOOKUP(_xlpm.a,_xlpm.L_N,_xlpm.L_S,0),0)))+(IF(_xlpm.b="Joe Average",_xlpm.JV,IFERROR(_xlfn.XLOOKUP(_xlpm.b,_xlpm.L_N,_xlpm.L_S,0),0)))))),_xlfn.VSTACK("SCORE",_xlpm.Score))</f>
        <v>SCORE</v>
      </c>
      <c r="E3" s="92" t="str" cm="1">
        <f t="array" aca="1" ref="E3:G63" ca="1">_xlfn._xlws.SORT(_xlfn._xlws.FILTER(A3:C63, C3:C63&lt;&gt;""), 3, -1)</f>
        <v>PARTNER 1</v>
      </c>
      <c r="F3" s="92" t="str">
        <f ca="1"/>
        <v>PARTNER 2</v>
      </c>
      <c r="G3" s="92" t="str">
        <f ca="1"/>
        <v>SCORE</v>
      </c>
      <c r="K3" s="183" t="s">
        <v>119</v>
      </c>
    </row>
    <row r="4" spans="1:11" ht="27.75" customHeight="1">
      <c r="A4" s="90" t="str">
        <f ca="1"/>
        <v>Check Reg</v>
      </c>
      <c r="B4" s="89" t="str">
        <f ca="1"/>
        <v>Joe Average</v>
      </c>
      <c r="C4" s="89">
        <f ca="1"/>
        <v>0</v>
      </c>
      <c r="E4" s="93" t="str">
        <f ca="1"/>
        <v>Check Reg</v>
      </c>
      <c r="F4" s="93" t="str">
        <f ca="1"/>
        <v>Joe Average</v>
      </c>
      <c r="G4" s="93">
        <f ca="1"/>
        <v>0</v>
      </c>
      <c r="K4" s="346" t="s">
        <v>120</v>
      </c>
    </row>
    <row r="5" spans="1:11" ht="27.75" customHeight="1">
      <c r="A5" s="90"/>
      <c r="C5" s="89">
        <f ca="1"/>
        <v>0</v>
      </c>
      <c r="E5" s="93">
        <f ca="1"/>
        <v>0</v>
      </c>
      <c r="F5" s="93">
        <f ca="1"/>
        <v>0</v>
      </c>
      <c r="G5" s="93">
        <f ca="1"/>
        <v>0</v>
      </c>
      <c r="K5" s="347"/>
    </row>
    <row r="6" spans="1:11" ht="27.75" customHeight="1">
      <c r="A6" s="90"/>
      <c r="C6" s="89">
        <f ca="1"/>
        <v>0</v>
      </c>
      <c r="E6" s="93">
        <f ca="1"/>
        <v>0</v>
      </c>
      <c r="F6" s="93">
        <f ca="1"/>
        <v>0</v>
      </c>
      <c r="G6" s="93">
        <f ca="1"/>
        <v>0</v>
      </c>
      <c r="K6" s="185"/>
    </row>
    <row r="7" spans="1:11" ht="27.75" customHeight="1">
      <c r="A7" s="90"/>
      <c r="C7" s="89">
        <f ca="1"/>
        <v>0</v>
      </c>
      <c r="E7" s="93">
        <f ca="1"/>
        <v>0</v>
      </c>
      <c r="F7" s="93">
        <f ca="1"/>
        <v>0</v>
      </c>
      <c r="G7" s="93">
        <f ca="1"/>
        <v>0</v>
      </c>
      <c r="K7" s="185"/>
    </row>
    <row r="8" spans="1:11" ht="27.75" customHeight="1">
      <c r="A8" s="90"/>
      <c r="C8" s="89">
        <f ca="1"/>
        <v>0</v>
      </c>
      <c r="E8" s="93">
        <f ca="1"/>
        <v>0</v>
      </c>
      <c r="F8" s="93">
        <f ca="1"/>
        <v>0</v>
      </c>
      <c r="G8" s="93">
        <f ca="1"/>
        <v>0</v>
      </c>
      <c r="K8" s="185"/>
    </row>
    <row r="9" spans="1:11" ht="27.75" customHeight="1">
      <c r="A9" s="90"/>
      <c r="C9" s="89">
        <f ca="1"/>
        <v>0</v>
      </c>
      <c r="E9" s="93">
        <f ca="1"/>
        <v>0</v>
      </c>
      <c r="F9" s="93">
        <f ca="1"/>
        <v>0</v>
      </c>
      <c r="G9" s="93">
        <f ca="1"/>
        <v>0</v>
      </c>
      <c r="K9" s="185"/>
    </row>
    <row r="10" spans="1:11" ht="27.75" customHeight="1">
      <c r="A10" s="90"/>
      <c r="C10" s="89">
        <f ca="1"/>
        <v>0</v>
      </c>
      <c r="E10" s="93">
        <f ca="1"/>
        <v>0</v>
      </c>
      <c r="F10" s="93">
        <f ca="1"/>
        <v>0</v>
      </c>
      <c r="G10" s="93">
        <f ca="1"/>
        <v>0</v>
      </c>
      <c r="K10" s="185"/>
    </row>
    <row r="11" spans="1:11" ht="27.75" customHeight="1">
      <c r="A11" s="90"/>
      <c r="C11" s="89">
        <f ca="1"/>
        <v>0</v>
      </c>
      <c r="E11" s="93">
        <f ca="1"/>
        <v>0</v>
      </c>
      <c r="F11" s="93">
        <f ca="1"/>
        <v>0</v>
      </c>
      <c r="G11" s="93">
        <f ca="1"/>
        <v>0</v>
      </c>
      <c r="K11" s="185"/>
    </row>
    <row r="12" spans="1:11" ht="27.75" customHeight="1">
      <c r="A12" s="90"/>
      <c r="C12" s="89">
        <f ca="1"/>
        <v>0</v>
      </c>
      <c r="E12" s="93">
        <f ca="1"/>
        <v>0</v>
      </c>
      <c r="F12" s="93">
        <f ca="1"/>
        <v>0</v>
      </c>
      <c r="G12" s="93">
        <f ca="1"/>
        <v>0</v>
      </c>
      <c r="K12" s="185"/>
    </row>
    <row r="13" spans="1:11" ht="27.75" customHeight="1">
      <c r="A13" s="90"/>
      <c r="C13" s="89">
        <f ca="1"/>
        <v>0</v>
      </c>
      <c r="E13" s="93">
        <f ca="1"/>
        <v>0</v>
      </c>
      <c r="F13" s="93">
        <f ca="1"/>
        <v>0</v>
      </c>
      <c r="G13" s="93">
        <f ca="1"/>
        <v>0</v>
      </c>
      <c r="K13" s="185"/>
    </row>
    <row r="14" spans="1:11" ht="27.75" customHeight="1">
      <c r="A14" s="90"/>
      <c r="C14" s="89">
        <f ca="1"/>
        <v>0</v>
      </c>
      <c r="E14" s="93">
        <f ca="1"/>
        <v>0</v>
      </c>
      <c r="F14" s="93">
        <f ca="1"/>
        <v>0</v>
      </c>
      <c r="G14" s="93">
        <f ca="1"/>
        <v>0</v>
      </c>
      <c r="K14" s="185"/>
    </row>
    <row r="15" spans="1:11" ht="27.75" customHeight="1">
      <c r="A15" s="90"/>
      <c r="C15" s="89">
        <f ca="1"/>
        <v>0</v>
      </c>
      <c r="E15" s="93">
        <f ca="1"/>
        <v>0</v>
      </c>
      <c r="F15" s="93">
        <f ca="1"/>
        <v>0</v>
      </c>
      <c r="G15" s="93">
        <f ca="1"/>
        <v>0</v>
      </c>
      <c r="K15" s="185"/>
    </row>
    <row r="16" spans="1:11" ht="27.75" customHeight="1">
      <c r="A16" s="90"/>
      <c r="C16" s="89">
        <f ca="1"/>
        <v>0</v>
      </c>
      <c r="E16" s="93">
        <f ca="1"/>
        <v>0</v>
      </c>
      <c r="F16" s="93">
        <f ca="1"/>
        <v>0</v>
      </c>
      <c r="G16" s="93">
        <f ca="1"/>
        <v>0</v>
      </c>
      <c r="K16" s="185"/>
    </row>
    <row r="17" spans="1:11" ht="27.75" customHeight="1">
      <c r="A17" s="90"/>
      <c r="C17" s="89">
        <f ca="1"/>
        <v>0</v>
      </c>
      <c r="E17" s="93">
        <f ca="1"/>
        <v>0</v>
      </c>
      <c r="F17" s="93">
        <f ca="1"/>
        <v>0</v>
      </c>
      <c r="G17" s="93">
        <f ca="1"/>
        <v>0</v>
      </c>
      <c r="K17" s="185"/>
    </row>
    <row r="18" spans="1:11" ht="27.75" customHeight="1">
      <c r="A18" s="90"/>
      <c r="C18" s="89">
        <f ca="1"/>
        <v>0</v>
      </c>
      <c r="E18" s="93">
        <f ca="1"/>
        <v>0</v>
      </c>
      <c r="F18" s="93">
        <f ca="1"/>
        <v>0</v>
      </c>
      <c r="G18" s="93">
        <f ca="1"/>
        <v>0</v>
      </c>
      <c r="K18" s="185"/>
    </row>
    <row r="19" spans="1:11" ht="27.75" customHeight="1">
      <c r="A19" s="90"/>
      <c r="C19" s="89">
        <f ca="1"/>
        <v>0</v>
      </c>
      <c r="E19" s="93">
        <f ca="1"/>
        <v>0</v>
      </c>
      <c r="F19" s="93">
        <f ca="1"/>
        <v>0</v>
      </c>
      <c r="G19" s="93">
        <f ca="1"/>
        <v>0</v>
      </c>
      <c r="K19" s="185"/>
    </row>
    <row r="20" spans="1:11" ht="27.75" customHeight="1">
      <c r="A20" s="90"/>
      <c r="C20" s="89">
        <f ca="1"/>
        <v>0</v>
      </c>
      <c r="E20" s="93">
        <f ca="1"/>
        <v>0</v>
      </c>
      <c r="F20" s="93">
        <f ca="1"/>
        <v>0</v>
      </c>
      <c r="G20" s="93">
        <f ca="1"/>
        <v>0</v>
      </c>
      <c r="K20" s="185"/>
    </row>
    <row r="21" spans="1:11" ht="27.75" customHeight="1">
      <c r="A21" s="90"/>
      <c r="C21" s="89">
        <f ca="1"/>
        <v>0</v>
      </c>
      <c r="E21" s="93">
        <f ca="1"/>
        <v>0</v>
      </c>
      <c r="F21" s="93">
        <f ca="1"/>
        <v>0</v>
      </c>
      <c r="G21" s="93">
        <f ca="1"/>
        <v>0</v>
      </c>
      <c r="K21" s="185"/>
    </row>
    <row r="22" spans="1:11" ht="27.75" customHeight="1">
      <c r="C22" s="89">
        <f ca="1"/>
        <v>0</v>
      </c>
      <c r="E22" s="93">
        <f ca="1"/>
        <v>0</v>
      </c>
      <c r="F22" s="93">
        <f ca="1"/>
        <v>0</v>
      </c>
      <c r="G22" s="93">
        <f ca="1"/>
        <v>0</v>
      </c>
      <c r="K22" s="185"/>
    </row>
    <row r="23" spans="1:11" ht="27.75" customHeight="1">
      <c r="C23" s="89">
        <f ca="1"/>
        <v>0</v>
      </c>
      <c r="E23" s="93">
        <f ca="1"/>
        <v>0</v>
      </c>
      <c r="F23" s="93">
        <f ca="1"/>
        <v>0</v>
      </c>
      <c r="G23" s="93">
        <f ca="1"/>
        <v>0</v>
      </c>
      <c r="K23" s="185"/>
    </row>
    <row r="24" spans="1:11" ht="27.75" customHeight="1">
      <c r="C24" s="89">
        <f ca="1"/>
        <v>0</v>
      </c>
      <c r="E24" s="93">
        <f ca="1"/>
        <v>0</v>
      </c>
      <c r="F24" s="93">
        <f ca="1"/>
        <v>0</v>
      </c>
      <c r="G24" s="93">
        <f ca="1"/>
        <v>0</v>
      </c>
      <c r="K24" s="185"/>
    </row>
    <row r="25" spans="1:11" ht="27.75" customHeight="1">
      <c r="C25" s="89">
        <f ca="1"/>
        <v>0</v>
      </c>
      <c r="E25" s="93">
        <f ca="1"/>
        <v>0</v>
      </c>
      <c r="F25" s="93">
        <f ca="1"/>
        <v>0</v>
      </c>
      <c r="G25" s="93">
        <f ca="1"/>
        <v>0</v>
      </c>
      <c r="K25" s="185"/>
    </row>
    <row r="26" spans="1:11" ht="27.75" customHeight="1">
      <c r="C26" s="89">
        <f ca="1"/>
        <v>0</v>
      </c>
      <c r="E26" s="93">
        <f ca="1"/>
        <v>0</v>
      </c>
      <c r="F26" s="93">
        <f ca="1"/>
        <v>0</v>
      </c>
      <c r="G26" s="93">
        <f ca="1"/>
        <v>0</v>
      </c>
      <c r="K26" s="185"/>
    </row>
    <row r="27" spans="1:11" ht="27.75" customHeight="1">
      <c r="C27" s="89">
        <f ca="1"/>
        <v>0</v>
      </c>
      <c r="E27" s="93">
        <f ca="1"/>
        <v>0</v>
      </c>
      <c r="F27" s="93">
        <f ca="1"/>
        <v>0</v>
      </c>
      <c r="G27" s="93">
        <f ca="1"/>
        <v>0</v>
      </c>
      <c r="K27" s="185"/>
    </row>
    <row r="28" spans="1:11" ht="27.75" customHeight="1">
      <c r="C28" s="89">
        <f ca="1"/>
        <v>0</v>
      </c>
      <c r="E28" s="93">
        <f ca="1"/>
        <v>0</v>
      </c>
      <c r="F28" s="93">
        <f ca="1"/>
        <v>0</v>
      </c>
      <c r="G28" s="93">
        <f ca="1"/>
        <v>0</v>
      </c>
      <c r="K28" s="185"/>
    </row>
    <row r="29" spans="1:11" ht="27.75" customHeight="1">
      <c r="C29" s="89">
        <f ca="1"/>
        <v>0</v>
      </c>
      <c r="E29" s="93">
        <f ca="1"/>
        <v>0</v>
      </c>
      <c r="F29" s="93">
        <f ca="1"/>
        <v>0</v>
      </c>
      <c r="G29" s="93">
        <f ca="1"/>
        <v>0</v>
      </c>
      <c r="K29" s="185"/>
    </row>
    <row r="30" spans="1:11" ht="27.75" customHeight="1">
      <c r="C30" s="89">
        <f ca="1"/>
        <v>0</v>
      </c>
      <c r="E30" s="93">
        <f ca="1"/>
        <v>0</v>
      </c>
      <c r="F30" s="93">
        <f ca="1"/>
        <v>0</v>
      </c>
      <c r="G30" s="93">
        <f ca="1"/>
        <v>0</v>
      </c>
      <c r="K30" s="185"/>
    </row>
    <row r="31" spans="1:11" ht="27.75" customHeight="1">
      <c r="C31" s="89">
        <f ca="1"/>
        <v>0</v>
      </c>
      <c r="E31" s="93">
        <f ca="1"/>
        <v>0</v>
      </c>
      <c r="F31" s="93">
        <f ca="1"/>
        <v>0</v>
      </c>
      <c r="G31" s="93">
        <f ca="1"/>
        <v>0</v>
      </c>
      <c r="K31" s="185"/>
    </row>
    <row r="32" spans="1:11" ht="27.75" customHeight="1">
      <c r="C32" s="89">
        <f ca="1"/>
        <v>0</v>
      </c>
      <c r="E32" s="93">
        <f ca="1"/>
        <v>0</v>
      </c>
      <c r="F32" s="93">
        <f ca="1"/>
        <v>0</v>
      </c>
      <c r="G32" s="93">
        <f ca="1"/>
        <v>0</v>
      </c>
      <c r="K32" s="185"/>
    </row>
    <row r="33" spans="3:11" ht="27.75" customHeight="1">
      <c r="C33" s="89">
        <f ca="1"/>
        <v>0</v>
      </c>
      <c r="E33" s="93">
        <f ca="1"/>
        <v>0</v>
      </c>
      <c r="F33" s="93">
        <f ca="1"/>
        <v>0</v>
      </c>
      <c r="G33" s="93">
        <f ca="1"/>
        <v>0</v>
      </c>
      <c r="K33" s="185"/>
    </row>
    <row r="34" spans="3:11" ht="27.75" customHeight="1">
      <c r="C34" s="89">
        <f ca="1"/>
        <v>0</v>
      </c>
      <c r="E34" s="93">
        <f ca="1"/>
        <v>0</v>
      </c>
      <c r="F34" s="93">
        <f ca="1"/>
        <v>0</v>
      </c>
      <c r="G34" s="93">
        <f ca="1"/>
        <v>0</v>
      </c>
      <c r="K34" s="185"/>
    </row>
    <row r="35" spans="3:11" ht="27.75" customHeight="1">
      <c r="C35" s="89">
        <f ca="1"/>
        <v>0</v>
      </c>
      <c r="E35" s="93">
        <f ca="1"/>
        <v>0</v>
      </c>
      <c r="F35" s="93">
        <f ca="1"/>
        <v>0</v>
      </c>
      <c r="G35" s="93">
        <f ca="1"/>
        <v>0</v>
      </c>
      <c r="K35" s="185"/>
    </row>
    <row r="36" spans="3:11" ht="27.75" customHeight="1">
      <c r="C36" s="89">
        <f ca="1"/>
        <v>0</v>
      </c>
      <c r="E36" s="93">
        <f ca="1"/>
        <v>0</v>
      </c>
      <c r="F36" s="93">
        <f ca="1"/>
        <v>0</v>
      </c>
      <c r="G36" s="93">
        <f ca="1"/>
        <v>0</v>
      </c>
      <c r="K36" s="185"/>
    </row>
    <row r="37" spans="3:11" ht="27.75" customHeight="1">
      <c r="C37" s="89">
        <f ca="1"/>
        <v>0</v>
      </c>
      <c r="E37" s="93">
        <f ca="1"/>
        <v>0</v>
      </c>
      <c r="F37" s="93">
        <f ca="1"/>
        <v>0</v>
      </c>
      <c r="G37" s="93">
        <f ca="1"/>
        <v>0</v>
      </c>
      <c r="K37" s="185"/>
    </row>
    <row r="38" spans="3:11" ht="27.75" customHeight="1">
      <c r="C38" s="89">
        <f ca="1"/>
        <v>0</v>
      </c>
      <c r="E38" s="93">
        <f ca="1"/>
        <v>0</v>
      </c>
      <c r="F38" s="93">
        <f ca="1"/>
        <v>0</v>
      </c>
      <c r="G38" s="93">
        <f ca="1"/>
        <v>0</v>
      </c>
      <c r="K38" s="185"/>
    </row>
    <row r="39" spans="3:11" ht="27.75" customHeight="1">
      <c r="C39" s="89">
        <f ca="1"/>
        <v>0</v>
      </c>
      <c r="E39" s="93">
        <f ca="1"/>
        <v>0</v>
      </c>
      <c r="F39" s="93">
        <f ca="1"/>
        <v>0</v>
      </c>
      <c r="G39" s="93">
        <f ca="1"/>
        <v>0</v>
      </c>
      <c r="K39" s="185"/>
    </row>
    <row r="40" spans="3:11" ht="27.75" customHeight="1">
      <c r="C40" s="89">
        <f ca="1"/>
        <v>0</v>
      </c>
      <c r="E40" s="93">
        <f ca="1"/>
        <v>0</v>
      </c>
      <c r="F40" s="93">
        <f ca="1"/>
        <v>0</v>
      </c>
      <c r="G40" s="93">
        <f ca="1"/>
        <v>0</v>
      </c>
      <c r="K40" s="185"/>
    </row>
    <row r="41" spans="3:11" ht="27.75" customHeight="1">
      <c r="C41" s="89">
        <f ca="1"/>
        <v>0</v>
      </c>
      <c r="E41" s="93">
        <f ca="1"/>
        <v>0</v>
      </c>
      <c r="F41" s="93">
        <f ca="1"/>
        <v>0</v>
      </c>
      <c r="G41" s="93">
        <f ca="1"/>
        <v>0</v>
      </c>
      <c r="K41" s="185"/>
    </row>
    <row r="42" spans="3:11" ht="27.75" customHeight="1">
      <c r="C42" s="89">
        <f ca="1"/>
        <v>0</v>
      </c>
      <c r="E42" s="93">
        <f ca="1"/>
        <v>0</v>
      </c>
      <c r="F42" s="93">
        <f ca="1"/>
        <v>0</v>
      </c>
      <c r="G42" s="93">
        <f ca="1"/>
        <v>0</v>
      </c>
      <c r="K42" s="185"/>
    </row>
    <row r="43" spans="3:11" ht="27.75" customHeight="1">
      <c r="C43" s="89">
        <f ca="1"/>
        <v>0</v>
      </c>
      <c r="E43" s="93">
        <f ca="1"/>
        <v>0</v>
      </c>
      <c r="F43" s="93">
        <f ca="1"/>
        <v>0</v>
      </c>
      <c r="G43" s="93">
        <f ca="1"/>
        <v>0</v>
      </c>
      <c r="K43" s="185"/>
    </row>
    <row r="44" spans="3:11" ht="27.75" customHeight="1">
      <c r="C44" s="89">
        <f ca="1"/>
        <v>0</v>
      </c>
      <c r="E44" s="93">
        <f ca="1"/>
        <v>0</v>
      </c>
      <c r="F44" s="93">
        <f ca="1"/>
        <v>0</v>
      </c>
      <c r="G44" s="93">
        <f ca="1"/>
        <v>0</v>
      </c>
      <c r="K44" s="185"/>
    </row>
    <row r="45" spans="3:11" ht="27.75" customHeight="1">
      <c r="C45" s="89">
        <f ca="1"/>
        <v>0</v>
      </c>
      <c r="E45" s="93">
        <f ca="1"/>
        <v>0</v>
      </c>
      <c r="F45" s="93">
        <f ca="1"/>
        <v>0</v>
      </c>
      <c r="G45" s="93">
        <f ca="1"/>
        <v>0</v>
      </c>
      <c r="K45" s="185"/>
    </row>
    <row r="46" spans="3:11" ht="27.75" customHeight="1">
      <c r="C46" s="89">
        <f ca="1"/>
        <v>0</v>
      </c>
      <c r="E46" s="93">
        <f ca="1"/>
        <v>0</v>
      </c>
      <c r="F46" s="93">
        <f ca="1"/>
        <v>0</v>
      </c>
      <c r="G46" s="93">
        <f ca="1"/>
        <v>0</v>
      </c>
      <c r="K46" s="185"/>
    </row>
    <row r="47" spans="3:11" ht="27.75" customHeight="1">
      <c r="C47" s="89">
        <f ca="1"/>
        <v>0</v>
      </c>
      <c r="E47" s="93">
        <f ca="1"/>
        <v>0</v>
      </c>
      <c r="F47" s="93">
        <f ca="1"/>
        <v>0</v>
      </c>
      <c r="G47" s="93">
        <f ca="1"/>
        <v>0</v>
      </c>
      <c r="K47" s="185"/>
    </row>
    <row r="48" spans="3:11" ht="27.75" customHeight="1">
      <c r="C48" s="89">
        <f ca="1"/>
        <v>0</v>
      </c>
      <c r="E48" s="93">
        <f ca="1"/>
        <v>0</v>
      </c>
      <c r="F48" s="93">
        <f ca="1"/>
        <v>0</v>
      </c>
      <c r="G48" s="93">
        <f ca="1"/>
        <v>0</v>
      </c>
      <c r="K48" s="185"/>
    </row>
    <row r="49" spans="3:11" ht="27.75" customHeight="1">
      <c r="C49" s="89">
        <f ca="1"/>
        <v>0</v>
      </c>
      <c r="E49" s="93">
        <f ca="1"/>
        <v>0</v>
      </c>
      <c r="F49" s="93">
        <f ca="1"/>
        <v>0</v>
      </c>
      <c r="G49" s="93">
        <f ca="1"/>
        <v>0</v>
      </c>
      <c r="K49" s="185"/>
    </row>
    <row r="50" spans="3:11" ht="27.75" customHeight="1">
      <c r="C50" s="89">
        <f ca="1"/>
        <v>0</v>
      </c>
      <c r="E50" s="93">
        <f ca="1"/>
        <v>0</v>
      </c>
      <c r="F50" s="93">
        <f ca="1"/>
        <v>0</v>
      </c>
      <c r="G50" s="93">
        <f ca="1"/>
        <v>0</v>
      </c>
      <c r="K50" s="185"/>
    </row>
    <row r="51" spans="3:11" ht="27.75" customHeight="1">
      <c r="C51" s="89">
        <f ca="1"/>
        <v>0</v>
      </c>
      <c r="E51" s="93">
        <f ca="1"/>
        <v>0</v>
      </c>
      <c r="F51" s="93">
        <f ca="1"/>
        <v>0</v>
      </c>
      <c r="G51" s="93">
        <f ca="1"/>
        <v>0</v>
      </c>
      <c r="K51" s="185"/>
    </row>
    <row r="52" spans="3:11" ht="27.75" customHeight="1">
      <c r="C52" s="89">
        <f ca="1"/>
        <v>0</v>
      </c>
      <c r="E52" s="93">
        <f ca="1"/>
        <v>0</v>
      </c>
      <c r="F52" s="93">
        <f ca="1"/>
        <v>0</v>
      </c>
      <c r="G52" s="93">
        <f ca="1"/>
        <v>0</v>
      </c>
      <c r="K52" s="185"/>
    </row>
    <row r="53" spans="3:11" ht="27.75" customHeight="1">
      <c r="C53" s="89">
        <f ca="1"/>
        <v>0</v>
      </c>
      <c r="E53" s="93">
        <f ca="1"/>
        <v>0</v>
      </c>
      <c r="F53" s="93">
        <f ca="1"/>
        <v>0</v>
      </c>
      <c r="G53" s="93">
        <f ca="1"/>
        <v>0</v>
      </c>
      <c r="K53" s="185"/>
    </row>
    <row r="54" spans="3:11" ht="27.75" customHeight="1">
      <c r="C54" s="89">
        <f ca="1"/>
        <v>0</v>
      </c>
      <c r="E54" s="93">
        <f ca="1"/>
        <v>0</v>
      </c>
      <c r="F54" s="93">
        <f ca="1"/>
        <v>0</v>
      </c>
      <c r="G54" s="93">
        <f ca="1"/>
        <v>0</v>
      </c>
      <c r="K54" s="185"/>
    </row>
    <row r="55" spans="3:11" ht="27.75" customHeight="1">
      <c r="C55" s="89">
        <f ca="1"/>
        <v>0</v>
      </c>
      <c r="E55" s="93">
        <f ca="1"/>
        <v>0</v>
      </c>
      <c r="F55" s="93">
        <f ca="1"/>
        <v>0</v>
      </c>
      <c r="G55" s="93">
        <f ca="1"/>
        <v>0</v>
      </c>
      <c r="K55" s="185"/>
    </row>
    <row r="56" spans="3:11" ht="27.75" customHeight="1">
      <c r="C56" s="89">
        <f ca="1"/>
        <v>0</v>
      </c>
      <c r="E56" s="93">
        <f ca="1"/>
        <v>0</v>
      </c>
      <c r="F56" s="93">
        <f ca="1"/>
        <v>0</v>
      </c>
      <c r="G56" s="93">
        <f ca="1"/>
        <v>0</v>
      </c>
      <c r="K56" s="185"/>
    </row>
    <row r="57" spans="3:11" ht="27.75" customHeight="1">
      <c r="C57" s="89">
        <f ca="1"/>
        <v>0</v>
      </c>
      <c r="E57" s="93">
        <f ca="1"/>
        <v>0</v>
      </c>
      <c r="F57" s="93">
        <f ca="1"/>
        <v>0</v>
      </c>
      <c r="G57" s="93">
        <f ca="1"/>
        <v>0</v>
      </c>
      <c r="K57" s="185"/>
    </row>
    <row r="58" spans="3:11" ht="27.75" customHeight="1">
      <c r="C58" s="89">
        <f ca="1"/>
        <v>0</v>
      </c>
      <c r="E58" s="93">
        <f ca="1"/>
        <v>0</v>
      </c>
      <c r="F58" s="93">
        <f ca="1"/>
        <v>0</v>
      </c>
      <c r="G58" s="93">
        <f ca="1"/>
        <v>0</v>
      </c>
      <c r="K58" s="185"/>
    </row>
    <row r="59" spans="3:11" ht="27.75" customHeight="1">
      <c r="C59" s="89">
        <f ca="1"/>
        <v>0</v>
      </c>
      <c r="E59" s="93">
        <f ca="1"/>
        <v>0</v>
      </c>
      <c r="F59" s="93">
        <f ca="1"/>
        <v>0</v>
      </c>
      <c r="G59" s="93">
        <f ca="1"/>
        <v>0</v>
      </c>
      <c r="K59" s="185"/>
    </row>
    <row r="60" spans="3:11" ht="27.75" customHeight="1">
      <c r="C60" s="89">
        <f ca="1"/>
        <v>0</v>
      </c>
      <c r="E60" s="93">
        <f ca="1"/>
        <v>0</v>
      </c>
      <c r="F60" s="93">
        <f ca="1"/>
        <v>0</v>
      </c>
      <c r="G60" s="93">
        <f ca="1"/>
        <v>0</v>
      </c>
      <c r="K60" s="185"/>
    </row>
    <row r="61" spans="3:11" ht="27.75" customHeight="1">
      <c r="C61" s="89">
        <f ca="1"/>
        <v>0</v>
      </c>
      <c r="E61" s="93">
        <f ca="1"/>
        <v>0</v>
      </c>
      <c r="F61" s="93">
        <f ca="1"/>
        <v>0</v>
      </c>
      <c r="G61" s="93">
        <f ca="1"/>
        <v>0</v>
      </c>
      <c r="K61" s="185"/>
    </row>
    <row r="62" spans="3:11" ht="27.75" customHeight="1">
      <c r="C62" s="89">
        <f ca="1"/>
        <v>0</v>
      </c>
      <c r="E62" s="93">
        <f ca="1"/>
        <v>0</v>
      </c>
      <c r="F62" s="93">
        <f ca="1"/>
        <v>0</v>
      </c>
      <c r="G62" s="93">
        <f ca="1"/>
        <v>0</v>
      </c>
      <c r="K62" s="185"/>
    </row>
    <row r="63" spans="3:11" ht="27.75" customHeight="1">
      <c r="C63" s="89">
        <f ca="1"/>
        <v>0</v>
      </c>
      <c r="E63" s="93">
        <f ca="1"/>
        <v>0</v>
      </c>
      <c r="F63" s="93">
        <f ca="1"/>
        <v>0</v>
      </c>
      <c r="G63" s="93">
        <f ca="1"/>
        <v>0</v>
      </c>
      <c r="K63" s="185"/>
    </row>
    <row r="64" spans="3:11" ht="27.75" hidden="1" customHeight="1">
      <c r="E64" s="91"/>
      <c r="F64" s="91"/>
      <c r="G64" s="91"/>
    </row>
    <row r="65" spans="5:7" ht="27.75" hidden="1" customHeight="1">
      <c r="E65" s="91"/>
      <c r="F65" s="91"/>
      <c r="G65" s="91"/>
    </row>
  </sheetData>
  <sheetProtection sheet="1" objects="1" scenarios="1"/>
  <mergeCells count="2">
    <mergeCell ref="E1:G1"/>
    <mergeCell ref="K4:K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4E2E7CE-85EE-481C-923F-0FEC5F9170FA}">
  <sheetPr>
    <tabColor rgb="FF7030A0"/>
  </sheetPr>
  <dimension ref="X9:Z49"/>
  <sheetViews>
    <sheetView showGridLines="0" showRowColHeaders="0" topLeftCell="B20" workbookViewId="0">
      <selection activeCell="M33" sqref="M33"/>
    </sheetView>
  </sheetViews>
  <sheetFormatPr defaultColWidth="0" defaultRowHeight="12.75" zeroHeight="1"/>
  <cols>
    <col min="1" max="1" width="12.5703125" style="16" bestFit="1" customWidth="1"/>
    <col min="2" max="22" width="9.140625" style="16" customWidth="1"/>
    <col min="23" max="23" width="7.28515625" style="16" customWidth="1"/>
    <col min="24" max="26" width="9.140625" style="16" hidden="1" customWidth="1"/>
    <col min="27" max="16384" width="0" style="16" hidden="1"/>
  </cols>
  <sheetData>
    <row r="9"/>
    <row r="10"/>
    <row r="11"/>
    <row r="12"/>
    <row r="13"/>
    <row r="14"/>
    <row r="15"/>
    <row r="16"/>
    <row r="17"/>
    <row r="18"/>
    <row r="19"/>
    <row r="20"/>
    <row r="21"/>
    <row r="22"/>
    <row r="23"/>
    <row r="24"/>
    <row r="25"/>
    <row r="26"/>
    <row r="27"/>
    <row r="28"/>
    <row r="29"/>
    <row r="30"/>
    <row r="31"/>
    <row r="32"/>
    <row r="33"/>
    <row r="34"/>
    <row r="35"/>
    <row r="36"/>
    <row r="37"/>
    <row r="38"/>
    <row r="39"/>
    <row r="40"/>
    <row r="41"/>
    <row r="42"/>
    <row r="43"/>
    <row r="44"/>
    <row r="45"/>
    <row r="46"/>
    <row r="47"/>
    <row r="48"/>
    <row r="49"/>
  </sheetData>
  <sheetProtection sheet="1" objects="1" scenarios="1"/>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16E0A-6FAB-4945-8B67-7545634F48F1}">
  <sheetPr>
    <tabColor rgb="FF7030A0"/>
    <pageSetUpPr fitToPage="1"/>
  </sheetPr>
  <dimension ref="X1:Z40"/>
  <sheetViews>
    <sheetView showGridLines="0" showRowColHeaders="0" topLeftCell="D15" workbookViewId="0">
      <selection activeCell="D28" sqref="D28"/>
    </sheetView>
  </sheetViews>
  <sheetFormatPr defaultColWidth="0" defaultRowHeight="12.75" zeroHeight="1"/>
  <cols>
    <col min="1" max="1" width="12.5703125" style="16" bestFit="1" customWidth="1"/>
    <col min="2" max="22" width="9.140625" style="16" customWidth="1"/>
    <col min="23" max="23" width="7.28515625" style="16" customWidth="1"/>
    <col min="24" max="26" width="9.140625" style="16" hidden="1" customWidth="1"/>
    <col min="27" max="16384" width="0" style="16" hidden="1"/>
  </cols>
  <sheetData>
    <row r="1"/>
    <row r="2"/>
    <row r="3"/>
    <row r="4"/>
    <row r="5"/>
    <row r="6"/>
    <row r="7"/>
    <row r="8"/>
    <row r="9"/>
    <row r="10"/>
    <row r="11"/>
    <row r="12"/>
    <row r="13"/>
    <row r="14"/>
    <row r="15"/>
    <row r="16"/>
    <row r="17"/>
    <row r="18"/>
    <row r="19"/>
    <row r="20"/>
    <row r="21"/>
    <row r="22"/>
    <row r="23"/>
    <row r="24"/>
    <row r="25"/>
    <row r="26"/>
    <row r="27"/>
    <row r="28"/>
    <row r="29"/>
    <row r="30"/>
    <row r="31"/>
    <row r="32"/>
    <row r="33"/>
    <row r="34"/>
    <row r="35"/>
    <row r="36"/>
    <row r="37"/>
    <row r="38"/>
    <row r="39"/>
    <row r="40"/>
  </sheetData>
  <sheetProtection sheet="1" objects="1" scenarios="1"/>
  <pageMargins left="0.7" right="0.7" top="0.75" bottom="0.75" header="0.3" footer="0.3"/>
  <pageSetup paperSize="9" orientation="landscape"/>
  <drawing r:id="rId1"/>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F493A83-40C5-4DCA-959D-9A937294E1B3}">
  <dimension ref="A1:Z121"/>
  <sheetViews>
    <sheetView workbookViewId="0">
      <selection activeCell="A2" sqref="A2:D4"/>
    </sheetView>
  </sheetViews>
  <sheetFormatPr defaultRowHeight="12.75"/>
  <cols>
    <col min="1" max="1" width="19.7109375" bestFit="1" customWidth="1"/>
    <col min="2" max="2" width="16.140625" customWidth="1"/>
    <col min="3" max="3" width="16" customWidth="1"/>
    <col min="4" max="4" width="20.140625" customWidth="1"/>
    <col min="8" max="8" width="10.42578125" bestFit="1" customWidth="1"/>
    <col min="9" max="9" width="16" bestFit="1" customWidth="1"/>
    <col min="10" max="10" width="10.28515625" bestFit="1" customWidth="1"/>
    <col min="11" max="11" width="21.7109375" customWidth="1"/>
    <col min="16" max="16" width="9.7109375" bestFit="1" customWidth="1"/>
    <col min="17" max="17" width="15.7109375" customWidth="1"/>
    <col min="18" max="18" width="20.7109375" bestFit="1" customWidth="1"/>
    <col min="21" max="21" width="15.140625" customWidth="1"/>
    <col min="22" max="22" width="17.42578125" bestFit="1" customWidth="1"/>
  </cols>
  <sheetData>
    <row r="1" spans="1:26" ht="21.75" customHeight="1">
      <c r="P1" t="s">
        <v>121</v>
      </c>
      <c r="Q1" t="s">
        <v>122</v>
      </c>
      <c r="R1" t="s">
        <v>123</v>
      </c>
    </row>
    <row r="2" spans="1:26" ht="23.25" customHeight="1">
      <c r="A2" s="6"/>
      <c r="B2" s="6" t="s">
        <v>124</v>
      </c>
      <c r="C2" s="6" t="s">
        <v>125</v>
      </c>
      <c r="D2" s="6" t="s">
        <v>126</v>
      </c>
      <c r="G2" s="6" t="s">
        <v>127</v>
      </c>
      <c r="H2" s="6" t="s">
        <v>128</v>
      </c>
      <c r="I2" s="6" t="s">
        <v>129</v>
      </c>
      <c r="J2" s="6" t="s">
        <v>130</v>
      </c>
      <c r="K2" s="6" t="s">
        <v>131</v>
      </c>
      <c r="P2">
        <v>1</v>
      </c>
      <c r="Q2" t="e" cm="1" vm="1">
        <f t="array" ref="Q2">_xlfn.SORTBY(_xlfn._xlws.FILTER(_xlfn.HSTACK(DATA!B3:B121, O3:O121), O3:O121&lt;&gt;""), _xlfn._xlws.FILTER(O3:O121, O3:O121&lt;&gt;""), 1)</f>
        <v>#VALUE!</v>
      </c>
      <c r="V2" t="e">
        <f>(_xlfn.XLOOKUP($U2, DATA!$C$3:$C$121, DATA!$H$3:$H$121) + _xlfn.XLOOKUP($U2, DATA!$C$3:$C$121, DATA!$I$3:$I$121)) / 100</f>
        <v>#N/A</v>
      </c>
      <c r="W2" cm="1">
        <f t="array" ref="W2">(INDEX(DATA!$H$3:$H$121, SMALL(IF(DATA!$C$3:$C$121=$U2, ROW(DATA!$C$3:$C$121)-2), 2)) + INDEX(DATA!$I$3:$I$121, SMALL(IF(DATA!$C$3:$C$121=$U2, ROW(DATA!$C$3:$C$121)-2), 2))) / 100</f>
        <v>0</v>
      </c>
      <c r="X2" cm="1">
        <f t="array" ref="X2">(INDEX(DATA!$H$3:$H$121, SMALL(IF(DATA!$C$3:$C$121=$U2, ROW(DATA!$C$3:$C$121)-2), 3)) + INDEX(DATA!$I$3:$I$121, SMALL(IF(DATA!$C$3:$C$121=$U2, ROW(DATA!$C$3:$C$121)-2), 3))) / 100</f>
        <v>0</v>
      </c>
      <c r="Y2" cm="1">
        <f t="array" ref="Y2">(INDEX(DATA!$H$3:$H$121, SMALL(IF(DATA!$C$3:$C$121=$U2, ROW(DATA!$C$3:$C$121)-2), 4)) + INDEX(DATA!$I$3:$I$121, SMALL(IF(DATA!$C$3:$C$121=$U2, ROW(DATA!$C$3:$C$121)-2), 4))) / 100</f>
        <v>0</v>
      </c>
      <c r="Z2" t="e">
        <f>SUM(V2:Y2)</f>
        <v>#N/A</v>
      </c>
    </row>
    <row r="3" spans="1:26" ht="51.75" customHeight="1">
      <c r="A3" s="6" t="s">
        <v>132</v>
      </c>
      <c r="B3" s="22">
        <f>SUM('DAY 1 SCORES'!F:F)</f>
        <v>2250</v>
      </c>
      <c r="C3" s="22">
        <f>SUM('DAY 2 SCORES'!F:F)</f>
        <v>0</v>
      </c>
      <c r="D3" s="22">
        <f>B3+C3</f>
        <v>2250</v>
      </c>
      <c r="G3" s="6" t="s">
        <v>133</v>
      </c>
      <c r="H3" s="22">
        <f>SUMIF('DAY 1 SCORES'!$C:$C, "Red", 'DAY 1 SCORES'!$F:$F)</f>
        <v>0</v>
      </c>
      <c r="I3" s="22">
        <f>SUMIF('DAY 1 SCORES'!$C:$C, "Red", 'DAY 1 SCORES'!$D:$D)/100</f>
        <v>0</v>
      </c>
      <c r="J3" s="22">
        <f>SUMIF('DAY 2 SCORES'!$C:$C, "Red", 'DAY 2 SCORES'!$F:$F)</f>
        <v>0</v>
      </c>
      <c r="K3" s="22">
        <f>SUMIF('DAY 2 SCORES'!$C:$C, "Red", 'DAY 2 SCORES'!$D:$D)/100</f>
        <v>0</v>
      </c>
      <c r="O3" t="str">
        <f>IF(AND(DATA!H3&gt;0, DATA!I3&gt;0), ABS(DATA!H3 - DATA!I3), "")</f>
        <v/>
      </c>
      <c r="P3">
        <v>2</v>
      </c>
      <c r="V3" t="e">
        <f>(_xlfn.XLOOKUP($U3, DATA!$C$3:$C$121, DATA!$H$3:$H$121) + _xlfn.XLOOKUP($U3, DATA!$C$3:$C$121, DATA!$I$3:$I$121)) / 100</f>
        <v>#N/A</v>
      </c>
      <c r="W3" cm="1">
        <f t="array" ref="W3">(INDEX(DATA!$H$3:$H$121, SMALL(IF(DATA!$C$3:$C$121=$U3, ROW(DATA!$C$3:$C$121)-2), 2)) + INDEX(DATA!$I$3:$I$121, SMALL(IF(DATA!$C$3:$C$121=$U3, ROW(DATA!$C$3:$C$121)-2), 2))) / 100</f>
        <v>0</v>
      </c>
      <c r="X3" cm="1">
        <f t="array" ref="X3">(INDEX(DATA!$H$3:$H$121, SMALL(IF(DATA!$C$3:$C$121=$U3, ROW(DATA!$C$3:$C$121)-2), 3)) + INDEX(DATA!$I$3:$I$121, SMALL(IF(DATA!$C$3:$C$121=$U3, ROW(DATA!$C$3:$C$121)-2), 3))) / 100</f>
        <v>0</v>
      </c>
      <c r="Y3" cm="1">
        <f t="array" ref="Y3">(INDEX(DATA!$H$3:$H$121, SMALL(IF(DATA!$C$3:$C$121=$U3, ROW(DATA!$C$3:$C$121)-2), 4)) + INDEX(DATA!$I$3:$I$121, SMALL(IF(DATA!$C$3:$C$121=$U3, ROW(DATA!$C$3:$C$121)-2), 4))) / 100</f>
        <v>0</v>
      </c>
      <c r="Z3" t="e">
        <f>SUM(V3:Y3)</f>
        <v>#N/A</v>
      </c>
    </row>
    <row r="4" spans="1:26" ht="48" customHeight="1">
      <c r="A4" s="6" t="s">
        <v>134</v>
      </c>
      <c r="B4" s="22">
        <f>SUM('DAY 1 SCORES'!D:D)/100</f>
        <v>22.5</v>
      </c>
      <c r="C4" s="22">
        <f>SUM('DAY 2 SCORES'!D:D)/100</f>
        <v>0</v>
      </c>
      <c r="D4" s="22">
        <f>B4+C4</f>
        <v>22.5</v>
      </c>
      <c r="G4" s="6" t="s">
        <v>135</v>
      </c>
      <c r="H4" s="17">
        <f>SUMIF('DAY 1 SCORES'!$C:$C, "Blue", 'DAY 1 SCORES'!$F:$F)</f>
        <v>0</v>
      </c>
      <c r="I4" s="17">
        <f>SUMIF('DAY 1 SCORES'!$C:$C, "Blue", 'DAY 1 SCORES'!$D:$D)/100</f>
        <v>0</v>
      </c>
      <c r="J4" s="17">
        <f>SUMIF('DAY 2 SCORES'!$C:$C, "Blue", 'DAY 2 SCORES'!$F:$F)</f>
        <v>0</v>
      </c>
      <c r="K4" s="17">
        <f>SUMIF('DAY 2 SCORES'!$C:$C, "Blue", 'DAY 2 SCORES'!$D:$D)/100</f>
        <v>0</v>
      </c>
      <c r="O4" t="str">
        <f>IF(AND(DATA!H4&gt;0, DATA!I4&gt;0), ABS(DATA!H4 - DATA!I4), "")</f>
        <v/>
      </c>
      <c r="P4">
        <v>3</v>
      </c>
      <c r="V4" t="e">
        <f>(_xlfn.XLOOKUP($U4, DATA!$C$3:$C$121, DATA!$H$3:$H$121) + _xlfn.XLOOKUP($U4, DATA!$C$3:$C$121, DATA!$I$3:$I$121)) / 100</f>
        <v>#N/A</v>
      </c>
      <c r="W4" cm="1">
        <f t="array" ref="W4">(INDEX(DATA!$H$3:$H$121, SMALL(IF(DATA!$C$3:$C$121=$U4, ROW(DATA!$C$3:$C$121)-2), 2)) + INDEX(DATA!$I$3:$I$121, SMALL(IF(DATA!$C$3:$C$121=$U4, ROW(DATA!$C$3:$C$121)-2), 2))) / 100</f>
        <v>0</v>
      </c>
      <c r="X4" cm="1">
        <f t="array" ref="X4">(INDEX(DATA!$H$3:$H$121, SMALL(IF(DATA!$C$3:$C$121=$U4, ROW(DATA!$C$3:$C$121)-2), 3)) + INDEX(DATA!$I$3:$I$121, SMALL(IF(DATA!$C$3:$C$121=$U4, ROW(DATA!$C$3:$C$121)-2), 3))) / 100</f>
        <v>0</v>
      </c>
      <c r="Y4" cm="1">
        <f t="array" ref="Y4">(INDEX(DATA!$H$3:$H$121, SMALL(IF(DATA!$C$3:$C$121=$U4, ROW(DATA!$C$3:$C$121)-2), 4)) + INDEX(DATA!$I$3:$I$121, SMALL(IF(DATA!$C$3:$C$121=$U4, ROW(DATA!$C$3:$C$121)-2), 4))) / 100</f>
        <v>0</v>
      </c>
      <c r="Z4" t="e">
        <f>SUM(V4:Y4)</f>
        <v>#N/A</v>
      </c>
    </row>
    <row r="5" spans="1:26" ht="57" customHeight="1">
      <c r="G5" s="6" t="s">
        <v>136</v>
      </c>
      <c r="H5" s="17">
        <f>SUMIF('DAY 1 SCORES'!$C:$C, "Green", 'DAY 1 SCORES'!$F:$F)</f>
        <v>0</v>
      </c>
      <c r="I5" s="17">
        <f>SUMIF('DAY 1 SCORES'!$C:$C, "Green", 'DAY 1 SCORES'!$D:$D)/100</f>
        <v>0</v>
      </c>
      <c r="J5" s="17">
        <f>SUMIF('DAY 2 SCORES'!$C:$C, "Green", 'DAY 2 SCORES'!$F:$F)</f>
        <v>0</v>
      </c>
      <c r="K5" s="17">
        <f>SUMIF('DAY 2 SCORES'!$C:$C, "Green", 'DAY 2 SCORES'!$D:$D)/100</f>
        <v>0</v>
      </c>
      <c r="O5" t="str">
        <f>IF(AND(DATA!H5&gt;0, DATA!I5&gt;0), ABS(DATA!H5 - DATA!I5), "")</f>
        <v/>
      </c>
      <c r="P5">
        <v>4</v>
      </c>
      <c r="V5" t="e">
        <f>(_xlfn.XLOOKUP($U5, DATA!$C$3:$C$121, DATA!$H$3:$H$121) + _xlfn.XLOOKUP($U5, DATA!$C$3:$C$121, DATA!$I$3:$I$121)) / 100</f>
        <v>#N/A</v>
      </c>
      <c r="W5" cm="1">
        <f t="array" ref="W5">(INDEX(DATA!$H$3:$H$121, SMALL(IF(DATA!$C$3:$C$121=$U5, ROW(DATA!$C$3:$C$121)-2), 2)) + INDEX(DATA!$I$3:$I$121, SMALL(IF(DATA!$C$3:$C$121=$U5, ROW(DATA!$C$3:$C$121)-2), 2))) / 100</f>
        <v>0</v>
      </c>
      <c r="X5" cm="1">
        <f t="array" ref="X5">(INDEX(DATA!$H$3:$H$121, SMALL(IF(DATA!$C$3:$C$121=$U5, ROW(DATA!$C$3:$C$121)-2), 3)) + INDEX(DATA!$I$3:$I$121, SMALL(IF(DATA!$C$3:$C$121=$U5, ROW(DATA!$C$3:$C$121)-2), 3))) / 100</f>
        <v>0</v>
      </c>
      <c r="Y5" cm="1">
        <f t="array" ref="Y5">(INDEX(DATA!$H$3:$H$121, SMALL(IF(DATA!$C$3:$C$121=$U5, ROW(DATA!$C$3:$C$121)-2), 4)) + INDEX(DATA!$I$3:$I$121, SMALL(IF(DATA!$C$3:$C$121=$U5, ROW(DATA!$C$3:$C$121)-2), 4))) / 100</f>
        <v>0</v>
      </c>
      <c r="Z5" t="e">
        <f>SUM(V5:Y5)</f>
        <v>#N/A</v>
      </c>
    </row>
    <row r="6" spans="1:26" ht="54" customHeight="1">
      <c r="G6" t="s">
        <v>137</v>
      </c>
      <c r="H6">
        <f>SUMIF('DAY 1 SCORES'!$C:$C, "Yellow", 'DAY 1 SCORES'!$F:$F)</f>
        <v>0</v>
      </c>
      <c r="I6">
        <f>SUMIF('DAY 1 SCORES'!$C:$C, "Yellow", 'DAY 1 SCORES'!$D:$D)/100</f>
        <v>0</v>
      </c>
      <c r="J6">
        <f>SUMIF('DAY 2 SCORES'!$C:$C, "Yellow", 'DAY 2 SCORES'!$F:$F)</f>
        <v>0</v>
      </c>
      <c r="K6">
        <f>SUMIF('DAY 2 SCORES'!$C:$C, "Yellow", 'DAY 2 SCORES'!$D:$D)/100</f>
        <v>0</v>
      </c>
      <c r="O6" t="str">
        <f>IF(AND(DATA!H6&gt;0, DATA!I6&gt;0), ABS(DATA!H6 - DATA!I6), "")</f>
        <v/>
      </c>
      <c r="P6">
        <v>5</v>
      </c>
      <c r="V6" t="e">
        <f>(_xlfn.XLOOKUP($U6, DATA!$C$3:$C$121, DATA!$H$3:$H$121) + _xlfn.XLOOKUP($U6, DATA!$C$3:$C$121, DATA!$I$3:$I$121)) / 100</f>
        <v>#N/A</v>
      </c>
      <c r="W6" cm="1">
        <f t="array" ref="W6">(INDEX(DATA!$H$3:$H$121, SMALL(IF(DATA!$C$3:$C$121=$U6, ROW(DATA!$C$3:$C$121)-2), 2)) + INDEX(DATA!$I$3:$I$121, SMALL(IF(DATA!$C$3:$C$121=$U6, ROW(DATA!$C$3:$C$121)-2), 2))) / 100</f>
        <v>0</v>
      </c>
      <c r="X6" cm="1">
        <f t="array" ref="X6">(INDEX(DATA!$H$3:$H$121, SMALL(IF(DATA!$C$3:$C$121=$U6, ROW(DATA!$C$3:$C$121)-2), 3)) + INDEX(DATA!$I$3:$I$121, SMALL(IF(DATA!$C$3:$C$121=$U6, ROW(DATA!$C$3:$C$121)-2), 3))) / 100</f>
        <v>0</v>
      </c>
      <c r="Y6" cm="1">
        <f t="array" ref="Y6">(INDEX(DATA!$H$3:$H$121, SMALL(IF(DATA!$C$3:$C$121=$U6, ROW(DATA!$C$3:$C$121)-2), 4)) + INDEX(DATA!$I$3:$I$121, SMALL(IF(DATA!$C$3:$C$121=$U6, ROW(DATA!$C$3:$C$121)-2), 4))) / 100</f>
        <v>0</v>
      </c>
      <c r="Z6" t="e">
        <f>SUM(V6:Y6)</f>
        <v>#N/A</v>
      </c>
    </row>
    <row r="7" spans="1:26">
      <c r="O7" t="str">
        <f>IF(AND(DATA!H7&gt;0, DATA!I7&gt;0), ABS(DATA!H7 - DATA!I7), "")</f>
        <v/>
      </c>
      <c r="P7">
        <v>6</v>
      </c>
      <c r="V7" t="e">
        <f>(_xlfn.XLOOKUP($U7, DATA!$C$3:$C$121, DATA!$H$3:$H$121) + _xlfn.XLOOKUP($U7, DATA!$C$3:$C$121, DATA!$I$3:$I$121)) / 100</f>
        <v>#N/A</v>
      </c>
      <c r="W7" cm="1">
        <f t="array" ref="W7">(INDEX(DATA!$H$3:$H$121, SMALL(IF(DATA!$C$3:$C$121=$U7, ROW(DATA!$C$3:$C$121)-2), 2)) + INDEX(DATA!$I$3:$I$121, SMALL(IF(DATA!$C$3:$C$121=$U7, ROW(DATA!$C$3:$C$121)-2), 2))) / 100</f>
        <v>0</v>
      </c>
      <c r="X7" cm="1">
        <f t="array" ref="X7">(INDEX(DATA!$H$3:$H$121, SMALL(IF(DATA!$C$3:$C$121=$U7, ROW(DATA!$C$3:$C$121)-2), 3)) + INDEX(DATA!$I$3:$I$121, SMALL(IF(DATA!$C$3:$C$121=$U7, ROW(DATA!$C$3:$C$121)-2), 3))) / 100</f>
        <v>0</v>
      </c>
      <c r="Y7" cm="1">
        <f t="array" ref="Y7">(INDEX(DATA!$H$3:$H$121, SMALL(IF(DATA!$C$3:$C$121=$U7, ROW(DATA!$C$3:$C$121)-2), 4)) + INDEX(DATA!$I$3:$I$121, SMALL(IF(DATA!$C$3:$C$121=$U7, ROW(DATA!$C$3:$C$121)-2), 4))) / 100</f>
        <v>0</v>
      </c>
      <c r="Z7" t="e">
        <f>SUM(V7:Y7)</f>
        <v>#N/A</v>
      </c>
    </row>
    <row r="8" spans="1:26">
      <c r="O8" t="str">
        <f>IF(AND(DATA!H8&gt;0, DATA!I8&gt;0), ABS(DATA!H8 - DATA!I8), "")</f>
        <v/>
      </c>
      <c r="P8">
        <v>7</v>
      </c>
      <c r="V8" t="e">
        <f>(_xlfn.XLOOKUP($U8, DATA!$C$3:$C$121, DATA!$H$3:$H$121) + _xlfn.XLOOKUP($U8, DATA!$C$3:$C$121, DATA!$I$3:$I$121)) / 100</f>
        <v>#N/A</v>
      </c>
      <c r="W8" cm="1">
        <f t="array" ref="W8">(INDEX(DATA!$H$3:$H$121, SMALL(IF(DATA!$C$3:$C$121=$U8, ROW(DATA!$C$3:$C$121)-2), 2)) + INDEX(DATA!$I$3:$I$121, SMALL(IF(DATA!$C$3:$C$121=$U8, ROW(DATA!$C$3:$C$121)-2), 2))) / 100</f>
        <v>0</v>
      </c>
      <c r="X8" cm="1">
        <f t="array" ref="X8">(INDEX(DATA!$H$3:$H$121, SMALL(IF(DATA!$C$3:$C$121=$U8, ROW(DATA!$C$3:$C$121)-2), 3)) + INDEX(DATA!$I$3:$I$121, SMALL(IF(DATA!$C$3:$C$121=$U8, ROW(DATA!$C$3:$C$121)-2), 3))) / 100</f>
        <v>0</v>
      </c>
      <c r="Y8" cm="1">
        <f t="array" ref="Y8">(INDEX(DATA!$H$3:$H$121, SMALL(IF(DATA!$C$3:$C$121=$U8, ROW(DATA!$C$3:$C$121)-2), 4)) + INDEX(DATA!$I$3:$I$121, SMALL(IF(DATA!$C$3:$C$121=$U8, ROW(DATA!$C$3:$C$121)-2), 4))) / 100</f>
        <v>0</v>
      </c>
      <c r="Z8" t="e">
        <f>SUM(V8:Y8)</f>
        <v>#N/A</v>
      </c>
    </row>
    <row r="9" spans="1:26">
      <c r="O9" t="str">
        <f>IF(AND(DATA!H9&gt;0, DATA!I9&gt;0), ABS(DATA!H9 - DATA!I9), "")</f>
        <v/>
      </c>
      <c r="P9">
        <v>8</v>
      </c>
      <c r="V9" t="e">
        <f>(_xlfn.XLOOKUP($U9, DATA!$C$3:$C$121, DATA!$H$3:$H$121) + _xlfn.XLOOKUP($U9, DATA!$C$3:$C$121, DATA!$I$3:$I$121)) / 100</f>
        <v>#N/A</v>
      </c>
      <c r="W9" cm="1">
        <f t="array" ref="W9">(INDEX(DATA!$H$3:$H$121, SMALL(IF(DATA!$C$3:$C$121=$U9, ROW(DATA!$C$3:$C$121)-2), 2)) + INDEX(DATA!$I$3:$I$121, SMALL(IF(DATA!$C$3:$C$121=$U9, ROW(DATA!$C$3:$C$121)-2), 2))) / 100</f>
        <v>0</v>
      </c>
      <c r="X9" cm="1">
        <f t="array" ref="X9">(INDEX(DATA!$H$3:$H$121, SMALL(IF(DATA!$C$3:$C$121=$U9, ROW(DATA!$C$3:$C$121)-2), 3)) + INDEX(DATA!$I$3:$I$121, SMALL(IF(DATA!$C$3:$C$121=$U9, ROW(DATA!$C$3:$C$121)-2), 3))) / 100</f>
        <v>0</v>
      </c>
      <c r="Y9" cm="1">
        <f t="array" ref="Y9">(INDEX(DATA!$H$3:$H$121, SMALL(IF(DATA!$C$3:$C$121=$U9, ROW(DATA!$C$3:$C$121)-2), 4)) + INDEX(DATA!$I$3:$I$121, SMALL(IF(DATA!$C$3:$C$121=$U9, ROW(DATA!$C$3:$C$121)-2), 4))) / 100</f>
        <v>0</v>
      </c>
      <c r="Z9" t="e">
        <f>SUM(V9:Y9)</f>
        <v>#N/A</v>
      </c>
    </row>
    <row r="10" spans="1:26">
      <c r="O10" t="str">
        <f>IF(AND(DATA!H10&gt;0, DATA!I10&gt;0), ABS(DATA!H10 - DATA!I10), "")</f>
        <v/>
      </c>
      <c r="P10">
        <v>9</v>
      </c>
      <c r="V10" t="e">
        <f>(_xlfn.XLOOKUP($U10, DATA!$C$3:$C$121, DATA!$H$3:$H$121) + _xlfn.XLOOKUP($U10, DATA!$C$3:$C$121, DATA!$I$3:$I$121)) / 100</f>
        <v>#N/A</v>
      </c>
      <c r="W10" cm="1">
        <f t="array" ref="W10">(INDEX(DATA!$H$3:$H$121, SMALL(IF(DATA!$C$3:$C$121=$U10, ROW(DATA!$C$3:$C$121)-2), 2)) + INDEX(DATA!$I$3:$I$121, SMALL(IF(DATA!$C$3:$C$121=$U10, ROW(DATA!$C$3:$C$121)-2), 2))) / 100</f>
        <v>0</v>
      </c>
      <c r="X10" cm="1">
        <f t="array" ref="X10">(INDEX(DATA!$H$3:$H$121, SMALL(IF(DATA!$C$3:$C$121=$U10, ROW(DATA!$C$3:$C$121)-2), 3)) + INDEX(DATA!$I$3:$I$121, SMALL(IF(DATA!$C$3:$C$121=$U10, ROW(DATA!$C$3:$C$121)-2), 3))) / 100</f>
        <v>0</v>
      </c>
      <c r="Y10" cm="1">
        <f t="array" ref="Y10">(INDEX(DATA!$H$3:$H$121, SMALL(IF(DATA!$C$3:$C$121=$U10, ROW(DATA!$C$3:$C$121)-2), 4)) + INDEX(DATA!$I$3:$I$121, SMALL(IF(DATA!$C$3:$C$121=$U10, ROW(DATA!$C$3:$C$121)-2), 4))) / 100</f>
        <v>0</v>
      </c>
      <c r="Z10" t="e">
        <f>SUM(V10:Y10)</f>
        <v>#N/A</v>
      </c>
    </row>
    <row r="11" spans="1:26">
      <c r="D11">
        <f>SUMIF(REGISTRATION!$C:$C, "Team Name", DATA!$H:$H) + SUMIF(REGISTRATION!$C:$C, "Team Name", DATA!$I:$I)</f>
        <v>0</v>
      </c>
      <c r="O11" t="str">
        <f>IF(AND(DATA!H11&gt;0, DATA!I11&gt;0), ABS(DATA!H11 - DATA!I11), "")</f>
        <v/>
      </c>
      <c r="P11">
        <v>10</v>
      </c>
      <c r="V11" t="e">
        <f>(_xlfn.XLOOKUP($U11, DATA!$C$3:$C$121, DATA!$H$3:$H$121) + _xlfn.XLOOKUP($U11, DATA!$C$3:$C$121, DATA!$I$3:$I$121)) / 100</f>
        <v>#N/A</v>
      </c>
      <c r="W11" cm="1">
        <f t="array" ref="W11">(INDEX(DATA!$H$3:$H$121, SMALL(IF(DATA!$C$3:$C$121=$U11, ROW(DATA!$C$3:$C$121)-2), 2)) + INDEX(DATA!$I$3:$I$121, SMALL(IF(DATA!$C$3:$C$121=$U11, ROW(DATA!$C$3:$C$121)-2), 2))) / 100</f>
        <v>0</v>
      </c>
      <c r="X11" cm="1">
        <f t="array" ref="X11">(INDEX(DATA!$H$3:$H$121, SMALL(IF(DATA!$C$3:$C$121=$U11, ROW(DATA!$C$3:$C$121)-2), 3)) + INDEX(DATA!$I$3:$I$121, SMALL(IF(DATA!$C$3:$C$121=$U11, ROW(DATA!$C$3:$C$121)-2), 3))) / 100</f>
        <v>0</v>
      </c>
      <c r="Y11" cm="1">
        <f t="array" ref="Y11">(INDEX(DATA!$H$3:$H$121, SMALL(IF(DATA!$C$3:$C$121=$U11, ROW(DATA!$C$3:$C$121)-2), 4)) + INDEX(DATA!$I$3:$I$121, SMALL(IF(DATA!$C$3:$C$121=$U11, ROW(DATA!$C$3:$C$121)-2), 4))) / 100</f>
        <v>0</v>
      </c>
      <c r="Z11" t="e">
        <f>SUM(V11:Y11)</f>
        <v>#N/A</v>
      </c>
    </row>
    <row r="12" spans="1:26">
      <c r="O12" t="str">
        <f>IF(AND(DATA!H12&gt;0, DATA!I12&gt;0), ABS(DATA!H12 - DATA!I12), "")</f>
        <v/>
      </c>
      <c r="P12">
        <v>11</v>
      </c>
      <c r="V12" t="e">
        <f>(_xlfn.XLOOKUP($U12, DATA!$C$3:$C$121, DATA!$H$3:$H$121) + _xlfn.XLOOKUP($U12, DATA!$C$3:$C$121, DATA!$I$3:$I$121)) / 100</f>
        <v>#N/A</v>
      </c>
      <c r="W12" cm="1">
        <f t="array" ref="W12">(INDEX(DATA!$H$3:$H$121, SMALL(IF(DATA!$C$3:$C$121=$U12, ROW(DATA!$C$3:$C$121)-2), 2)) + INDEX(DATA!$I$3:$I$121, SMALL(IF(DATA!$C$3:$C$121=$U12, ROW(DATA!$C$3:$C$121)-2), 2))) / 100</f>
        <v>0</v>
      </c>
      <c r="X12" cm="1">
        <f t="array" ref="X12">(INDEX(DATA!$H$3:$H$121, SMALL(IF(DATA!$C$3:$C$121=$U12, ROW(DATA!$C$3:$C$121)-2), 3)) + INDEX(DATA!$I$3:$I$121, SMALL(IF(DATA!$C$3:$C$121=$U12, ROW(DATA!$C$3:$C$121)-2), 3))) / 100</f>
        <v>0</v>
      </c>
      <c r="Y12" cm="1">
        <f t="array" ref="Y12">(INDEX(DATA!$H$3:$H$121, SMALL(IF(DATA!$C$3:$C$121=$U12, ROW(DATA!$C$3:$C$121)-2), 4)) + INDEX(DATA!$I$3:$I$121, SMALL(IF(DATA!$C$3:$C$121=$U12, ROW(DATA!$C$3:$C$121)-2), 4))) / 100</f>
        <v>0</v>
      </c>
      <c r="Z12" t="e">
        <f>SUM(V12:Y12)</f>
        <v>#N/A</v>
      </c>
    </row>
    <row r="13" spans="1:26">
      <c r="O13" t="str">
        <f>IF(AND(DATA!H13&gt;0, DATA!I13&gt;0), ABS(DATA!H13 - DATA!I13), "")</f>
        <v/>
      </c>
      <c r="P13">
        <v>12</v>
      </c>
      <c r="V13" t="e">
        <f>(_xlfn.XLOOKUP($U13, DATA!$C$3:$C$121, DATA!$H$3:$H$121) + _xlfn.XLOOKUP($U13, DATA!$C$3:$C$121, DATA!$I$3:$I$121)) / 100</f>
        <v>#N/A</v>
      </c>
      <c r="W13" cm="1">
        <f t="array" ref="W13">(INDEX(DATA!$H$3:$H$121, SMALL(IF(DATA!$C$3:$C$121=$U13, ROW(DATA!$C$3:$C$121)-2), 2)) + INDEX(DATA!$I$3:$I$121, SMALL(IF(DATA!$C$3:$C$121=$U13, ROW(DATA!$C$3:$C$121)-2), 2))) / 100</f>
        <v>0</v>
      </c>
      <c r="X13" cm="1">
        <f t="array" ref="X13">(INDEX(DATA!$H$3:$H$121, SMALL(IF(DATA!$C$3:$C$121=$U13, ROW(DATA!$C$3:$C$121)-2), 3)) + INDEX(DATA!$I$3:$I$121, SMALL(IF(DATA!$C$3:$C$121=$U13, ROW(DATA!$C$3:$C$121)-2), 3))) / 100</f>
        <v>0</v>
      </c>
      <c r="Y13" cm="1">
        <f t="array" ref="Y13">(INDEX(DATA!$H$3:$H$121, SMALL(IF(DATA!$C$3:$C$121=$U13, ROW(DATA!$C$3:$C$121)-2), 4)) + INDEX(DATA!$I$3:$I$121, SMALL(IF(DATA!$C$3:$C$121=$U13, ROW(DATA!$C$3:$C$121)-2), 4))) / 100</f>
        <v>0</v>
      </c>
      <c r="Z13" t="e">
        <f>SUM(V13:Y13)</f>
        <v>#N/A</v>
      </c>
    </row>
    <row r="14" spans="1:26">
      <c r="O14" t="str">
        <f>IF(AND(DATA!H14&gt;0, DATA!I14&gt;0), ABS(DATA!H14 - DATA!I14), "")</f>
        <v/>
      </c>
      <c r="P14">
        <v>13</v>
      </c>
      <c r="V14" t="e">
        <f>(_xlfn.XLOOKUP($U14, DATA!$C$3:$C$121, DATA!$H$3:$H$121) + _xlfn.XLOOKUP($U14, DATA!$C$3:$C$121, DATA!$I$3:$I$121)) / 100</f>
        <v>#N/A</v>
      </c>
      <c r="W14" cm="1">
        <f t="array" ref="W14">(INDEX(DATA!$H$3:$H$121, SMALL(IF(DATA!$C$3:$C$121=$U14, ROW(DATA!$C$3:$C$121)-2), 2)) + INDEX(DATA!$I$3:$I$121, SMALL(IF(DATA!$C$3:$C$121=$U14, ROW(DATA!$C$3:$C$121)-2), 2))) / 100</f>
        <v>0</v>
      </c>
      <c r="X14" cm="1">
        <f t="array" ref="X14">(INDEX(DATA!$H$3:$H$121, SMALL(IF(DATA!$C$3:$C$121=$U14, ROW(DATA!$C$3:$C$121)-2), 3)) + INDEX(DATA!$I$3:$I$121, SMALL(IF(DATA!$C$3:$C$121=$U14, ROW(DATA!$C$3:$C$121)-2), 3))) / 100</f>
        <v>0</v>
      </c>
      <c r="Y14" cm="1">
        <f t="array" ref="Y14">(INDEX(DATA!$H$3:$H$121, SMALL(IF(DATA!$C$3:$C$121=$U14, ROW(DATA!$C$3:$C$121)-2), 4)) + INDEX(DATA!$I$3:$I$121, SMALL(IF(DATA!$C$3:$C$121=$U14, ROW(DATA!$C$3:$C$121)-2), 4))) / 100</f>
        <v>0</v>
      </c>
      <c r="Z14" t="e">
        <f>SUM(V14:Y14)</f>
        <v>#N/A</v>
      </c>
    </row>
    <row r="15" spans="1:26">
      <c r="O15" t="str">
        <f>IF(AND(DATA!H15&gt;0, DATA!I15&gt;0), ABS(DATA!H15 - DATA!I15), "")</f>
        <v/>
      </c>
      <c r="P15">
        <v>14</v>
      </c>
      <c r="V15" t="e">
        <f>(_xlfn.XLOOKUP($U15, DATA!$C$3:$C$121, DATA!$H$3:$H$121) + _xlfn.XLOOKUP($U15, DATA!$C$3:$C$121, DATA!$I$3:$I$121)) / 100</f>
        <v>#N/A</v>
      </c>
      <c r="W15" cm="1">
        <f t="array" ref="W15">(INDEX(DATA!$H$3:$H$121, SMALL(IF(DATA!$C$3:$C$121=$U15, ROW(DATA!$C$3:$C$121)-2), 2)) + INDEX(DATA!$I$3:$I$121, SMALL(IF(DATA!$C$3:$C$121=$U15, ROW(DATA!$C$3:$C$121)-2), 2))) / 100</f>
        <v>0</v>
      </c>
      <c r="X15" cm="1">
        <f t="array" ref="X15">(INDEX(DATA!$H$3:$H$121, SMALL(IF(DATA!$C$3:$C$121=$U15, ROW(DATA!$C$3:$C$121)-2), 3)) + INDEX(DATA!$I$3:$I$121, SMALL(IF(DATA!$C$3:$C$121=$U15, ROW(DATA!$C$3:$C$121)-2), 3))) / 100</f>
        <v>0</v>
      </c>
      <c r="Y15" cm="1">
        <f t="array" ref="Y15">(INDEX(DATA!$H$3:$H$121, SMALL(IF(DATA!$C$3:$C$121=$U15, ROW(DATA!$C$3:$C$121)-2), 4)) + INDEX(DATA!$I$3:$I$121, SMALL(IF(DATA!$C$3:$C$121=$U15, ROW(DATA!$C$3:$C$121)-2), 4))) / 100</f>
        <v>0</v>
      </c>
      <c r="Z15" t="e">
        <f>SUM(V15:Y15)</f>
        <v>#N/A</v>
      </c>
    </row>
    <row r="16" spans="1:26">
      <c r="O16" t="str">
        <f>IF(AND(DATA!H16&gt;0, DATA!I16&gt;0), ABS(DATA!H16 - DATA!I16), "")</f>
        <v/>
      </c>
      <c r="P16">
        <v>15</v>
      </c>
      <c r="V16" t="e">
        <f>(_xlfn.XLOOKUP($U16, DATA!$C$3:$C$121, DATA!$H$3:$H$121) + _xlfn.XLOOKUP($U16, DATA!$C$3:$C$121, DATA!$I$3:$I$121)) / 100</f>
        <v>#N/A</v>
      </c>
      <c r="W16" cm="1">
        <f t="array" ref="W16">(INDEX(DATA!$H$3:$H$121, SMALL(IF(DATA!$C$3:$C$121=$U16, ROW(DATA!$C$3:$C$121)-2), 2)) + INDEX(DATA!$I$3:$I$121, SMALL(IF(DATA!$C$3:$C$121=$U16, ROW(DATA!$C$3:$C$121)-2), 2))) / 100</f>
        <v>0</v>
      </c>
      <c r="X16" cm="1">
        <f t="array" ref="X16">(INDEX(DATA!$H$3:$H$121, SMALL(IF(DATA!$C$3:$C$121=$U16, ROW(DATA!$C$3:$C$121)-2), 3)) + INDEX(DATA!$I$3:$I$121, SMALL(IF(DATA!$C$3:$C$121=$U16, ROW(DATA!$C$3:$C$121)-2), 3))) / 100</f>
        <v>0</v>
      </c>
      <c r="Y16" cm="1">
        <f t="array" ref="Y16">(INDEX(DATA!$H$3:$H$121, SMALL(IF(DATA!$C$3:$C$121=$U16, ROW(DATA!$C$3:$C$121)-2), 4)) + INDEX(DATA!$I$3:$I$121, SMALL(IF(DATA!$C$3:$C$121=$U16, ROW(DATA!$C$3:$C$121)-2), 4))) / 100</f>
        <v>0</v>
      </c>
      <c r="Z16" t="e">
        <f>SUM(V16:Y16)</f>
        <v>#N/A</v>
      </c>
    </row>
    <row r="17" spans="15:26">
      <c r="O17" t="str">
        <f>IF(AND(DATA!H17&gt;0, DATA!I17&gt;0), ABS(DATA!H17 - DATA!I17), "")</f>
        <v/>
      </c>
      <c r="P17">
        <v>16</v>
      </c>
      <c r="V17" t="e">
        <f>(_xlfn.XLOOKUP($U17, DATA!$C$3:$C$121, DATA!$H$3:$H$121) + _xlfn.XLOOKUP($U17, DATA!$C$3:$C$121, DATA!$I$3:$I$121)) / 100</f>
        <v>#N/A</v>
      </c>
      <c r="W17" cm="1">
        <f t="array" ref="W17">(INDEX(DATA!$H$3:$H$121, SMALL(IF(DATA!$C$3:$C$121=$U17, ROW(DATA!$C$3:$C$121)-2), 2)) + INDEX(DATA!$I$3:$I$121, SMALL(IF(DATA!$C$3:$C$121=$U17, ROW(DATA!$C$3:$C$121)-2), 2))) / 100</f>
        <v>0</v>
      </c>
      <c r="X17" cm="1">
        <f t="array" ref="X17">(INDEX(DATA!$H$3:$H$121, SMALL(IF(DATA!$C$3:$C$121=$U17, ROW(DATA!$C$3:$C$121)-2), 3)) + INDEX(DATA!$I$3:$I$121, SMALL(IF(DATA!$C$3:$C$121=$U17, ROW(DATA!$C$3:$C$121)-2), 3))) / 100</f>
        <v>0</v>
      </c>
      <c r="Y17" cm="1">
        <f t="array" ref="Y17">(INDEX(DATA!$H$3:$H$121, SMALL(IF(DATA!$C$3:$C$121=$U17, ROW(DATA!$C$3:$C$121)-2), 4)) + INDEX(DATA!$I$3:$I$121, SMALL(IF(DATA!$C$3:$C$121=$U17, ROW(DATA!$C$3:$C$121)-2), 4))) / 100</f>
        <v>0</v>
      </c>
      <c r="Z17" t="e">
        <f>SUM(V17:Y17)</f>
        <v>#N/A</v>
      </c>
    </row>
    <row r="18" spans="15:26">
      <c r="O18" t="str">
        <f>IF(AND(DATA!H18&gt;0, DATA!I18&gt;0), ABS(DATA!H18 - DATA!I18), "")</f>
        <v/>
      </c>
      <c r="P18">
        <v>17</v>
      </c>
      <c r="V18" t="e">
        <f>(_xlfn.XLOOKUP($U18, DATA!$C$3:$C$121, DATA!$H$3:$H$121) + _xlfn.XLOOKUP($U18, DATA!$C$3:$C$121, DATA!$I$3:$I$121)) / 100</f>
        <v>#N/A</v>
      </c>
      <c r="W18" cm="1">
        <f t="array" ref="W18">(INDEX(DATA!$H$3:$H$121, SMALL(IF(DATA!$C$3:$C$121=$U18, ROW(DATA!$C$3:$C$121)-2), 2)) + INDEX(DATA!$I$3:$I$121, SMALL(IF(DATA!$C$3:$C$121=$U18, ROW(DATA!$C$3:$C$121)-2), 2))) / 100</f>
        <v>0</v>
      </c>
      <c r="X18" cm="1">
        <f t="array" ref="X18">(INDEX(DATA!$H$3:$H$121, SMALL(IF(DATA!$C$3:$C$121=$U18, ROW(DATA!$C$3:$C$121)-2), 3)) + INDEX(DATA!$I$3:$I$121, SMALL(IF(DATA!$C$3:$C$121=$U18, ROW(DATA!$C$3:$C$121)-2), 3))) / 100</f>
        <v>0</v>
      </c>
      <c r="Y18" cm="1">
        <f t="array" ref="Y18">(INDEX(DATA!$H$3:$H$121, SMALL(IF(DATA!$C$3:$C$121=$U18, ROW(DATA!$C$3:$C$121)-2), 4)) + INDEX(DATA!$I$3:$I$121, SMALL(IF(DATA!$C$3:$C$121=$U18, ROW(DATA!$C$3:$C$121)-2), 4))) / 100</f>
        <v>0</v>
      </c>
      <c r="Z18" t="e">
        <f>SUM(V18:Y18)</f>
        <v>#N/A</v>
      </c>
    </row>
    <row r="19" spans="15:26">
      <c r="O19" t="str">
        <f>IF(AND(DATA!H19&gt;0, DATA!I19&gt;0), ABS(DATA!H19 - DATA!I19), "")</f>
        <v/>
      </c>
      <c r="P19">
        <v>18</v>
      </c>
      <c r="V19" t="e">
        <f>(_xlfn.XLOOKUP($U19, DATA!$C$3:$C$121, DATA!$H$3:$H$121) + _xlfn.XLOOKUP($U19, DATA!$C$3:$C$121, DATA!$I$3:$I$121)) / 100</f>
        <v>#N/A</v>
      </c>
      <c r="W19" cm="1">
        <f t="array" ref="W19">(INDEX(DATA!$H$3:$H$121, SMALL(IF(DATA!$C$3:$C$121=$U19, ROW(DATA!$C$3:$C$121)-2), 2)) + INDEX(DATA!$I$3:$I$121, SMALL(IF(DATA!$C$3:$C$121=$U19, ROW(DATA!$C$3:$C$121)-2), 2))) / 100</f>
        <v>0</v>
      </c>
      <c r="X19" cm="1">
        <f t="array" ref="X19">(INDEX(DATA!$H$3:$H$121, SMALL(IF(DATA!$C$3:$C$121=$U19, ROW(DATA!$C$3:$C$121)-2), 3)) + INDEX(DATA!$I$3:$I$121, SMALL(IF(DATA!$C$3:$C$121=$U19, ROW(DATA!$C$3:$C$121)-2), 3))) / 100</f>
        <v>0</v>
      </c>
      <c r="Y19" cm="1">
        <f t="array" ref="Y19">(INDEX(DATA!$H$3:$H$121, SMALL(IF(DATA!$C$3:$C$121=$U19, ROW(DATA!$C$3:$C$121)-2), 4)) + INDEX(DATA!$I$3:$I$121, SMALL(IF(DATA!$C$3:$C$121=$U19, ROW(DATA!$C$3:$C$121)-2), 4))) / 100</f>
        <v>0</v>
      </c>
      <c r="Z19" t="e">
        <f>SUM(V19:Y19)</f>
        <v>#N/A</v>
      </c>
    </row>
    <row r="20" spans="15:26">
      <c r="O20" t="str">
        <f>IF(AND(DATA!H20&gt;0, DATA!I20&gt;0), ABS(DATA!H20 - DATA!I20), "")</f>
        <v/>
      </c>
      <c r="P20">
        <v>19</v>
      </c>
      <c r="U20" t="str" cm="1">
        <f t="array" ref="U20">_xlfn.UNIQUE(DATA!C3:C121)</f>
        <v/>
      </c>
      <c r="V20">
        <f>(_xlfn.XLOOKUP($U20, DATA!$C$3:$C$121, DATA!$H$3:$H$121) + _xlfn.XLOOKUP($U20, DATA!$C$3:$C$121, DATA!$I$3:$I$121)) / 100</f>
        <v>0</v>
      </c>
      <c r="W20" cm="1">
        <f t="array" ref="W20">(INDEX(DATA!$H$3:$H$121, SMALL(IF(DATA!$C$3:$C$121=$U20, ROW(DATA!$C$3:$C$121)-2), 2)) + INDEX(DATA!$I$3:$I$121, SMALL(IF(DATA!$C$3:$C$121=$U20, ROW(DATA!$C$3:$C$121)-2), 2))) / 100</f>
        <v>0</v>
      </c>
      <c r="X20" cm="1">
        <f t="array" ref="X20">(INDEX(DATA!$H$3:$H$121, SMALL(IF(DATA!$C$3:$C$121=$U20, ROW(DATA!$C$3:$C$121)-2), 3)) + INDEX(DATA!$I$3:$I$121, SMALL(IF(DATA!$C$3:$C$121=$U20, ROW(DATA!$C$3:$C$121)-2), 3))) / 100</f>
        <v>0</v>
      </c>
      <c r="Y20" cm="1">
        <f t="array" ref="Y20">(INDEX(DATA!$H$3:$H$121, SMALL(IF(DATA!$C$3:$C$121=$U20, ROW(DATA!$C$3:$C$121)-2), 4)) + INDEX(DATA!$I$3:$I$121, SMALL(IF(DATA!$C$3:$C$121=$U20, ROW(DATA!$C$3:$C$121)-2), 4))) / 100</f>
        <v>0</v>
      </c>
      <c r="Z20">
        <f>SUM(V20:Y20)</f>
        <v>0</v>
      </c>
    </row>
    <row r="21" spans="15:26">
      <c r="O21" t="str">
        <f>IF(AND(DATA!H21&gt;0, DATA!I21&gt;0), ABS(DATA!H21 - DATA!I21), "")</f>
        <v/>
      </c>
      <c r="P21">
        <v>20</v>
      </c>
      <c r="V21" t="e">
        <f>(_xlfn.XLOOKUP($U21, DATA!$C$3:$C$121, DATA!$H$3:$H$121) + _xlfn.XLOOKUP($U21, DATA!$C$3:$C$121, DATA!$I$3:$I$121)) / 100</f>
        <v>#N/A</v>
      </c>
      <c r="W21" cm="1">
        <f t="array" ref="W21">(INDEX(DATA!$H$3:$H$121, SMALL(IF(DATA!$C$3:$C$121=$U21, ROW(DATA!$C$3:$C$121)-2), 2)) + INDEX(DATA!$I$3:$I$121, SMALL(IF(DATA!$C$3:$C$121=$U21, ROW(DATA!$C$3:$C$121)-2), 2))) / 100</f>
        <v>0</v>
      </c>
      <c r="X21" cm="1">
        <f t="array" ref="X21">(INDEX(DATA!$H$3:$H$121, SMALL(IF(DATA!$C$3:$C$121=$U21, ROW(DATA!$C$3:$C$121)-2), 3)) + INDEX(DATA!$I$3:$I$121, SMALL(IF(DATA!$C$3:$C$121=$U21, ROW(DATA!$C$3:$C$121)-2), 3))) / 100</f>
        <v>0</v>
      </c>
      <c r="Y21" cm="1">
        <f t="array" ref="Y21">(INDEX(DATA!$H$3:$H$121, SMALL(IF(DATA!$C$3:$C$121=$U21, ROW(DATA!$C$3:$C$121)-2), 4)) + INDEX(DATA!$I$3:$I$121, SMALL(IF(DATA!$C$3:$C$121=$U21, ROW(DATA!$C$3:$C$121)-2), 4))) / 100</f>
        <v>0</v>
      </c>
      <c r="Z21" t="e">
        <f>SUM(V21:Y21)</f>
        <v>#N/A</v>
      </c>
    </row>
    <row r="22" spans="15:26">
      <c r="O22" t="str">
        <f>IF(AND(DATA!H22&gt;0, DATA!I22&gt;0), ABS(DATA!H22 - DATA!I22), "")</f>
        <v/>
      </c>
      <c r="P22">
        <v>21</v>
      </c>
      <c r="V22" t="e">
        <f>(_xlfn.XLOOKUP($U22, DATA!$C$3:$C$121, DATA!$H$3:$H$121) + _xlfn.XLOOKUP($U22, DATA!$C$3:$C$121, DATA!$I$3:$I$121)) / 100</f>
        <v>#N/A</v>
      </c>
      <c r="W22" cm="1">
        <f t="array" ref="W22">(INDEX(DATA!$H$3:$H$121, SMALL(IF(DATA!$C$3:$C$121=$U22, ROW(DATA!$C$3:$C$121)-2), 2)) + INDEX(DATA!$I$3:$I$121, SMALL(IF(DATA!$C$3:$C$121=$U22, ROW(DATA!$C$3:$C$121)-2), 2))) / 100</f>
        <v>0</v>
      </c>
      <c r="X22" cm="1">
        <f t="array" ref="X22">(INDEX(DATA!$H$3:$H$121, SMALL(IF(DATA!$C$3:$C$121=$U22, ROW(DATA!$C$3:$C$121)-2), 3)) + INDEX(DATA!$I$3:$I$121, SMALL(IF(DATA!$C$3:$C$121=$U22, ROW(DATA!$C$3:$C$121)-2), 3))) / 100</f>
        <v>0</v>
      </c>
      <c r="Y22" cm="1">
        <f t="array" ref="Y22">(INDEX(DATA!$H$3:$H$121, SMALL(IF(DATA!$C$3:$C$121=$U22, ROW(DATA!$C$3:$C$121)-2), 4)) + INDEX(DATA!$I$3:$I$121, SMALL(IF(DATA!$C$3:$C$121=$U22, ROW(DATA!$C$3:$C$121)-2), 4))) / 100</f>
        <v>0</v>
      </c>
      <c r="Z22" t="e">
        <f>SUM(V22:Y22)</f>
        <v>#N/A</v>
      </c>
    </row>
    <row r="23" spans="15:26">
      <c r="O23" t="str">
        <f>IF(AND(DATA!H23&gt;0, DATA!I23&gt;0), ABS(DATA!H23 - DATA!I23), "")</f>
        <v/>
      </c>
      <c r="P23">
        <v>22</v>
      </c>
      <c r="V23" t="e">
        <f>(_xlfn.XLOOKUP($U23, DATA!$C$3:$C$121, DATA!$H$3:$H$121) + _xlfn.XLOOKUP($U23, DATA!$C$3:$C$121, DATA!$I$3:$I$121)) / 100</f>
        <v>#N/A</v>
      </c>
      <c r="W23" cm="1">
        <f t="array" ref="W23">(INDEX(DATA!$H$3:$H$121, SMALL(IF(DATA!$C$3:$C$121=$U23, ROW(DATA!$C$3:$C$121)-2), 2)) + INDEX(DATA!$I$3:$I$121, SMALL(IF(DATA!$C$3:$C$121=$U23, ROW(DATA!$C$3:$C$121)-2), 2))) / 100</f>
        <v>0</v>
      </c>
      <c r="X23" cm="1">
        <f t="array" ref="X23">(INDEX(DATA!$H$3:$H$121, SMALL(IF(DATA!$C$3:$C$121=$U23, ROW(DATA!$C$3:$C$121)-2), 3)) + INDEX(DATA!$I$3:$I$121, SMALL(IF(DATA!$C$3:$C$121=$U23, ROW(DATA!$C$3:$C$121)-2), 3))) / 100</f>
        <v>0</v>
      </c>
      <c r="Y23" cm="1">
        <f t="array" ref="Y23">(INDEX(DATA!$H$3:$H$121, SMALL(IF(DATA!$C$3:$C$121=$U23, ROW(DATA!$C$3:$C$121)-2), 4)) + INDEX(DATA!$I$3:$I$121, SMALL(IF(DATA!$C$3:$C$121=$U23, ROW(DATA!$C$3:$C$121)-2), 4))) / 100</f>
        <v>0</v>
      </c>
      <c r="Z23" t="e">
        <f>SUM(V23:Y23)</f>
        <v>#N/A</v>
      </c>
    </row>
    <row r="24" spans="15:26">
      <c r="O24" t="str">
        <f>IF(AND(DATA!H24&gt;0, DATA!I24&gt;0), ABS(DATA!H24 - DATA!I24), "")</f>
        <v/>
      </c>
      <c r="P24">
        <v>23</v>
      </c>
      <c r="V24" t="e">
        <f>(_xlfn.XLOOKUP($U24, DATA!$C$3:$C$121, DATA!$H$3:$H$121) + _xlfn.XLOOKUP($U24, DATA!$C$3:$C$121, DATA!$I$3:$I$121)) / 100</f>
        <v>#N/A</v>
      </c>
      <c r="W24" cm="1">
        <f t="array" ref="W24">(INDEX(DATA!$H$3:$H$121, SMALL(IF(DATA!$C$3:$C$121=$U24, ROW(DATA!$C$3:$C$121)-2), 2)) + INDEX(DATA!$I$3:$I$121, SMALL(IF(DATA!$C$3:$C$121=$U24, ROW(DATA!$C$3:$C$121)-2), 2))) / 100</f>
        <v>0</v>
      </c>
      <c r="X24" cm="1">
        <f t="array" ref="X24">(INDEX(DATA!$H$3:$H$121, SMALL(IF(DATA!$C$3:$C$121=$U24, ROW(DATA!$C$3:$C$121)-2), 3)) + INDEX(DATA!$I$3:$I$121, SMALL(IF(DATA!$C$3:$C$121=$U24, ROW(DATA!$C$3:$C$121)-2), 3))) / 100</f>
        <v>0</v>
      </c>
      <c r="Y24" cm="1">
        <f t="array" ref="Y24">(INDEX(DATA!$H$3:$H$121, SMALL(IF(DATA!$C$3:$C$121=$U24, ROW(DATA!$C$3:$C$121)-2), 4)) + INDEX(DATA!$I$3:$I$121, SMALL(IF(DATA!$C$3:$C$121=$U24, ROW(DATA!$C$3:$C$121)-2), 4))) / 100</f>
        <v>0</v>
      </c>
      <c r="Z24" t="e">
        <f>SUM(V24:Y24)</f>
        <v>#N/A</v>
      </c>
    </row>
    <row r="25" spans="15:26">
      <c r="O25" t="str">
        <f>IF(AND(DATA!H25&gt;0, DATA!I25&gt;0), ABS(DATA!H25 - DATA!I25), "")</f>
        <v/>
      </c>
      <c r="P25">
        <v>24</v>
      </c>
      <c r="V25" t="e">
        <f>(_xlfn.XLOOKUP($U25, DATA!$C$3:$C$121, DATA!$H$3:$H$121) + _xlfn.XLOOKUP($U25, DATA!$C$3:$C$121, DATA!$I$3:$I$121)) / 100</f>
        <v>#N/A</v>
      </c>
      <c r="W25" cm="1">
        <f t="array" ref="W25">(INDEX(DATA!$H$3:$H$121, SMALL(IF(DATA!$C$3:$C$121=$U25, ROW(DATA!$C$3:$C$121)-2), 2)) + INDEX(DATA!$I$3:$I$121, SMALL(IF(DATA!$C$3:$C$121=$U25, ROW(DATA!$C$3:$C$121)-2), 2))) / 100</f>
        <v>0</v>
      </c>
      <c r="X25" cm="1">
        <f t="array" ref="X25">(INDEX(DATA!$H$3:$H$121, SMALL(IF(DATA!$C$3:$C$121=$U25, ROW(DATA!$C$3:$C$121)-2), 3)) + INDEX(DATA!$I$3:$I$121, SMALL(IF(DATA!$C$3:$C$121=$U25, ROW(DATA!$C$3:$C$121)-2), 3))) / 100</f>
        <v>0</v>
      </c>
      <c r="Y25" cm="1">
        <f t="array" ref="Y25">(INDEX(DATA!$H$3:$H$121, SMALL(IF(DATA!$C$3:$C$121=$U25, ROW(DATA!$C$3:$C$121)-2), 4)) + INDEX(DATA!$I$3:$I$121, SMALL(IF(DATA!$C$3:$C$121=$U25, ROW(DATA!$C$3:$C$121)-2), 4))) / 100</f>
        <v>0</v>
      </c>
      <c r="Z25" t="e">
        <f>SUM(V25:Y25)</f>
        <v>#N/A</v>
      </c>
    </row>
    <row r="26" spans="15:26">
      <c r="O26" t="str">
        <f>IF(AND(DATA!H26&gt;0, DATA!I26&gt;0), ABS(DATA!H26 - DATA!I26), "")</f>
        <v/>
      </c>
      <c r="P26">
        <v>25</v>
      </c>
      <c r="V26" t="e">
        <f>(_xlfn.XLOOKUP($U26, DATA!$C$3:$C$121, DATA!$H$3:$H$121) + _xlfn.XLOOKUP($U26, DATA!$C$3:$C$121, DATA!$I$3:$I$121)) / 100</f>
        <v>#N/A</v>
      </c>
      <c r="W26" cm="1">
        <f t="array" ref="W26">(INDEX(DATA!$H$3:$H$121, SMALL(IF(DATA!$C$3:$C$121=$U26, ROW(DATA!$C$3:$C$121)-2), 2)) + INDEX(DATA!$I$3:$I$121, SMALL(IF(DATA!$C$3:$C$121=$U26, ROW(DATA!$C$3:$C$121)-2), 2))) / 100</f>
        <v>0</v>
      </c>
      <c r="X26" cm="1">
        <f t="array" ref="X26">(INDEX(DATA!$H$3:$H$121, SMALL(IF(DATA!$C$3:$C$121=$U26, ROW(DATA!$C$3:$C$121)-2), 3)) + INDEX(DATA!$I$3:$I$121, SMALL(IF(DATA!$C$3:$C$121=$U26, ROW(DATA!$C$3:$C$121)-2), 3))) / 100</f>
        <v>0</v>
      </c>
      <c r="Y26" cm="1">
        <f t="array" ref="Y26">(INDEX(DATA!$H$3:$H$121, SMALL(IF(DATA!$C$3:$C$121=$U26, ROW(DATA!$C$3:$C$121)-2), 4)) + INDEX(DATA!$I$3:$I$121, SMALL(IF(DATA!$C$3:$C$121=$U26, ROW(DATA!$C$3:$C$121)-2), 4))) / 100</f>
        <v>0</v>
      </c>
      <c r="Z26" t="e">
        <f>SUM(V26:Y26)</f>
        <v>#N/A</v>
      </c>
    </row>
    <row r="27" spans="15:26">
      <c r="O27" t="str">
        <f>IF(AND(DATA!H27&gt;0, DATA!I27&gt;0), ABS(DATA!H27 - DATA!I27), "")</f>
        <v/>
      </c>
      <c r="P27">
        <v>26</v>
      </c>
      <c r="V27" t="e">
        <f>(_xlfn.XLOOKUP($U27, DATA!$C$3:$C$121, DATA!$H$3:$H$121) + _xlfn.XLOOKUP($U27, DATA!$C$3:$C$121, DATA!$I$3:$I$121)) / 100</f>
        <v>#N/A</v>
      </c>
      <c r="W27" cm="1">
        <f t="array" ref="W27">(INDEX(DATA!$H$3:$H$121, SMALL(IF(DATA!$C$3:$C$121=$U27, ROW(DATA!$C$3:$C$121)-2), 2)) + INDEX(DATA!$I$3:$I$121, SMALL(IF(DATA!$C$3:$C$121=$U27, ROW(DATA!$C$3:$C$121)-2), 2))) / 100</f>
        <v>0</v>
      </c>
      <c r="X27" cm="1">
        <f t="array" ref="X27">(INDEX(DATA!$H$3:$H$121, SMALL(IF(DATA!$C$3:$C$121=$U27, ROW(DATA!$C$3:$C$121)-2), 3)) + INDEX(DATA!$I$3:$I$121, SMALL(IF(DATA!$C$3:$C$121=$U27, ROW(DATA!$C$3:$C$121)-2), 3))) / 100</f>
        <v>0</v>
      </c>
      <c r="Y27" cm="1">
        <f t="array" ref="Y27">(INDEX(DATA!$H$3:$H$121, SMALL(IF(DATA!$C$3:$C$121=$U27, ROW(DATA!$C$3:$C$121)-2), 4)) + INDEX(DATA!$I$3:$I$121, SMALL(IF(DATA!$C$3:$C$121=$U27, ROW(DATA!$C$3:$C$121)-2), 4))) / 100</f>
        <v>0</v>
      </c>
      <c r="Z27" t="e">
        <f>SUM(V27:Y27)</f>
        <v>#N/A</v>
      </c>
    </row>
    <row r="28" spans="15:26">
      <c r="O28" t="str">
        <f>IF(AND(DATA!H28&gt;0, DATA!I28&gt;0), ABS(DATA!H28 - DATA!I28), "")</f>
        <v/>
      </c>
      <c r="P28">
        <v>27</v>
      </c>
      <c r="V28" t="e">
        <f>(_xlfn.XLOOKUP($U28, DATA!$C$3:$C$121, DATA!$H$3:$H$121) + _xlfn.XLOOKUP($U28, DATA!$C$3:$C$121, DATA!$I$3:$I$121)) / 100</f>
        <v>#N/A</v>
      </c>
      <c r="W28" cm="1">
        <f t="array" ref="W28">(INDEX(DATA!$H$3:$H$121, SMALL(IF(DATA!$C$3:$C$121=$U28, ROW(DATA!$C$3:$C$121)-2), 2)) + INDEX(DATA!$I$3:$I$121, SMALL(IF(DATA!$C$3:$C$121=$U28, ROW(DATA!$C$3:$C$121)-2), 2))) / 100</f>
        <v>0</v>
      </c>
      <c r="X28" cm="1">
        <f t="array" ref="X28">(INDEX(DATA!$H$3:$H$121, SMALL(IF(DATA!$C$3:$C$121=$U28, ROW(DATA!$C$3:$C$121)-2), 3)) + INDEX(DATA!$I$3:$I$121, SMALL(IF(DATA!$C$3:$C$121=$U28, ROW(DATA!$C$3:$C$121)-2), 3))) / 100</f>
        <v>0</v>
      </c>
      <c r="Y28" cm="1">
        <f t="array" ref="Y28">(INDEX(DATA!$H$3:$H$121, SMALL(IF(DATA!$C$3:$C$121=$U28, ROW(DATA!$C$3:$C$121)-2), 4)) + INDEX(DATA!$I$3:$I$121, SMALL(IF(DATA!$C$3:$C$121=$U28, ROW(DATA!$C$3:$C$121)-2), 4))) / 100</f>
        <v>0</v>
      </c>
      <c r="Z28" t="e">
        <f>SUM(V28:Y28)</f>
        <v>#N/A</v>
      </c>
    </row>
    <row r="29" spans="15:26">
      <c r="O29" t="str">
        <f>IF(AND(DATA!H29&gt;0, DATA!I29&gt;0), ABS(DATA!H29 - DATA!I29), "")</f>
        <v/>
      </c>
      <c r="P29">
        <v>28</v>
      </c>
      <c r="V29" t="e">
        <f>(_xlfn.XLOOKUP($U29, DATA!$C$3:$C$121, DATA!$H$3:$H$121) + _xlfn.XLOOKUP($U29, DATA!$C$3:$C$121, DATA!$I$3:$I$121)) / 100</f>
        <v>#N/A</v>
      </c>
      <c r="W29" cm="1">
        <f t="array" ref="W29">(INDEX(DATA!$H$3:$H$121, SMALL(IF(DATA!$C$3:$C$121=$U29, ROW(DATA!$C$3:$C$121)-2), 2)) + INDEX(DATA!$I$3:$I$121, SMALL(IF(DATA!$C$3:$C$121=$U29, ROW(DATA!$C$3:$C$121)-2), 2))) / 100</f>
        <v>0</v>
      </c>
      <c r="X29" cm="1">
        <f t="array" ref="X29">(INDEX(DATA!$H$3:$H$121, SMALL(IF(DATA!$C$3:$C$121=$U29, ROW(DATA!$C$3:$C$121)-2), 3)) + INDEX(DATA!$I$3:$I$121, SMALL(IF(DATA!$C$3:$C$121=$U29, ROW(DATA!$C$3:$C$121)-2), 3))) / 100</f>
        <v>0</v>
      </c>
      <c r="Y29" cm="1">
        <f t="array" ref="Y29">(INDEX(DATA!$H$3:$H$121, SMALL(IF(DATA!$C$3:$C$121=$U29, ROW(DATA!$C$3:$C$121)-2), 4)) + INDEX(DATA!$I$3:$I$121, SMALL(IF(DATA!$C$3:$C$121=$U29, ROW(DATA!$C$3:$C$121)-2), 4))) / 100</f>
        <v>0</v>
      </c>
      <c r="Z29" t="e">
        <f>SUM(V29:Y29)</f>
        <v>#N/A</v>
      </c>
    </row>
    <row r="30" spans="15:26">
      <c r="O30" t="str">
        <f>IF(AND(DATA!H30&gt;0, DATA!I30&gt;0), ABS(DATA!H30 - DATA!I30), "")</f>
        <v/>
      </c>
      <c r="P30">
        <v>29</v>
      </c>
      <c r="V30" t="e">
        <f>(_xlfn.XLOOKUP($U30, DATA!$C$3:$C$121, DATA!$H$3:$H$121) + _xlfn.XLOOKUP($U30, DATA!$C$3:$C$121, DATA!$I$3:$I$121)) / 100</f>
        <v>#N/A</v>
      </c>
      <c r="W30" cm="1">
        <f t="array" ref="W30">(INDEX(DATA!$H$3:$H$121, SMALL(IF(DATA!$C$3:$C$121=$U30, ROW(DATA!$C$3:$C$121)-2), 2)) + INDEX(DATA!$I$3:$I$121, SMALL(IF(DATA!$C$3:$C$121=$U30, ROW(DATA!$C$3:$C$121)-2), 2))) / 100</f>
        <v>0</v>
      </c>
      <c r="X30" cm="1">
        <f t="array" ref="X30">(INDEX(DATA!$H$3:$H$121, SMALL(IF(DATA!$C$3:$C$121=$U30, ROW(DATA!$C$3:$C$121)-2), 3)) + INDEX(DATA!$I$3:$I$121, SMALL(IF(DATA!$C$3:$C$121=$U30, ROW(DATA!$C$3:$C$121)-2), 3))) / 100</f>
        <v>0</v>
      </c>
      <c r="Y30" cm="1">
        <f t="array" ref="Y30">(INDEX(DATA!$H$3:$H$121, SMALL(IF(DATA!$C$3:$C$121=$U30, ROW(DATA!$C$3:$C$121)-2), 4)) + INDEX(DATA!$I$3:$I$121, SMALL(IF(DATA!$C$3:$C$121=$U30, ROW(DATA!$C$3:$C$121)-2), 4))) / 100</f>
        <v>0</v>
      </c>
      <c r="Z30" t="e">
        <f>SUM(V30:Y30)</f>
        <v>#N/A</v>
      </c>
    </row>
    <row r="31" spans="15:26">
      <c r="O31" t="str">
        <f>IF(AND(DATA!H31&gt;0, DATA!I31&gt;0), ABS(DATA!H31 - DATA!I31), "")</f>
        <v/>
      </c>
      <c r="P31">
        <v>30</v>
      </c>
    </row>
    <row r="32" spans="15:26">
      <c r="O32" t="str">
        <f>IF(AND(DATA!H32&gt;0, DATA!I32&gt;0), ABS(DATA!H32 - DATA!I32), "")</f>
        <v/>
      </c>
      <c r="P32">
        <v>31</v>
      </c>
    </row>
    <row r="33" spans="15:16">
      <c r="O33" t="str">
        <f>IF(AND(DATA!H33&gt;0, DATA!I33&gt;0), ABS(DATA!H33 - DATA!I33), "")</f>
        <v/>
      </c>
      <c r="P33">
        <v>32</v>
      </c>
    </row>
    <row r="34" spans="15:16">
      <c r="O34" t="str">
        <f>IF(AND(DATA!H34&gt;0, DATA!I34&gt;0), ABS(DATA!H34 - DATA!I34), "")</f>
        <v/>
      </c>
      <c r="P34">
        <v>33</v>
      </c>
    </row>
    <row r="35" spans="15:16">
      <c r="O35" t="str">
        <f>IF(AND(DATA!H35&gt;0, DATA!I35&gt;0), ABS(DATA!H35 - DATA!I35), "")</f>
        <v/>
      </c>
      <c r="P35">
        <v>34</v>
      </c>
    </row>
    <row r="36" spans="15:16">
      <c r="O36" t="str">
        <f>IF(AND(DATA!H36&gt;0, DATA!I36&gt;0), ABS(DATA!H36 - DATA!I36), "")</f>
        <v/>
      </c>
      <c r="P36">
        <v>35</v>
      </c>
    </row>
    <row r="37" spans="15:16">
      <c r="O37" t="str">
        <f>IF(AND(DATA!H37&gt;0, DATA!I37&gt;0), ABS(DATA!H37 - DATA!I37), "")</f>
        <v/>
      </c>
      <c r="P37">
        <v>36</v>
      </c>
    </row>
    <row r="38" spans="15:16">
      <c r="O38" t="str">
        <f>IF(AND(DATA!H38&gt;0, DATA!I38&gt;0), ABS(DATA!H38 - DATA!I38), "")</f>
        <v/>
      </c>
      <c r="P38">
        <v>37</v>
      </c>
    </row>
    <row r="39" spans="15:16">
      <c r="O39" t="str">
        <f>IF(AND(DATA!H39&gt;0, DATA!I39&gt;0), ABS(DATA!H39 - DATA!I39), "")</f>
        <v/>
      </c>
      <c r="P39">
        <v>38</v>
      </c>
    </row>
    <row r="40" spans="15:16">
      <c r="O40" t="str">
        <f>IF(AND(DATA!H40&gt;0, DATA!I40&gt;0), ABS(DATA!H40 - DATA!I40), "")</f>
        <v/>
      </c>
      <c r="P40">
        <v>39</v>
      </c>
    </row>
    <row r="41" spans="15:16">
      <c r="O41" t="str">
        <f>IF(AND(DATA!H41&gt;0, DATA!I41&gt;0), ABS(DATA!H41 - DATA!I41), "")</f>
        <v/>
      </c>
      <c r="P41">
        <v>40</v>
      </c>
    </row>
    <row r="42" spans="15:16">
      <c r="O42" t="str">
        <f>IF(AND(DATA!H42&gt;0, DATA!I42&gt;0), ABS(DATA!H42 - DATA!I42), "")</f>
        <v/>
      </c>
      <c r="P42">
        <v>41</v>
      </c>
    </row>
    <row r="43" spans="15:16">
      <c r="O43" t="str">
        <f>IF(AND(DATA!H43&gt;0, DATA!I43&gt;0), ABS(DATA!H43 - DATA!I43), "")</f>
        <v/>
      </c>
      <c r="P43">
        <v>42</v>
      </c>
    </row>
    <row r="44" spans="15:16">
      <c r="O44" t="str">
        <f>IF(AND(DATA!H44&gt;0, DATA!I44&gt;0), ABS(DATA!H44 - DATA!I44), "")</f>
        <v/>
      </c>
      <c r="P44">
        <v>43</v>
      </c>
    </row>
    <row r="45" spans="15:16">
      <c r="O45" t="str">
        <f>IF(AND(DATA!H45&gt;0, DATA!I45&gt;0), ABS(DATA!H45 - DATA!I45), "")</f>
        <v/>
      </c>
      <c r="P45">
        <v>44</v>
      </c>
    </row>
    <row r="46" spans="15:16">
      <c r="O46" t="str">
        <f>IF(AND(DATA!H46&gt;0, DATA!I46&gt;0), ABS(DATA!H46 - DATA!I46), "")</f>
        <v/>
      </c>
      <c r="P46">
        <v>45</v>
      </c>
    </row>
    <row r="47" spans="15:16">
      <c r="O47" t="str">
        <f>IF(AND(DATA!H47&gt;0, DATA!I47&gt;0), ABS(DATA!H47 - DATA!I47), "")</f>
        <v/>
      </c>
      <c r="P47">
        <v>46</v>
      </c>
    </row>
    <row r="48" spans="15:16">
      <c r="O48" t="str">
        <f>IF(AND(DATA!H48&gt;0, DATA!I48&gt;0), ABS(DATA!H48 - DATA!I48), "")</f>
        <v/>
      </c>
      <c r="P48">
        <v>47</v>
      </c>
    </row>
    <row r="49" spans="15:16">
      <c r="O49" t="str">
        <f>IF(AND(DATA!H49&gt;0, DATA!I49&gt;0), ABS(DATA!H49 - DATA!I49), "")</f>
        <v/>
      </c>
      <c r="P49">
        <v>48</v>
      </c>
    </row>
    <row r="50" spans="15:16">
      <c r="O50" t="str">
        <f>IF(AND(DATA!H50&gt;0, DATA!I50&gt;0), ABS(DATA!H50 - DATA!I50), "")</f>
        <v/>
      </c>
      <c r="P50">
        <v>49</v>
      </c>
    </row>
    <row r="51" spans="15:16">
      <c r="O51" t="str">
        <f>IF(AND(DATA!H51&gt;0, DATA!I51&gt;0), ABS(DATA!H51 - DATA!I51), "")</f>
        <v/>
      </c>
      <c r="P51">
        <v>50</v>
      </c>
    </row>
    <row r="52" spans="15:16">
      <c r="O52" t="str">
        <f>IF(AND(DATA!H52&gt;0, DATA!I52&gt;0), ABS(DATA!H52 - DATA!I52), "")</f>
        <v/>
      </c>
      <c r="P52">
        <v>51</v>
      </c>
    </row>
    <row r="53" spans="15:16">
      <c r="O53" t="str">
        <f>IF(AND(DATA!H53&gt;0, DATA!I53&gt;0), ABS(DATA!H53 - DATA!I53), "")</f>
        <v/>
      </c>
      <c r="P53">
        <v>52</v>
      </c>
    </row>
    <row r="54" spans="15:16">
      <c r="O54" t="str">
        <f>IF(AND(DATA!H54&gt;0, DATA!I54&gt;0), ABS(DATA!H54 - DATA!I54), "")</f>
        <v/>
      </c>
      <c r="P54">
        <v>53</v>
      </c>
    </row>
    <row r="55" spans="15:16">
      <c r="O55" t="str">
        <f>IF(AND(DATA!H55&gt;0, DATA!I55&gt;0), ABS(DATA!H55 - DATA!I55), "")</f>
        <v/>
      </c>
      <c r="P55">
        <v>54</v>
      </c>
    </row>
    <row r="56" spans="15:16">
      <c r="O56" t="str">
        <f>IF(AND(DATA!H56&gt;0, DATA!I56&gt;0), ABS(DATA!H56 - DATA!I56), "")</f>
        <v/>
      </c>
      <c r="P56">
        <v>55</v>
      </c>
    </row>
    <row r="57" spans="15:16">
      <c r="O57" t="str">
        <f>IF(AND(DATA!H57&gt;0, DATA!I57&gt;0), ABS(DATA!H57 - DATA!I57), "")</f>
        <v/>
      </c>
      <c r="P57">
        <v>56</v>
      </c>
    </row>
    <row r="58" spans="15:16">
      <c r="O58" t="str">
        <f>IF(AND(DATA!H58&gt;0, DATA!I58&gt;0), ABS(DATA!H58 - DATA!I58), "")</f>
        <v/>
      </c>
      <c r="P58">
        <v>57</v>
      </c>
    </row>
    <row r="59" spans="15:16">
      <c r="O59" t="str">
        <f>IF(AND(DATA!H59&gt;0, DATA!I59&gt;0), ABS(DATA!H59 - DATA!I59), "")</f>
        <v/>
      </c>
      <c r="P59">
        <v>58</v>
      </c>
    </row>
    <row r="60" spans="15:16">
      <c r="O60" t="str">
        <f>IF(AND(DATA!H60&gt;0, DATA!I60&gt;0), ABS(DATA!H60 - DATA!I60), "")</f>
        <v/>
      </c>
      <c r="P60">
        <v>59</v>
      </c>
    </row>
    <row r="61" spans="15:16">
      <c r="O61" t="str">
        <f>IF(AND(DATA!H61&gt;0, DATA!I61&gt;0), ABS(DATA!H61 - DATA!I61), "")</f>
        <v/>
      </c>
      <c r="P61">
        <v>60</v>
      </c>
    </row>
    <row r="62" spans="15:16">
      <c r="O62" t="str">
        <f>IF(AND(DATA!H62&gt;0, DATA!I62&gt;0), ABS(DATA!H62 - DATA!I62), "")</f>
        <v/>
      </c>
      <c r="P62">
        <v>61</v>
      </c>
    </row>
    <row r="63" spans="15:16">
      <c r="O63" t="str">
        <f>IF(AND(DATA!H63&gt;0, DATA!I63&gt;0), ABS(DATA!H63 - DATA!I63), "")</f>
        <v/>
      </c>
      <c r="P63">
        <v>62</v>
      </c>
    </row>
    <row r="64" spans="15:16">
      <c r="O64" t="str">
        <f>IF(AND(DATA!H64&gt;0, DATA!I64&gt;0), ABS(DATA!H64 - DATA!I64), "")</f>
        <v/>
      </c>
      <c r="P64">
        <v>63</v>
      </c>
    </row>
    <row r="65" spans="15:16">
      <c r="O65" t="str">
        <f>IF(AND(DATA!H65&gt;0, DATA!I65&gt;0), ABS(DATA!H65 - DATA!I65), "")</f>
        <v/>
      </c>
      <c r="P65">
        <v>64</v>
      </c>
    </row>
    <row r="66" spans="15:16">
      <c r="O66" t="str">
        <f>IF(AND(DATA!H66&gt;0, DATA!I66&gt;0), ABS(DATA!H66 - DATA!I66), "")</f>
        <v/>
      </c>
      <c r="P66">
        <v>65</v>
      </c>
    </row>
    <row r="67" spans="15:16">
      <c r="O67" t="str">
        <f>IF(AND(DATA!H67&gt;0, DATA!I67&gt;0), ABS(DATA!H67 - DATA!I67), "")</f>
        <v/>
      </c>
      <c r="P67">
        <v>66</v>
      </c>
    </row>
    <row r="68" spans="15:16">
      <c r="O68" t="str">
        <f>IF(AND(DATA!H68&gt;0, DATA!I68&gt;0), ABS(DATA!H68 - DATA!I68), "")</f>
        <v/>
      </c>
      <c r="P68">
        <v>67</v>
      </c>
    </row>
    <row r="69" spans="15:16">
      <c r="O69" t="str">
        <f>IF(AND(DATA!H69&gt;0, DATA!I69&gt;0), ABS(DATA!H69 - DATA!I69), "")</f>
        <v/>
      </c>
      <c r="P69">
        <v>68</v>
      </c>
    </row>
    <row r="70" spans="15:16">
      <c r="O70" t="str">
        <f>IF(AND(DATA!H70&gt;0, DATA!I70&gt;0), ABS(DATA!H70 - DATA!I70), "")</f>
        <v/>
      </c>
      <c r="P70">
        <v>69</v>
      </c>
    </row>
    <row r="71" spans="15:16">
      <c r="O71" t="str">
        <f>IF(AND(DATA!H71&gt;0, DATA!I71&gt;0), ABS(DATA!H71 - DATA!I71), "")</f>
        <v/>
      </c>
      <c r="P71">
        <v>70</v>
      </c>
    </row>
    <row r="72" spans="15:16">
      <c r="O72" t="str">
        <f>IF(AND(DATA!H72&gt;0, DATA!I72&gt;0), ABS(DATA!H72 - DATA!I72), "")</f>
        <v/>
      </c>
      <c r="P72">
        <v>71</v>
      </c>
    </row>
    <row r="73" spans="15:16">
      <c r="O73" t="str">
        <f>IF(AND(DATA!H73&gt;0, DATA!I73&gt;0), ABS(DATA!H73 - DATA!I73), "")</f>
        <v/>
      </c>
      <c r="P73">
        <v>72</v>
      </c>
    </row>
    <row r="74" spans="15:16">
      <c r="O74" t="str">
        <f>IF(AND(DATA!H74&gt;0, DATA!I74&gt;0), ABS(DATA!H74 - DATA!I74), "")</f>
        <v/>
      </c>
      <c r="P74">
        <v>73</v>
      </c>
    </row>
    <row r="75" spans="15:16">
      <c r="O75" t="str">
        <f>IF(AND(DATA!H75&gt;0, DATA!I75&gt;0), ABS(DATA!H75 - DATA!I75), "")</f>
        <v/>
      </c>
      <c r="P75">
        <v>74</v>
      </c>
    </row>
    <row r="76" spans="15:16">
      <c r="O76" t="str">
        <f>IF(AND(DATA!H76&gt;0, DATA!I76&gt;0), ABS(DATA!H76 - DATA!I76), "")</f>
        <v/>
      </c>
      <c r="P76">
        <v>75</v>
      </c>
    </row>
    <row r="77" spans="15:16">
      <c r="O77" t="str">
        <f>IF(AND(DATA!H77&gt;0, DATA!I77&gt;0), ABS(DATA!H77 - DATA!I77), "")</f>
        <v/>
      </c>
      <c r="P77">
        <v>76</v>
      </c>
    </row>
    <row r="78" spans="15:16">
      <c r="O78" t="str">
        <f>IF(AND(DATA!H78&gt;0, DATA!I78&gt;0), ABS(DATA!H78 - DATA!I78), "")</f>
        <v/>
      </c>
      <c r="P78">
        <v>77</v>
      </c>
    </row>
    <row r="79" spans="15:16">
      <c r="O79" t="str">
        <f>IF(AND(DATA!H79&gt;0, DATA!I79&gt;0), ABS(DATA!H79 - DATA!I79), "")</f>
        <v/>
      </c>
      <c r="P79">
        <v>78</v>
      </c>
    </row>
    <row r="80" spans="15:16">
      <c r="O80" t="str">
        <f>IF(AND(DATA!H80&gt;0, DATA!I80&gt;0), ABS(DATA!H80 - DATA!I80), "")</f>
        <v/>
      </c>
      <c r="P80">
        <v>79</v>
      </c>
    </row>
    <row r="81" spans="15:16">
      <c r="O81" t="str">
        <f>IF(AND(DATA!H81&gt;0, DATA!I81&gt;0), ABS(DATA!H81 - DATA!I81), "")</f>
        <v/>
      </c>
      <c r="P81">
        <v>80</v>
      </c>
    </row>
    <row r="82" spans="15:16">
      <c r="O82" t="str">
        <f>IF(AND(DATA!H82&gt;0, DATA!I82&gt;0), ABS(DATA!H82 - DATA!I82), "")</f>
        <v/>
      </c>
      <c r="P82">
        <v>81</v>
      </c>
    </row>
    <row r="83" spans="15:16">
      <c r="O83" t="str">
        <f>IF(AND(DATA!H83&gt;0, DATA!I83&gt;0), ABS(DATA!H83 - DATA!I83), "")</f>
        <v/>
      </c>
      <c r="P83">
        <v>82</v>
      </c>
    </row>
    <row r="84" spans="15:16">
      <c r="O84" t="str">
        <f>IF(AND(DATA!H84&gt;0, DATA!I84&gt;0), ABS(DATA!H84 - DATA!I84), "")</f>
        <v/>
      </c>
      <c r="P84">
        <v>83</v>
      </c>
    </row>
    <row r="85" spans="15:16">
      <c r="O85" t="str">
        <f>IF(AND(DATA!H85&gt;0, DATA!I85&gt;0), ABS(DATA!H85 - DATA!I85), "")</f>
        <v/>
      </c>
      <c r="P85">
        <v>84</v>
      </c>
    </row>
    <row r="86" spans="15:16">
      <c r="O86" t="str">
        <f>IF(AND(DATA!H86&gt;0, DATA!I86&gt;0), ABS(DATA!H86 - DATA!I86), "")</f>
        <v/>
      </c>
      <c r="P86">
        <v>85</v>
      </c>
    </row>
    <row r="87" spans="15:16">
      <c r="O87" t="str">
        <f>IF(AND(DATA!H87&gt;0, DATA!I87&gt;0), ABS(DATA!H87 - DATA!I87), "")</f>
        <v/>
      </c>
      <c r="P87">
        <v>86</v>
      </c>
    </row>
    <row r="88" spans="15:16">
      <c r="O88" t="str">
        <f>IF(AND(DATA!H88&gt;0, DATA!I88&gt;0), ABS(DATA!H88 - DATA!I88), "")</f>
        <v/>
      </c>
      <c r="P88">
        <v>87</v>
      </c>
    </row>
    <row r="89" spans="15:16">
      <c r="O89" t="str">
        <f>IF(AND(DATA!H89&gt;0, DATA!I89&gt;0), ABS(DATA!H89 - DATA!I89), "")</f>
        <v/>
      </c>
      <c r="P89">
        <v>88</v>
      </c>
    </row>
    <row r="90" spans="15:16">
      <c r="O90" t="str">
        <f>IF(AND(DATA!H90&gt;0, DATA!I90&gt;0), ABS(DATA!H90 - DATA!I90), "")</f>
        <v/>
      </c>
      <c r="P90">
        <v>89</v>
      </c>
    </row>
    <row r="91" spans="15:16">
      <c r="O91" t="str">
        <f>IF(AND(DATA!H91&gt;0, DATA!I91&gt;0), ABS(DATA!H91 - DATA!I91), "")</f>
        <v/>
      </c>
      <c r="P91">
        <v>90</v>
      </c>
    </row>
    <row r="92" spans="15:16">
      <c r="O92" t="str">
        <f>IF(AND(DATA!H92&gt;0, DATA!I92&gt;0), ABS(DATA!H92 - DATA!I92), "")</f>
        <v/>
      </c>
      <c r="P92">
        <v>91</v>
      </c>
    </row>
    <row r="93" spans="15:16">
      <c r="O93" t="str">
        <f>IF(AND(DATA!H93&gt;0, DATA!I93&gt;0), ABS(DATA!H93 - DATA!I93), "")</f>
        <v/>
      </c>
      <c r="P93">
        <v>92</v>
      </c>
    </row>
    <row r="94" spans="15:16">
      <c r="O94" t="str">
        <f>IF(AND(DATA!H94&gt;0, DATA!I94&gt;0), ABS(DATA!H94 - DATA!I94), "")</f>
        <v/>
      </c>
      <c r="P94">
        <v>93</v>
      </c>
    </row>
    <row r="95" spans="15:16">
      <c r="O95" t="str">
        <f>IF(AND(DATA!H95&gt;0, DATA!I95&gt;0), ABS(DATA!H95 - DATA!I95), "")</f>
        <v/>
      </c>
      <c r="P95">
        <v>94</v>
      </c>
    </row>
    <row r="96" spans="15:16">
      <c r="O96" t="str">
        <f>IF(AND(DATA!H96&gt;0, DATA!I96&gt;0), ABS(DATA!H96 - DATA!I96), "")</f>
        <v/>
      </c>
      <c r="P96">
        <v>95</v>
      </c>
    </row>
    <row r="97" spans="15:16">
      <c r="O97" t="str">
        <f>IF(AND(DATA!H97&gt;0, DATA!I97&gt;0), ABS(DATA!H97 - DATA!I97), "")</f>
        <v/>
      </c>
      <c r="P97">
        <v>96</v>
      </c>
    </row>
    <row r="98" spans="15:16">
      <c r="O98" t="str">
        <f>IF(AND(DATA!H98&gt;0, DATA!I98&gt;0), ABS(DATA!H98 - DATA!I98), "")</f>
        <v/>
      </c>
      <c r="P98">
        <v>97</v>
      </c>
    </row>
    <row r="99" spans="15:16">
      <c r="O99" t="str">
        <f>IF(AND(DATA!H99&gt;0, DATA!I99&gt;0), ABS(DATA!H99 - DATA!I99), "")</f>
        <v/>
      </c>
      <c r="P99">
        <v>98</v>
      </c>
    </row>
    <row r="100" spans="15:16">
      <c r="O100" t="str">
        <f>IF(AND(DATA!H100&gt;0, DATA!I100&gt;0), ABS(DATA!H100 - DATA!I100), "")</f>
        <v/>
      </c>
      <c r="P100">
        <v>99</v>
      </c>
    </row>
    <row r="101" spans="15:16">
      <c r="O101" t="str">
        <f>IF(AND(DATA!H101&gt;0, DATA!I101&gt;0), ABS(DATA!H101 - DATA!I101), "")</f>
        <v/>
      </c>
      <c r="P101">
        <v>100</v>
      </c>
    </row>
    <row r="102" spans="15:16">
      <c r="O102" t="str">
        <f>IF(AND(DATA!H102&gt;0, DATA!I102&gt;0), ABS(DATA!H102 - DATA!I102), "")</f>
        <v/>
      </c>
      <c r="P102">
        <v>101</v>
      </c>
    </row>
    <row r="103" spans="15:16">
      <c r="O103" t="str">
        <f>IF(AND(DATA!H103&gt;0, DATA!I103&gt;0), ABS(DATA!H103 - DATA!I103), "")</f>
        <v/>
      </c>
      <c r="P103">
        <v>102</v>
      </c>
    </row>
    <row r="104" spans="15:16">
      <c r="O104" t="str">
        <f>IF(AND(DATA!H104&gt;0, DATA!I104&gt;0), ABS(DATA!H104 - DATA!I104), "")</f>
        <v/>
      </c>
      <c r="P104">
        <v>103</v>
      </c>
    </row>
    <row r="105" spans="15:16">
      <c r="O105" t="str">
        <f>IF(AND(DATA!H105&gt;0, DATA!I105&gt;0), ABS(DATA!H105 - DATA!I105), "")</f>
        <v/>
      </c>
      <c r="P105">
        <v>104</v>
      </c>
    </row>
    <row r="106" spans="15:16">
      <c r="O106" t="str">
        <f>IF(AND(DATA!H106&gt;0, DATA!I106&gt;0), ABS(DATA!H106 - DATA!I106), "")</f>
        <v/>
      </c>
      <c r="P106">
        <v>105</v>
      </c>
    </row>
    <row r="107" spans="15:16">
      <c r="O107" t="str">
        <f>IF(AND(DATA!H107&gt;0, DATA!I107&gt;0), ABS(DATA!H107 - DATA!I107), "")</f>
        <v/>
      </c>
      <c r="P107">
        <v>106</v>
      </c>
    </row>
    <row r="108" spans="15:16">
      <c r="O108" t="str">
        <f>IF(AND(DATA!H108&gt;0, DATA!I108&gt;0), ABS(DATA!H108 - DATA!I108), "")</f>
        <v/>
      </c>
      <c r="P108">
        <v>107</v>
      </c>
    </row>
    <row r="109" spans="15:16">
      <c r="O109" t="str">
        <f>IF(AND(DATA!H109&gt;0, DATA!I109&gt;0), ABS(DATA!H109 - DATA!I109), "")</f>
        <v/>
      </c>
      <c r="P109">
        <v>108</v>
      </c>
    </row>
    <row r="110" spans="15:16">
      <c r="O110" t="str">
        <f>IF(AND(DATA!H110&gt;0, DATA!I110&gt;0), ABS(DATA!H110 - DATA!I110), "")</f>
        <v/>
      </c>
      <c r="P110">
        <v>109</v>
      </c>
    </row>
    <row r="111" spans="15:16">
      <c r="O111" t="str">
        <f>IF(AND(DATA!H111&gt;0, DATA!I111&gt;0), ABS(DATA!H111 - DATA!I111), "")</f>
        <v/>
      </c>
      <c r="P111">
        <v>110</v>
      </c>
    </row>
    <row r="112" spans="15:16">
      <c r="O112" t="str">
        <f>IF(AND(DATA!H112&gt;0, DATA!I112&gt;0), ABS(DATA!H112 - DATA!I112), "")</f>
        <v/>
      </c>
      <c r="P112">
        <v>111</v>
      </c>
    </row>
    <row r="113" spans="15:16">
      <c r="O113" t="str">
        <f>IF(AND(DATA!H113&gt;0, DATA!I113&gt;0), ABS(DATA!H113 - DATA!I113), "")</f>
        <v/>
      </c>
      <c r="P113">
        <v>112</v>
      </c>
    </row>
    <row r="114" spans="15:16">
      <c r="O114" t="str">
        <f>IF(AND(DATA!H114&gt;0, DATA!I114&gt;0), ABS(DATA!H114 - DATA!I114), "")</f>
        <v/>
      </c>
      <c r="P114">
        <v>113</v>
      </c>
    </row>
    <row r="115" spans="15:16">
      <c r="O115" t="str">
        <f>IF(AND(DATA!H115&gt;0, DATA!I115&gt;0), ABS(DATA!H115 - DATA!I115), "")</f>
        <v/>
      </c>
      <c r="P115">
        <v>114</v>
      </c>
    </row>
    <row r="116" spans="15:16">
      <c r="O116" t="str">
        <f>IF(AND(DATA!H116&gt;0, DATA!I116&gt;0), ABS(DATA!H116 - DATA!I116), "")</f>
        <v/>
      </c>
      <c r="P116">
        <v>115</v>
      </c>
    </row>
    <row r="117" spans="15:16">
      <c r="O117" t="str">
        <f>IF(AND(DATA!H117&gt;0, DATA!I117&gt;0), ABS(DATA!H117 - DATA!I117), "")</f>
        <v/>
      </c>
      <c r="P117">
        <v>116</v>
      </c>
    </row>
    <row r="118" spans="15:16">
      <c r="O118" t="str">
        <f>IF(AND(DATA!H118&gt;0, DATA!I118&gt;0), ABS(DATA!H118 - DATA!I118), "")</f>
        <v/>
      </c>
      <c r="P118">
        <v>117</v>
      </c>
    </row>
    <row r="119" spans="15:16">
      <c r="O119" t="str">
        <f>IF(AND(DATA!H119&gt;0, DATA!I119&gt;0), ABS(DATA!H119 - DATA!I119), "")</f>
        <v/>
      </c>
      <c r="P119">
        <v>118</v>
      </c>
    </row>
    <row r="120" spans="15:16">
      <c r="O120" t="str">
        <f>IF(AND(DATA!H120&gt;0, DATA!I120&gt;0), ABS(DATA!H120 - DATA!I120), "")</f>
        <v/>
      </c>
      <c r="P120">
        <v>119</v>
      </c>
    </row>
    <row r="121" spans="15:16">
      <c r="O121" t="str">
        <f>IF(AND(DATA!H121&gt;0, DATA!I121&gt;0), ABS(DATA!H121 - DATA!I121), "")</f>
        <v/>
      </c>
      <c r="P121">
        <v>120</v>
      </c>
    </row>
  </sheetData>
  <sheetProtection sheet="1" objects="1" scenarios="1"/>
  <autoFilter ref="U1:Z30" xr:uid="{1F493A83-40C5-4DCA-959D-9A937294E1B3}">
    <sortState xmlns:xlrd2="http://schemas.microsoft.com/office/spreadsheetml/2017/richdata2" ref="U2:Z30">
      <sortCondition descending="1" ref="Z1:Z30"/>
    </sortState>
  </autoFilter>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revision/>
  <dcterms:created xsi:type="dcterms:W3CDTF">2026-01-12T12:36:52Z</dcterms:created>
  <dcterms:modified xsi:type="dcterms:W3CDTF">2026-05-02T14:25:23Z</dcterms:modified>
  <cp:category/>
  <cp:contentStatus/>
</cp:coreProperties>
</file>